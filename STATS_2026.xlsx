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Swish Swish\UNRIVALED_STATS_PLAYER\"/>
    </mc:Choice>
  </mc:AlternateContent>
  <xr:revisionPtr revIDLastSave="0" documentId="13_ncr:1_{0AA37386-06C8-4AA3-836F-2A37A7CAFB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" sheetId="1" r:id="rId1"/>
    <sheet name="TOTAL_BASIC" sheetId="7" r:id="rId2"/>
    <sheet name="PER_GAME_BASIC" sheetId="8" r:id="rId3"/>
    <sheet name="ADVANCED" sheetId="17" r:id="rId4"/>
    <sheet name="BREEZE" sheetId="9" state="hidden" r:id="rId5"/>
    <sheet name="LACES" sheetId="10" state="hidden" r:id="rId6"/>
    <sheet name="MIST" sheetId="11" state="hidden" r:id="rId7"/>
    <sheet name="ROSE" sheetId="12" state="hidden" r:id="rId8"/>
    <sheet name="HIVE" sheetId="13" state="hidden" r:id="rId9"/>
    <sheet name="LUNAR OWLS" sheetId="14" state="hidden" r:id="rId10"/>
    <sheet name="PHANTOM" sheetId="15" state="hidden" r:id="rId11"/>
    <sheet name="VINYL" sheetId="16" state="hidden" r:id="rId12"/>
  </sheets>
  <definedNames>
    <definedName name="_xlnm._FilterDatabase" localSheetId="3" hidden="1">ADVANCED!$A$2:$K$2</definedName>
    <definedName name="_xlnm._FilterDatabase" localSheetId="2" hidden="1">PER_GAME_BASIC!$A$2:$BN$2</definedName>
    <definedName name="_xlnm._FilterDatabase" localSheetId="1" hidden="1">TOTAL_BASIC!$A$2:$U$2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M50" i="17" l="1"/>
  <c r="M51" i="17"/>
  <c r="L50" i="17"/>
  <c r="L51" i="17"/>
  <c r="K50" i="17"/>
  <c r="K51" i="17"/>
  <c r="J50" i="17"/>
  <c r="J51" i="17"/>
  <c r="I50" i="17"/>
  <c r="I51" i="17"/>
  <c r="BE50" i="8"/>
  <c r="BE51" i="8"/>
  <c r="BD50" i="8"/>
  <c r="BD51" i="8"/>
  <c r="BC50" i="8"/>
  <c r="BC51" i="8"/>
  <c r="BB50" i="8"/>
  <c r="BB51" i="8"/>
  <c r="BA50" i="8"/>
  <c r="BA51" i="8"/>
  <c r="AZ50" i="8"/>
  <c r="AZ51" i="8"/>
  <c r="AY50" i="8"/>
  <c r="AY51" i="8"/>
  <c r="AX50" i="8"/>
  <c r="AX51" i="8"/>
  <c r="AW50" i="8"/>
  <c r="AW51" i="8"/>
  <c r="AV50" i="8"/>
  <c r="AV51" i="8"/>
  <c r="AU50" i="8"/>
  <c r="AU51" i="8"/>
  <c r="AT50" i="8"/>
  <c r="AT51" i="8"/>
  <c r="AS50" i="8"/>
  <c r="AS51" i="8"/>
  <c r="AR50" i="8"/>
  <c r="AR51" i="8"/>
  <c r="AQ50" i="8"/>
  <c r="AQ51" i="8"/>
  <c r="U50" i="7"/>
  <c r="U51" i="7"/>
  <c r="T50" i="7"/>
  <c r="T51" i="7"/>
  <c r="AP50" i="8"/>
  <c r="AP51" i="8"/>
  <c r="AO50" i="8"/>
  <c r="AO51" i="8"/>
  <c r="AN50" i="8"/>
  <c r="AN51" i="8"/>
  <c r="AM50" i="8"/>
  <c r="AM51" i="8"/>
  <c r="AJ50" i="8"/>
  <c r="AJ51" i="8"/>
  <c r="AI50" i="8"/>
  <c r="BN50" i="8" s="1"/>
  <c r="AI51" i="8"/>
  <c r="AD50" i="8"/>
  <c r="BM50" i="8" s="1"/>
  <c r="AD51" i="8"/>
  <c r="AC50" i="8"/>
  <c r="AC51" i="8"/>
  <c r="AA50" i="8"/>
  <c r="AB50" i="8" s="1"/>
  <c r="AA51" i="8"/>
  <c r="AB51" i="8" s="1"/>
  <c r="Z50" i="8"/>
  <c r="Z51" i="8"/>
  <c r="X50" i="8"/>
  <c r="Y50" i="8" s="1"/>
  <c r="X51" i="8"/>
  <c r="W50" i="8"/>
  <c r="W51" i="8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3" i="17"/>
  <c r="W13" i="16"/>
  <c r="V13" i="16"/>
  <c r="V12" i="16"/>
  <c r="W12" i="16" s="1"/>
  <c r="V11" i="16"/>
  <c r="W11" i="16" s="1"/>
  <c r="V10" i="16"/>
  <c r="W10" i="16" s="1"/>
  <c r="W9" i="16"/>
  <c r="V9" i="16"/>
  <c r="V8" i="16"/>
  <c r="W8" i="16" s="1"/>
  <c r="V7" i="16"/>
  <c r="V6" i="16"/>
  <c r="V5" i="16"/>
  <c r="V4" i="16"/>
  <c r="V3" i="16"/>
  <c r="V2" i="16"/>
  <c r="V13" i="15"/>
  <c r="W13" i="15" s="1"/>
  <c r="W12" i="15"/>
  <c r="V12" i="15"/>
  <c r="V11" i="15"/>
  <c r="W11" i="15" s="1"/>
  <c r="V10" i="15"/>
  <c r="W10" i="15" s="1"/>
  <c r="V9" i="15"/>
  <c r="W9" i="15" s="1"/>
  <c r="W8" i="15"/>
  <c r="V8" i="15"/>
  <c r="V7" i="15"/>
  <c r="V6" i="15"/>
  <c r="V5" i="15"/>
  <c r="V4" i="15"/>
  <c r="V3" i="15"/>
  <c r="V2" i="15"/>
  <c r="V13" i="14"/>
  <c r="W13" i="14" s="1"/>
  <c r="V12" i="14"/>
  <c r="W12" i="14" s="1"/>
  <c r="V11" i="14"/>
  <c r="W11" i="14" s="1"/>
  <c r="V10" i="14"/>
  <c r="W10" i="14" s="1"/>
  <c r="V9" i="14"/>
  <c r="W9" i="14" s="1"/>
  <c r="V8" i="14"/>
  <c r="W8" i="14" s="1"/>
  <c r="V7" i="14"/>
  <c r="V6" i="14"/>
  <c r="V5" i="14"/>
  <c r="V4" i="14"/>
  <c r="V3" i="14"/>
  <c r="V2" i="14"/>
  <c r="V13" i="13"/>
  <c r="W13" i="13" s="1"/>
  <c r="W12" i="13"/>
  <c r="V12" i="13"/>
  <c r="V11" i="13"/>
  <c r="W11" i="13" s="1"/>
  <c r="V10" i="13"/>
  <c r="W10" i="13" s="1"/>
  <c r="V9" i="13"/>
  <c r="W9" i="13" s="1"/>
  <c r="W8" i="13"/>
  <c r="V8" i="13"/>
  <c r="V7" i="13"/>
  <c r="V6" i="13"/>
  <c r="V5" i="13"/>
  <c r="V4" i="13"/>
  <c r="V3" i="13"/>
  <c r="V2" i="13"/>
  <c r="V13" i="12"/>
  <c r="W13" i="12" s="1"/>
  <c r="V12" i="12"/>
  <c r="W12" i="12" s="1"/>
  <c r="V11" i="12"/>
  <c r="W11" i="12" s="1"/>
  <c r="V10" i="12"/>
  <c r="W10" i="12" s="1"/>
  <c r="V9" i="12"/>
  <c r="W9" i="12" s="1"/>
  <c r="V8" i="12"/>
  <c r="W8" i="12" s="1"/>
  <c r="V7" i="12"/>
  <c r="V6" i="12"/>
  <c r="V5" i="12"/>
  <c r="V4" i="12"/>
  <c r="V3" i="12"/>
  <c r="V2" i="12"/>
  <c r="W13" i="11"/>
  <c r="V13" i="11"/>
  <c r="W12" i="11"/>
  <c r="V12" i="11"/>
  <c r="V11" i="11"/>
  <c r="W11" i="11" s="1"/>
  <c r="V10" i="11"/>
  <c r="W10" i="11" s="1"/>
  <c r="W9" i="11"/>
  <c r="V9" i="11"/>
  <c r="W8" i="11"/>
  <c r="V8" i="11"/>
  <c r="V7" i="11"/>
  <c r="V6" i="11"/>
  <c r="V5" i="11"/>
  <c r="V4" i="11"/>
  <c r="V3" i="11"/>
  <c r="V2" i="11"/>
  <c r="W13" i="10"/>
  <c r="V13" i="10"/>
  <c r="V12" i="10"/>
  <c r="W12" i="10" s="1"/>
  <c r="V11" i="10"/>
  <c r="W11" i="10" s="1"/>
  <c r="V10" i="10"/>
  <c r="W10" i="10" s="1"/>
  <c r="W9" i="10"/>
  <c r="V9" i="10"/>
  <c r="V8" i="10"/>
  <c r="W8" i="10" s="1"/>
  <c r="V7" i="10"/>
  <c r="V6" i="10"/>
  <c r="V5" i="10"/>
  <c r="V4" i="10"/>
  <c r="V3" i="10"/>
  <c r="V2" i="10"/>
  <c r="V13" i="9"/>
  <c r="W13" i="9" s="1"/>
  <c r="W12" i="9"/>
  <c r="V12" i="9"/>
  <c r="V11" i="9"/>
  <c r="W11" i="9" s="1"/>
  <c r="W10" i="9"/>
  <c r="V10" i="9"/>
  <c r="V9" i="9"/>
  <c r="W9" i="9" s="1"/>
  <c r="V8" i="9"/>
  <c r="W8" i="9" s="1"/>
  <c r="V7" i="9"/>
  <c r="W7" i="9" s="1"/>
  <c r="V6" i="9"/>
  <c r="V5" i="9"/>
  <c r="V4" i="9"/>
  <c r="V3" i="9"/>
  <c r="V2" i="9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3" i="8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3" i="17"/>
  <c r="K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3" i="17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S10" i="16" s="1"/>
  <c r="D15" i="16"/>
  <c r="C15" i="16"/>
  <c r="B15" i="16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R15" i="14"/>
  <c r="Q15" i="14"/>
  <c r="T9" i="14" s="1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S10" i="13" s="1"/>
  <c r="B15" i="13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T9" i="12" s="1"/>
  <c r="E15" i="12"/>
  <c r="S7" i="12" s="1"/>
  <c r="D15" i="12"/>
  <c r="C15" i="12"/>
  <c r="B15" i="12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T9" i="11" s="1"/>
  <c r="E15" i="11"/>
  <c r="D15" i="11"/>
  <c r="C15" i="11"/>
  <c r="S11" i="11" s="1"/>
  <c r="B15" i="11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C15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B15" i="9"/>
  <c r="BE4" i="8"/>
  <c r="BE5" i="8"/>
  <c r="BE6" i="8"/>
  <c r="BE7" i="8"/>
  <c r="BE8" i="8"/>
  <c r="BE9" i="8"/>
  <c r="BE10" i="8"/>
  <c r="BE11" i="8"/>
  <c r="BE12" i="8"/>
  <c r="BE13" i="8"/>
  <c r="BE14" i="8"/>
  <c r="BE15" i="8"/>
  <c r="BE16" i="8"/>
  <c r="BE17" i="8"/>
  <c r="BE18" i="8"/>
  <c r="BE19" i="8"/>
  <c r="BE20" i="8"/>
  <c r="BE21" i="8"/>
  <c r="BE22" i="8"/>
  <c r="BE23" i="8"/>
  <c r="BE24" i="8"/>
  <c r="BE25" i="8"/>
  <c r="BE26" i="8"/>
  <c r="BE27" i="8"/>
  <c r="BE28" i="8"/>
  <c r="BE29" i="8"/>
  <c r="BE30" i="8"/>
  <c r="BE31" i="8"/>
  <c r="BE32" i="8"/>
  <c r="BE33" i="8"/>
  <c r="BE34" i="8"/>
  <c r="BE35" i="8"/>
  <c r="BE36" i="8"/>
  <c r="BE37" i="8"/>
  <c r="BE38" i="8"/>
  <c r="BE39" i="8"/>
  <c r="BE40" i="8"/>
  <c r="BE41" i="8"/>
  <c r="BE42" i="8"/>
  <c r="BE43" i="8"/>
  <c r="BE44" i="8"/>
  <c r="BE45" i="8"/>
  <c r="BE46" i="8"/>
  <c r="BE47" i="8"/>
  <c r="BE48" i="8"/>
  <c r="BE49" i="8"/>
  <c r="BE3" i="8"/>
  <c r="BD4" i="8"/>
  <c r="BD5" i="8"/>
  <c r="BD6" i="8"/>
  <c r="BD7" i="8"/>
  <c r="BD8" i="8"/>
  <c r="BD9" i="8"/>
  <c r="BD10" i="8"/>
  <c r="BD11" i="8"/>
  <c r="BD12" i="8"/>
  <c r="BD13" i="8"/>
  <c r="BD14" i="8"/>
  <c r="BD15" i="8"/>
  <c r="BD16" i="8"/>
  <c r="BD17" i="8"/>
  <c r="BD18" i="8"/>
  <c r="BD19" i="8"/>
  <c r="BD20" i="8"/>
  <c r="BD21" i="8"/>
  <c r="BD22" i="8"/>
  <c r="BD23" i="8"/>
  <c r="BD24" i="8"/>
  <c r="BD25" i="8"/>
  <c r="BD26" i="8"/>
  <c r="BD27" i="8"/>
  <c r="BD28" i="8"/>
  <c r="BD29" i="8"/>
  <c r="BD30" i="8"/>
  <c r="BD31" i="8"/>
  <c r="BD32" i="8"/>
  <c r="BD33" i="8"/>
  <c r="BD34" i="8"/>
  <c r="BD35" i="8"/>
  <c r="BD36" i="8"/>
  <c r="BD37" i="8"/>
  <c r="BD38" i="8"/>
  <c r="BD39" i="8"/>
  <c r="BD40" i="8"/>
  <c r="BD41" i="8"/>
  <c r="BD42" i="8"/>
  <c r="BD43" i="8"/>
  <c r="BD44" i="8"/>
  <c r="BD45" i="8"/>
  <c r="BD46" i="8"/>
  <c r="BD47" i="8"/>
  <c r="BD48" i="8"/>
  <c r="BD49" i="8"/>
  <c r="BD3" i="8"/>
  <c r="BC4" i="8"/>
  <c r="BC5" i="8"/>
  <c r="BC6" i="8"/>
  <c r="BC7" i="8"/>
  <c r="BC8" i="8"/>
  <c r="BC9" i="8"/>
  <c r="BC10" i="8"/>
  <c r="BC11" i="8"/>
  <c r="BC12" i="8"/>
  <c r="BC13" i="8"/>
  <c r="BC14" i="8"/>
  <c r="BC15" i="8"/>
  <c r="BC16" i="8"/>
  <c r="BC17" i="8"/>
  <c r="BC18" i="8"/>
  <c r="BC19" i="8"/>
  <c r="BC20" i="8"/>
  <c r="BC21" i="8"/>
  <c r="BC22" i="8"/>
  <c r="BC23" i="8"/>
  <c r="BC24" i="8"/>
  <c r="BC25" i="8"/>
  <c r="BC26" i="8"/>
  <c r="BC27" i="8"/>
  <c r="BC28" i="8"/>
  <c r="BC29" i="8"/>
  <c r="BC30" i="8"/>
  <c r="BC31" i="8"/>
  <c r="BC32" i="8"/>
  <c r="BC33" i="8"/>
  <c r="BC34" i="8"/>
  <c r="BC35" i="8"/>
  <c r="BC36" i="8"/>
  <c r="BC37" i="8"/>
  <c r="BC38" i="8"/>
  <c r="BC39" i="8"/>
  <c r="BC40" i="8"/>
  <c r="BC41" i="8"/>
  <c r="BC42" i="8"/>
  <c r="BC43" i="8"/>
  <c r="BC44" i="8"/>
  <c r="BC45" i="8"/>
  <c r="BC46" i="8"/>
  <c r="BC47" i="8"/>
  <c r="BC48" i="8"/>
  <c r="BC49" i="8"/>
  <c r="BB4" i="8"/>
  <c r="BB5" i="8"/>
  <c r="BB6" i="8"/>
  <c r="BB7" i="8"/>
  <c r="BB8" i="8"/>
  <c r="BB9" i="8"/>
  <c r="BB10" i="8"/>
  <c r="BB11" i="8"/>
  <c r="BB12" i="8"/>
  <c r="BB13" i="8"/>
  <c r="BB14" i="8"/>
  <c r="BB15" i="8"/>
  <c r="BB16" i="8"/>
  <c r="BB17" i="8"/>
  <c r="BB18" i="8"/>
  <c r="BB19" i="8"/>
  <c r="BB20" i="8"/>
  <c r="BB21" i="8"/>
  <c r="BB22" i="8"/>
  <c r="BB23" i="8"/>
  <c r="BB24" i="8"/>
  <c r="BB25" i="8"/>
  <c r="BB26" i="8"/>
  <c r="BB27" i="8"/>
  <c r="BB28" i="8"/>
  <c r="BB29" i="8"/>
  <c r="BB30" i="8"/>
  <c r="BB31" i="8"/>
  <c r="BB32" i="8"/>
  <c r="BB33" i="8"/>
  <c r="BB34" i="8"/>
  <c r="BB35" i="8"/>
  <c r="BB36" i="8"/>
  <c r="BB37" i="8"/>
  <c r="BB38" i="8"/>
  <c r="BB39" i="8"/>
  <c r="BB40" i="8"/>
  <c r="BB41" i="8"/>
  <c r="BB42" i="8"/>
  <c r="BB43" i="8"/>
  <c r="BB44" i="8"/>
  <c r="BB45" i="8"/>
  <c r="BB46" i="8"/>
  <c r="BB47" i="8"/>
  <c r="BB48" i="8"/>
  <c r="BB49" i="8"/>
  <c r="BA4" i="8"/>
  <c r="BA5" i="8"/>
  <c r="BA6" i="8"/>
  <c r="BA7" i="8"/>
  <c r="BA8" i="8"/>
  <c r="BA9" i="8"/>
  <c r="BA10" i="8"/>
  <c r="BA11" i="8"/>
  <c r="BA12" i="8"/>
  <c r="BA13" i="8"/>
  <c r="BA14" i="8"/>
  <c r="BA15" i="8"/>
  <c r="BA16" i="8"/>
  <c r="BA17" i="8"/>
  <c r="BA18" i="8"/>
  <c r="BA19" i="8"/>
  <c r="BA20" i="8"/>
  <c r="BA21" i="8"/>
  <c r="BA22" i="8"/>
  <c r="BA23" i="8"/>
  <c r="BA24" i="8"/>
  <c r="BA25" i="8"/>
  <c r="BA26" i="8"/>
  <c r="BA27" i="8"/>
  <c r="BA28" i="8"/>
  <c r="BA29" i="8"/>
  <c r="BA30" i="8"/>
  <c r="BA31" i="8"/>
  <c r="BA32" i="8"/>
  <c r="BA33" i="8"/>
  <c r="BA34" i="8"/>
  <c r="BA35" i="8"/>
  <c r="BA36" i="8"/>
  <c r="BA37" i="8"/>
  <c r="BA38" i="8"/>
  <c r="BA39" i="8"/>
  <c r="BA40" i="8"/>
  <c r="BA41" i="8"/>
  <c r="BA42" i="8"/>
  <c r="BA43" i="8"/>
  <c r="BA44" i="8"/>
  <c r="BA45" i="8"/>
  <c r="BA46" i="8"/>
  <c r="BA47" i="8"/>
  <c r="BA48" i="8"/>
  <c r="BA49" i="8"/>
  <c r="AZ4" i="8"/>
  <c r="AZ5" i="8"/>
  <c r="AZ6" i="8"/>
  <c r="AZ7" i="8"/>
  <c r="AZ8" i="8"/>
  <c r="AZ9" i="8"/>
  <c r="AZ10" i="8"/>
  <c r="AZ11" i="8"/>
  <c r="AZ12" i="8"/>
  <c r="AZ13" i="8"/>
  <c r="AZ14" i="8"/>
  <c r="AZ15" i="8"/>
  <c r="AZ16" i="8"/>
  <c r="AZ17" i="8"/>
  <c r="AZ18" i="8"/>
  <c r="AZ19" i="8"/>
  <c r="AZ20" i="8"/>
  <c r="AZ21" i="8"/>
  <c r="AZ22" i="8"/>
  <c r="AZ23" i="8"/>
  <c r="AZ24" i="8"/>
  <c r="AZ25" i="8"/>
  <c r="AZ26" i="8"/>
  <c r="AZ27" i="8"/>
  <c r="AZ28" i="8"/>
  <c r="AZ29" i="8"/>
  <c r="AZ30" i="8"/>
  <c r="AZ31" i="8"/>
  <c r="AZ32" i="8"/>
  <c r="AZ33" i="8"/>
  <c r="AZ34" i="8"/>
  <c r="AZ35" i="8"/>
  <c r="AZ36" i="8"/>
  <c r="AZ37" i="8"/>
  <c r="AZ38" i="8"/>
  <c r="AZ39" i="8"/>
  <c r="AZ40" i="8"/>
  <c r="AZ41" i="8"/>
  <c r="AZ42" i="8"/>
  <c r="AZ43" i="8"/>
  <c r="AZ44" i="8"/>
  <c r="AZ45" i="8"/>
  <c r="AZ46" i="8"/>
  <c r="AZ47" i="8"/>
  <c r="AZ48" i="8"/>
  <c r="AZ49" i="8"/>
  <c r="AY4" i="8"/>
  <c r="AY5" i="8"/>
  <c r="AY6" i="8"/>
  <c r="AY7" i="8"/>
  <c r="AY8" i="8"/>
  <c r="AY9" i="8"/>
  <c r="AY10" i="8"/>
  <c r="AY11" i="8"/>
  <c r="AY12" i="8"/>
  <c r="AY13" i="8"/>
  <c r="AY14" i="8"/>
  <c r="AY15" i="8"/>
  <c r="AY16" i="8"/>
  <c r="AY17" i="8"/>
  <c r="AY18" i="8"/>
  <c r="AY19" i="8"/>
  <c r="AY20" i="8"/>
  <c r="AY21" i="8"/>
  <c r="AY22" i="8"/>
  <c r="AY23" i="8"/>
  <c r="AY24" i="8"/>
  <c r="AY25" i="8"/>
  <c r="AY26" i="8"/>
  <c r="AY27" i="8"/>
  <c r="AY28" i="8"/>
  <c r="AY29" i="8"/>
  <c r="AY30" i="8"/>
  <c r="AY31" i="8"/>
  <c r="AY32" i="8"/>
  <c r="AY33" i="8"/>
  <c r="AY34" i="8"/>
  <c r="AY35" i="8"/>
  <c r="AY36" i="8"/>
  <c r="AY37" i="8"/>
  <c r="AY38" i="8"/>
  <c r="AY39" i="8"/>
  <c r="AY40" i="8"/>
  <c r="AY41" i="8"/>
  <c r="AY42" i="8"/>
  <c r="AY43" i="8"/>
  <c r="AY44" i="8"/>
  <c r="AY45" i="8"/>
  <c r="AY46" i="8"/>
  <c r="AY47" i="8"/>
  <c r="AY48" i="8"/>
  <c r="AY49" i="8"/>
  <c r="AX4" i="8"/>
  <c r="AX5" i="8"/>
  <c r="AX6" i="8"/>
  <c r="AX7" i="8"/>
  <c r="AX8" i="8"/>
  <c r="AX9" i="8"/>
  <c r="AX10" i="8"/>
  <c r="AX11" i="8"/>
  <c r="AX12" i="8"/>
  <c r="AX13" i="8"/>
  <c r="AX14" i="8"/>
  <c r="AX15" i="8"/>
  <c r="AX16" i="8"/>
  <c r="AX17" i="8"/>
  <c r="AX18" i="8"/>
  <c r="AX19" i="8"/>
  <c r="AX20" i="8"/>
  <c r="AX21" i="8"/>
  <c r="AX22" i="8"/>
  <c r="AX23" i="8"/>
  <c r="AX24" i="8"/>
  <c r="AX25" i="8"/>
  <c r="AX26" i="8"/>
  <c r="AX27" i="8"/>
  <c r="AX28" i="8"/>
  <c r="AX29" i="8"/>
  <c r="AX30" i="8"/>
  <c r="AX31" i="8"/>
  <c r="AX32" i="8"/>
  <c r="AX33" i="8"/>
  <c r="AX34" i="8"/>
  <c r="AX35" i="8"/>
  <c r="AX36" i="8"/>
  <c r="AX37" i="8"/>
  <c r="AX38" i="8"/>
  <c r="AX39" i="8"/>
  <c r="AX40" i="8"/>
  <c r="AX41" i="8"/>
  <c r="AX42" i="8"/>
  <c r="AX43" i="8"/>
  <c r="AX44" i="8"/>
  <c r="AX45" i="8"/>
  <c r="AX46" i="8"/>
  <c r="AX47" i="8"/>
  <c r="AX48" i="8"/>
  <c r="AX49" i="8"/>
  <c r="AW4" i="8"/>
  <c r="AW5" i="8"/>
  <c r="AW6" i="8"/>
  <c r="AW7" i="8"/>
  <c r="AW8" i="8"/>
  <c r="AW9" i="8"/>
  <c r="AW10" i="8"/>
  <c r="AW11" i="8"/>
  <c r="AW12" i="8"/>
  <c r="AW13" i="8"/>
  <c r="AW14" i="8"/>
  <c r="AW15" i="8"/>
  <c r="AW16" i="8"/>
  <c r="AW17" i="8"/>
  <c r="AW18" i="8"/>
  <c r="AW19" i="8"/>
  <c r="AW20" i="8"/>
  <c r="AW21" i="8"/>
  <c r="AW22" i="8"/>
  <c r="AW23" i="8"/>
  <c r="AW24" i="8"/>
  <c r="AW25" i="8"/>
  <c r="AW26" i="8"/>
  <c r="AW27" i="8"/>
  <c r="AW28" i="8"/>
  <c r="AW29" i="8"/>
  <c r="AW30" i="8"/>
  <c r="AW31" i="8"/>
  <c r="AW32" i="8"/>
  <c r="AW33" i="8"/>
  <c r="AW34" i="8"/>
  <c r="AW35" i="8"/>
  <c r="AW36" i="8"/>
  <c r="AW37" i="8"/>
  <c r="AW38" i="8"/>
  <c r="AW39" i="8"/>
  <c r="AW40" i="8"/>
  <c r="AW41" i="8"/>
  <c r="AW42" i="8"/>
  <c r="AW43" i="8"/>
  <c r="AW44" i="8"/>
  <c r="AW45" i="8"/>
  <c r="AW46" i="8"/>
  <c r="AW47" i="8"/>
  <c r="AW48" i="8"/>
  <c r="AW49" i="8"/>
  <c r="AV4" i="8"/>
  <c r="AV5" i="8"/>
  <c r="AV6" i="8"/>
  <c r="AV7" i="8"/>
  <c r="AV8" i="8"/>
  <c r="AV9" i="8"/>
  <c r="AV10" i="8"/>
  <c r="AV11" i="8"/>
  <c r="AV12" i="8"/>
  <c r="AV13" i="8"/>
  <c r="AV14" i="8"/>
  <c r="AV15" i="8"/>
  <c r="AV16" i="8"/>
  <c r="AV17" i="8"/>
  <c r="AV18" i="8"/>
  <c r="AV19" i="8"/>
  <c r="AV20" i="8"/>
  <c r="AV21" i="8"/>
  <c r="AV22" i="8"/>
  <c r="AV23" i="8"/>
  <c r="AV24" i="8"/>
  <c r="AV25" i="8"/>
  <c r="AV26" i="8"/>
  <c r="AV27" i="8"/>
  <c r="AV28" i="8"/>
  <c r="AV29" i="8"/>
  <c r="AV30" i="8"/>
  <c r="AV31" i="8"/>
  <c r="AV32" i="8"/>
  <c r="AV33" i="8"/>
  <c r="AV34" i="8"/>
  <c r="AV35" i="8"/>
  <c r="AV36" i="8"/>
  <c r="AV37" i="8"/>
  <c r="AV38" i="8"/>
  <c r="AV39" i="8"/>
  <c r="AV40" i="8"/>
  <c r="AV41" i="8"/>
  <c r="AV42" i="8"/>
  <c r="AV43" i="8"/>
  <c r="AV44" i="8"/>
  <c r="AV45" i="8"/>
  <c r="AV46" i="8"/>
  <c r="AV47" i="8"/>
  <c r="AV48" i="8"/>
  <c r="AV49" i="8"/>
  <c r="AU4" i="8"/>
  <c r="AU5" i="8"/>
  <c r="AU6" i="8"/>
  <c r="AU7" i="8"/>
  <c r="AU8" i="8"/>
  <c r="AU9" i="8"/>
  <c r="AU10" i="8"/>
  <c r="AU11" i="8"/>
  <c r="AU12" i="8"/>
  <c r="AU13" i="8"/>
  <c r="AU14" i="8"/>
  <c r="AU15" i="8"/>
  <c r="AU16" i="8"/>
  <c r="AU17" i="8"/>
  <c r="AU18" i="8"/>
  <c r="AU19" i="8"/>
  <c r="AU20" i="8"/>
  <c r="AU21" i="8"/>
  <c r="AU22" i="8"/>
  <c r="AU23" i="8"/>
  <c r="AU24" i="8"/>
  <c r="AU25" i="8"/>
  <c r="AU26" i="8"/>
  <c r="AU27" i="8"/>
  <c r="AU28" i="8"/>
  <c r="AU29" i="8"/>
  <c r="AU30" i="8"/>
  <c r="AU31" i="8"/>
  <c r="AU32" i="8"/>
  <c r="AU33" i="8"/>
  <c r="AU34" i="8"/>
  <c r="AU35" i="8"/>
  <c r="AU36" i="8"/>
  <c r="AU37" i="8"/>
  <c r="AU38" i="8"/>
  <c r="AU39" i="8"/>
  <c r="AU40" i="8"/>
  <c r="AU41" i="8"/>
  <c r="AU42" i="8"/>
  <c r="AU43" i="8"/>
  <c r="AU44" i="8"/>
  <c r="AU45" i="8"/>
  <c r="AU46" i="8"/>
  <c r="AU47" i="8"/>
  <c r="AU48" i="8"/>
  <c r="AU49" i="8"/>
  <c r="AT4" i="8"/>
  <c r="AT5" i="8"/>
  <c r="AT6" i="8"/>
  <c r="AT7" i="8"/>
  <c r="AT8" i="8"/>
  <c r="AT9" i="8"/>
  <c r="AT10" i="8"/>
  <c r="AT11" i="8"/>
  <c r="AT12" i="8"/>
  <c r="AT13" i="8"/>
  <c r="AT14" i="8"/>
  <c r="AT15" i="8"/>
  <c r="AT16" i="8"/>
  <c r="AT17" i="8"/>
  <c r="AT18" i="8"/>
  <c r="AT19" i="8"/>
  <c r="AT20" i="8"/>
  <c r="AT21" i="8"/>
  <c r="AT22" i="8"/>
  <c r="AT23" i="8"/>
  <c r="AT24" i="8"/>
  <c r="AT25" i="8"/>
  <c r="AT26" i="8"/>
  <c r="AT27" i="8"/>
  <c r="AT28" i="8"/>
  <c r="AT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49" i="8"/>
  <c r="AS4" i="8"/>
  <c r="AS5" i="8"/>
  <c r="AS6" i="8"/>
  <c r="AS7" i="8"/>
  <c r="AS8" i="8"/>
  <c r="AS9" i="8"/>
  <c r="AS10" i="8"/>
  <c r="AS11" i="8"/>
  <c r="AS12" i="8"/>
  <c r="AS13" i="8"/>
  <c r="AS14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S35" i="8"/>
  <c r="AS36" i="8"/>
  <c r="AS37" i="8"/>
  <c r="AS38" i="8"/>
  <c r="AS39" i="8"/>
  <c r="AS40" i="8"/>
  <c r="AS41" i="8"/>
  <c r="AS42" i="8"/>
  <c r="AS43" i="8"/>
  <c r="AS44" i="8"/>
  <c r="AS45" i="8"/>
  <c r="AS46" i="8"/>
  <c r="AS47" i="8"/>
  <c r="AS48" i="8"/>
  <c r="AS49" i="8"/>
  <c r="AR4" i="8"/>
  <c r="AR5" i="8"/>
  <c r="AR6" i="8"/>
  <c r="AR7" i="8"/>
  <c r="AR8" i="8"/>
  <c r="AR9" i="8"/>
  <c r="AR10" i="8"/>
  <c r="AR11" i="8"/>
  <c r="AR12" i="8"/>
  <c r="AR13" i="8"/>
  <c r="AR14" i="8"/>
  <c r="AR15" i="8"/>
  <c r="AR16" i="8"/>
  <c r="AR17" i="8"/>
  <c r="AR18" i="8"/>
  <c r="AR19" i="8"/>
  <c r="AR20" i="8"/>
  <c r="AR21" i="8"/>
  <c r="AR22" i="8"/>
  <c r="AR23" i="8"/>
  <c r="AR24" i="8"/>
  <c r="AR25" i="8"/>
  <c r="AR26" i="8"/>
  <c r="AR27" i="8"/>
  <c r="AR28" i="8"/>
  <c r="AR29" i="8"/>
  <c r="AR30" i="8"/>
  <c r="AR31" i="8"/>
  <c r="AR32" i="8"/>
  <c r="AR33" i="8"/>
  <c r="AR34" i="8"/>
  <c r="AR35" i="8"/>
  <c r="AR36" i="8"/>
  <c r="AR37" i="8"/>
  <c r="AR38" i="8"/>
  <c r="AR39" i="8"/>
  <c r="AR40" i="8"/>
  <c r="AR41" i="8"/>
  <c r="AR42" i="8"/>
  <c r="AR43" i="8"/>
  <c r="AR44" i="8"/>
  <c r="AR45" i="8"/>
  <c r="AR46" i="8"/>
  <c r="AR47" i="8"/>
  <c r="AR48" i="8"/>
  <c r="AR49" i="8"/>
  <c r="AQ4" i="8"/>
  <c r="AQ5" i="8"/>
  <c r="AQ6" i="8"/>
  <c r="AQ7" i="8"/>
  <c r="AQ8" i="8"/>
  <c r="AQ9" i="8"/>
  <c r="AQ10" i="8"/>
  <c r="AQ11" i="8"/>
  <c r="AQ12" i="8"/>
  <c r="AQ13" i="8"/>
  <c r="AQ14" i="8"/>
  <c r="AQ15" i="8"/>
  <c r="AQ16" i="8"/>
  <c r="AQ17" i="8"/>
  <c r="AQ18" i="8"/>
  <c r="AQ19" i="8"/>
  <c r="AQ20" i="8"/>
  <c r="AQ21" i="8"/>
  <c r="AQ22" i="8"/>
  <c r="AQ23" i="8"/>
  <c r="AQ24" i="8"/>
  <c r="AQ25" i="8"/>
  <c r="AQ26" i="8"/>
  <c r="AQ27" i="8"/>
  <c r="AQ28" i="8"/>
  <c r="AQ29" i="8"/>
  <c r="AQ30" i="8"/>
  <c r="AQ31" i="8"/>
  <c r="AQ32" i="8"/>
  <c r="AQ33" i="8"/>
  <c r="AQ34" i="8"/>
  <c r="AQ35" i="8"/>
  <c r="AQ36" i="8"/>
  <c r="AQ37" i="8"/>
  <c r="AQ38" i="8"/>
  <c r="AQ39" i="8"/>
  <c r="AQ40" i="8"/>
  <c r="AQ41" i="8"/>
  <c r="AQ42" i="8"/>
  <c r="AQ43" i="8"/>
  <c r="AQ44" i="8"/>
  <c r="AQ45" i="8"/>
  <c r="AQ46" i="8"/>
  <c r="AQ47" i="8"/>
  <c r="AQ48" i="8"/>
  <c r="AQ49" i="8"/>
  <c r="AP4" i="8"/>
  <c r="AP5" i="8"/>
  <c r="AP6" i="8"/>
  <c r="AP7" i="8"/>
  <c r="AP8" i="8"/>
  <c r="AP9" i="8"/>
  <c r="AP10" i="8"/>
  <c r="AP11" i="8"/>
  <c r="AP12" i="8"/>
  <c r="AP13" i="8"/>
  <c r="AP14" i="8"/>
  <c r="AP15" i="8"/>
  <c r="AP16" i="8"/>
  <c r="AP17" i="8"/>
  <c r="AP18" i="8"/>
  <c r="AP19" i="8"/>
  <c r="AP20" i="8"/>
  <c r="AP21" i="8"/>
  <c r="AP22" i="8"/>
  <c r="AP23" i="8"/>
  <c r="AP24" i="8"/>
  <c r="AP25" i="8"/>
  <c r="AP26" i="8"/>
  <c r="AP27" i="8"/>
  <c r="AP28" i="8"/>
  <c r="AP29" i="8"/>
  <c r="AP30" i="8"/>
  <c r="AP31" i="8"/>
  <c r="AP32" i="8"/>
  <c r="AP33" i="8"/>
  <c r="AP34" i="8"/>
  <c r="AP35" i="8"/>
  <c r="AP36" i="8"/>
  <c r="AP37" i="8"/>
  <c r="AP38" i="8"/>
  <c r="AP39" i="8"/>
  <c r="AP40" i="8"/>
  <c r="AP41" i="8"/>
  <c r="AP42" i="8"/>
  <c r="AP43" i="8"/>
  <c r="AP44" i="8"/>
  <c r="AP45" i="8"/>
  <c r="AP46" i="8"/>
  <c r="AP47" i="8"/>
  <c r="AP48" i="8"/>
  <c r="AP49" i="8"/>
  <c r="AO4" i="8"/>
  <c r="AO5" i="8"/>
  <c r="AO6" i="8"/>
  <c r="AO7" i="8"/>
  <c r="AO8" i="8"/>
  <c r="AO9" i="8"/>
  <c r="AO10" i="8"/>
  <c r="AO11" i="8"/>
  <c r="AO12" i="8"/>
  <c r="AO13" i="8"/>
  <c r="AO14" i="8"/>
  <c r="AO15" i="8"/>
  <c r="AO16" i="8"/>
  <c r="AO17" i="8"/>
  <c r="AO18" i="8"/>
  <c r="AO19" i="8"/>
  <c r="AO20" i="8"/>
  <c r="AO21" i="8"/>
  <c r="AO22" i="8"/>
  <c r="AO23" i="8"/>
  <c r="AO24" i="8"/>
  <c r="AO25" i="8"/>
  <c r="AO26" i="8"/>
  <c r="AO27" i="8"/>
  <c r="AO28" i="8"/>
  <c r="AO29" i="8"/>
  <c r="AO30" i="8"/>
  <c r="AO31" i="8"/>
  <c r="AO32" i="8"/>
  <c r="AO33" i="8"/>
  <c r="AO34" i="8"/>
  <c r="AO35" i="8"/>
  <c r="AO36" i="8"/>
  <c r="AO37" i="8"/>
  <c r="AO38" i="8"/>
  <c r="AO39" i="8"/>
  <c r="AO40" i="8"/>
  <c r="AO41" i="8"/>
  <c r="AO42" i="8"/>
  <c r="AO43" i="8"/>
  <c r="AO44" i="8"/>
  <c r="AO45" i="8"/>
  <c r="AO46" i="8"/>
  <c r="AO47" i="8"/>
  <c r="AO48" i="8"/>
  <c r="AO49" i="8"/>
  <c r="AN4" i="8"/>
  <c r="AN5" i="8"/>
  <c r="AN6" i="8"/>
  <c r="AN7" i="8"/>
  <c r="AN8" i="8"/>
  <c r="AN9" i="8"/>
  <c r="AN10" i="8"/>
  <c r="AN11" i="8"/>
  <c r="AN12" i="8"/>
  <c r="AN13" i="8"/>
  <c r="AN14" i="8"/>
  <c r="AN15" i="8"/>
  <c r="AN16" i="8"/>
  <c r="AN17" i="8"/>
  <c r="AN18" i="8"/>
  <c r="AN19" i="8"/>
  <c r="AN20" i="8"/>
  <c r="AN21" i="8"/>
  <c r="AN22" i="8"/>
  <c r="AN23" i="8"/>
  <c r="AN24" i="8"/>
  <c r="AN25" i="8"/>
  <c r="AN26" i="8"/>
  <c r="AN27" i="8"/>
  <c r="AN28" i="8"/>
  <c r="AN29" i="8"/>
  <c r="AN30" i="8"/>
  <c r="AN31" i="8"/>
  <c r="AN32" i="8"/>
  <c r="AN33" i="8"/>
  <c r="AN34" i="8"/>
  <c r="AN35" i="8"/>
  <c r="AN36" i="8"/>
  <c r="AN37" i="8"/>
  <c r="AN38" i="8"/>
  <c r="AN39" i="8"/>
  <c r="AN40" i="8"/>
  <c r="AN41" i="8"/>
  <c r="AN42" i="8"/>
  <c r="AN43" i="8"/>
  <c r="AN44" i="8"/>
  <c r="AN45" i="8"/>
  <c r="AN46" i="8"/>
  <c r="AN47" i="8"/>
  <c r="AN48" i="8"/>
  <c r="AN49" i="8"/>
  <c r="AM4" i="8"/>
  <c r="AM5" i="8"/>
  <c r="AM6" i="8"/>
  <c r="AM7" i="8"/>
  <c r="AM8" i="8"/>
  <c r="AM9" i="8"/>
  <c r="AM10" i="8"/>
  <c r="AM11" i="8"/>
  <c r="AM12" i="8"/>
  <c r="AM13" i="8"/>
  <c r="AM14" i="8"/>
  <c r="AM15" i="8"/>
  <c r="AM16" i="8"/>
  <c r="AM17" i="8"/>
  <c r="AM18" i="8"/>
  <c r="AM19" i="8"/>
  <c r="AM20" i="8"/>
  <c r="AM21" i="8"/>
  <c r="AM22" i="8"/>
  <c r="AM23" i="8"/>
  <c r="AM24" i="8"/>
  <c r="AM25" i="8"/>
  <c r="AM26" i="8"/>
  <c r="AM27" i="8"/>
  <c r="AM28" i="8"/>
  <c r="AM29" i="8"/>
  <c r="AM30" i="8"/>
  <c r="AM31" i="8"/>
  <c r="AM32" i="8"/>
  <c r="AM33" i="8"/>
  <c r="AM34" i="8"/>
  <c r="AM35" i="8"/>
  <c r="AM36" i="8"/>
  <c r="AM37" i="8"/>
  <c r="AM38" i="8"/>
  <c r="AM39" i="8"/>
  <c r="AM40" i="8"/>
  <c r="AM41" i="8"/>
  <c r="AM42" i="8"/>
  <c r="AM43" i="8"/>
  <c r="AM44" i="8"/>
  <c r="AM45" i="8"/>
  <c r="AM46" i="8"/>
  <c r="AM47" i="8"/>
  <c r="AM48" i="8"/>
  <c r="AM49" i="8"/>
  <c r="AN3" i="8"/>
  <c r="AO3" i="8"/>
  <c r="AP3" i="8"/>
  <c r="AQ3" i="8"/>
  <c r="AR3" i="8"/>
  <c r="AS3" i="8"/>
  <c r="AT3" i="8"/>
  <c r="AU3" i="8"/>
  <c r="AV3" i="8"/>
  <c r="AW3" i="8"/>
  <c r="AX3" i="8"/>
  <c r="AY3" i="8"/>
  <c r="AZ3" i="8"/>
  <c r="BA3" i="8"/>
  <c r="BB3" i="8"/>
  <c r="BC3" i="8"/>
  <c r="AD4" i="8"/>
  <c r="AD5" i="8"/>
  <c r="AD6" i="8"/>
  <c r="AD7" i="8"/>
  <c r="AD8" i="8"/>
  <c r="BM51" i="8" s="1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3" i="8"/>
  <c r="D80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C80" i="7"/>
  <c r="Z4" i="8"/>
  <c r="Z5" i="8"/>
  <c r="Z6" i="8"/>
  <c r="Z7" i="8"/>
  <c r="Z8" i="8"/>
  <c r="BI50" i="8" s="1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3" i="8"/>
  <c r="AM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3" i="8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A4" i="8"/>
  <c r="AA5" i="8"/>
  <c r="AA6" i="8"/>
  <c r="AA7" i="8"/>
  <c r="AA8" i="8"/>
  <c r="AA9" i="8"/>
  <c r="AB9" i="8" s="1"/>
  <c r="AA10" i="8"/>
  <c r="AA11" i="8"/>
  <c r="AA12" i="8"/>
  <c r="AA13" i="8"/>
  <c r="AA14" i="8"/>
  <c r="AB14" i="8" s="1"/>
  <c r="AA15" i="8"/>
  <c r="AB15" i="8" s="1"/>
  <c r="AA16" i="8"/>
  <c r="AB16" i="8" s="1"/>
  <c r="AA17" i="8"/>
  <c r="AB17" i="8" s="1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B30" i="8" s="1"/>
  <c r="AA31" i="8"/>
  <c r="AB31" i="8" s="1"/>
  <c r="AA32" i="8"/>
  <c r="AB32" i="8" s="1"/>
  <c r="AA33" i="8"/>
  <c r="AA34" i="8"/>
  <c r="AB34" i="8" s="1"/>
  <c r="AA35" i="8"/>
  <c r="AA36" i="8"/>
  <c r="AA37" i="8"/>
  <c r="AA38" i="8"/>
  <c r="AA39" i="8"/>
  <c r="AA40" i="8"/>
  <c r="AA41" i="8"/>
  <c r="AA42" i="8"/>
  <c r="AA43" i="8"/>
  <c r="AA44" i="8"/>
  <c r="AA45" i="8"/>
  <c r="AA46" i="8"/>
  <c r="AB46" i="8" s="1"/>
  <c r="AA47" i="8"/>
  <c r="AB47" i="8" s="1"/>
  <c r="AA48" i="8"/>
  <c r="AA49" i="8"/>
  <c r="AB49" i="8" s="1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AA3" i="8"/>
  <c r="AB3" i="8" s="1"/>
  <c r="AC3" i="8"/>
  <c r="X3" i="8"/>
  <c r="W3" i="8"/>
  <c r="U3" i="7"/>
  <c r="T3" i="7"/>
  <c r="T11" i="15" l="1"/>
  <c r="S13" i="15"/>
  <c r="S11" i="12"/>
  <c r="S13" i="11"/>
  <c r="T13" i="10"/>
  <c r="S6" i="9"/>
  <c r="S2" i="9"/>
  <c r="W2" i="9" s="1"/>
  <c r="BF51" i="8"/>
  <c r="BF50" i="8"/>
  <c r="BI51" i="8"/>
  <c r="BL50" i="8"/>
  <c r="BL51" i="8"/>
  <c r="BG51" i="8"/>
  <c r="BJ50" i="8"/>
  <c r="BN51" i="8"/>
  <c r="BO51" i="8"/>
  <c r="BO50" i="8"/>
  <c r="Y51" i="8"/>
  <c r="BJ51" i="8"/>
  <c r="BG50" i="8"/>
  <c r="T5" i="16"/>
  <c r="S8" i="16"/>
  <c r="U8" i="16" s="1"/>
  <c r="W3" i="16"/>
  <c r="T12" i="16"/>
  <c r="T5" i="15"/>
  <c r="T13" i="14"/>
  <c r="T11" i="14"/>
  <c r="S12" i="14"/>
  <c r="W7" i="14"/>
  <c r="T10" i="14"/>
  <c r="S11" i="14"/>
  <c r="T8" i="13"/>
  <c r="S3" i="12"/>
  <c r="W3" i="12" s="1"/>
  <c r="W7" i="12"/>
  <c r="S5" i="12"/>
  <c r="W5" i="12" s="1"/>
  <c r="W4" i="12"/>
  <c r="S9" i="11"/>
  <c r="U9" i="11" s="1"/>
  <c r="T8" i="11"/>
  <c r="S12" i="11"/>
  <c r="T9" i="10"/>
  <c r="S10" i="10"/>
  <c r="S9" i="10"/>
  <c r="U9" i="10" s="1"/>
  <c r="W6" i="9"/>
  <c r="T8" i="9"/>
  <c r="S7" i="9"/>
  <c r="S8" i="9"/>
  <c r="S9" i="9"/>
  <c r="S4" i="9"/>
  <c r="W4" i="9" s="1"/>
  <c r="S10" i="9"/>
  <c r="T5" i="9"/>
  <c r="S13" i="9"/>
  <c r="C81" i="7"/>
  <c r="AE22" i="8" s="1"/>
  <c r="BO48" i="8"/>
  <c r="BO40" i="8"/>
  <c r="BO32" i="8"/>
  <c r="BO24" i="8"/>
  <c r="BO16" i="8"/>
  <c r="BO8" i="8"/>
  <c r="BO9" i="8"/>
  <c r="BO6" i="8"/>
  <c r="BO45" i="8"/>
  <c r="BO37" i="8"/>
  <c r="BO29" i="8"/>
  <c r="BO21" i="8"/>
  <c r="BO13" i="8"/>
  <c r="BO5" i="8"/>
  <c r="BO43" i="8"/>
  <c r="BO35" i="8"/>
  <c r="BO27" i="8"/>
  <c r="BO19" i="8"/>
  <c r="BO11" i="8"/>
  <c r="BO46" i="8"/>
  <c r="BO38" i="8"/>
  <c r="BO30" i="8"/>
  <c r="BO22" i="8"/>
  <c r="BO14" i="8"/>
  <c r="BO47" i="8"/>
  <c r="BO31" i="8"/>
  <c r="BO15" i="8"/>
  <c r="BO44" i="8"/>
  <c r="BO36" i="8"/>
  <c r="BO28" i="8"/>
  <c r="BO20" i="8"/>
  <c r="BO12" i="8"/>
  <c r="BO4" i="8"/>
  <c r="BO39" i="8"/>
  <c r="BO23" i="8"/>
  <c r="BO7" i="8"/>
  <c r="BO3" i="8"/>
  <c r="BO34" i="8"/>
  <c r="BO18" i="8"/>
  <c r="BO49" i="8"/>
  <c r="BO41" i="8"/>
  <c r="BO33" i="8"/>
  <c r="BO25" i="8"/>
  <c r="BO17" i="8"/>
  <c r="BO42" i="8"/>
  <c r="BO26" i="8"/>
  <c r="BO10" i="8"/>
  <c r="S13" i="16"/>
  <c r="T11" i="16"/>
  <c r="S12" i="16"/>
  <c r="T10" i="16"/>
  <c r="U10" i="16" s="1"/>
  <c r="S11" i="16"/>
  <c r="U11" i="16" s="1"/>
  <c r="T9" i="16"/>
  <c r="T8" i="16"/>
  <c r="S9" i="16"/>
  <c r="T13" i="16"/>
  <c r="S12" i="15"/>
  <c r="S11" i="15"/>
  <c r="U11" i="15" s="1"/>
  <c r="T9" i="15"/>
  <c r="T10" i="15"/>
  <c r="S10" i="15"/>
  <c r="T8" i="15"/>
  <c r="S9" i="15"/>
  <c r="S8" i="15"/>
  <c r="T13" i="15"/>
  <c r="U13" i="15" s="1"/>
  <c r="T12" i="15"/>
  <c r="U11" i="14"/>
  <c r="S10" i="14"/>
  <c r="S9" i="14"/>
  <c r="U9" i="14" s="1"/>
  <c r="T8" i="14"/>
  <c r="S8" i="14"/>
  <c r="T12" i="14"/>
  <c r="S13" i="14"/>
  <c r="U13" i="14" s="1"/>
  <c r="T5" i="13"/>
  <c r="S9" i="13"/>
  <c r="S8" i="13"/>
  <c r="U8" i="13" s="1"/>
  <c r="T12" i="13"/>
  <c r="T13" i="13"/>
  <c r="S13" i="13"/>
  <c r="T11" i="13"/>
  <c r="S12" i="13"/>
  <c r="U12" i="13" s="1"/>
  <c r="T10" i="13"/>
  <c r="U10" i="13" s="1"/>
  <c r="S11" i="13"/>
  <c r="T9" i="13"/>
  <c r="T12" i="12"/>
  <c r="S13" i="12"/>
  <c r="T11" i="12"/>
  <c r="U11" i="12" s="1"/>
  <c r="S12" i="12"/>
  <c r="U12" i="12" s="1"/>
  <c r="T10" i="12"/>
  <c r="S10" i="12"/>
  <c r="T8" i="12"/>
  <c r="S9" i="12"/>
  <c r="U9" i="12" s="1"/>
  <c r="S8" i="12"/>
  <c r="T13" i="12"/>
  <c r="T11" i="11"/>
  <c r="U11" i="11" s="1"/>
  <c r="T10" i="11"/>
  <c r="S10" i="11"/>
  <c r="T5" i="11"/>
  <c r="S8" i="11"/>
  <c r="U8" i="11" s="1"/>
  <c r="T13" i="11"/>
  <c r="U13" i="11" s="1"/>
  <c r="T12" i="11"/>
  <c r="T8" i="10"/>
  <c r="T2" i="10"/>
  <c r="S8" i="10"/>
  <c r="T12" i="10"/>
  <c r="S13" i="10"/>
  <c r="U13" i="10" s="1"/>
  <c r="T11" i="10"/>
  <c r="S12" i="10"/>
  <c r="T10" i="10"/>
  <c r="U10" i="10" s="1"/>
  <c r="S11" i="10"/>
  <c r="T4" i="9"/>
  <c r="T13" i="9"/>
  <c r="U13" i="9" s="1"/>
  <c r="S5" i="9"/>
  <c r="T3" i="9"/>
  <c r="T12" i="9"/>
  <c r="T11" i="9"/>
  <c r="S3" i="9"/>
  <c r="W3" i="9" s="1"/>
  <c r="S12" i="9"/>
  <c r="T10" i="9"/>
  <c r="T2" i="9"/>
  <c r="S11" i="9"/>
  <c r="T9" i="9"/>
  <c r="T7" i="9"/>
  <c r="U7" i="9" s="1"/>
  <c r="T6" i="9"/>
  <c r="U6" i="9" s="1"/>
  <c r="C83" i="7"/>
  <c r="S3" i="16"/>
  <c r="S3" i="15"/>
  <c r="W3" i="15" s="1"/>
  <c r="T5" i="14"/>
  <c r="T5" i="12"/>
  <c r="S4" i="12"/>
  <c r="T3" i="16"/>
  <c r="S6" i="16"/>
  <c r="W6" i="16" s="1"/>
  <c r="T6" i="16"/>
  <c r="S4" i="16"/>
  <c r="W4" i="16" s="1"/>
  <c r="T4" i="16"/>
  <c r="S7" i="16"/>
  <c r="W7" i="16" s="1"/>
  <c r="S2" i="16"/>
  <c r="W2" i="16" s="1"/>
  <c r="T7" i="16"/>
  <c r="T2" i="16"/>
  <c r="S5" i="16"/>
  <c r="U5" i="16" s="1"/>
  <c r="T3" i="15"/>
  <c r="S6" i="15"/>
  <c r="W6" i="15" s="1"/>
  <c r="T6" i="15"/>
  <c r="S4" i="15"/>
  <c r="W4" i="15" s="1"/>
  <c r="T4" i="15"/>
  <c r="S7" i="15"/>
  <c r="W7" i="15" s="1"/>
  <c r="S2" i="15"/>
  <c r="W2" i="15" s="1"/>
  <c r="T7" i="15"/>
  <c r="T2" i="15"/>
  <c r="S5" i="15"/>
  <c r="W5" i="15" s="1"/>
  <c r="T3" i="14"/>
  <c r="S6" i="14"/>
  <c r="W6" i="14" s="1"/>
  <c r="T6" i="14"/>
  <c r="S4" i="14"/>
  <c r="W4" i="14" s="1"/>
  <c r="T4" i="14"/>
  <c r="S7" i="14"/>
  <c r="S3" i="14"/>
  <c r="W3" i="14" s="1"/>
  <c r="S2" i="14"/>
  <c r="W2" i="14" s="1"/>
  <c r="T7" i="14"/>
  <c r="T2" i="14"/>
  <c r="S5" i="14"/>
  <c r="T3" i="13"/>
  <c r="S6" i="13"/>
  <c r="W6" i="13" s="1"/>
  <c r="T6" i="13"/>
  <c r="S4" i="13"/>
  <c r="W4" i="13" s="1"/>
  <c r="S3" i="13"/>
  <c r="W3" i="13" s="1"/>
  <c r="T4" i="13"/>
  <c r="S7" i="13"/>
  <c r="W7" i="13" s="1"/>
  <c r="S2" i="13"/>
  <c r="W2" i="13" s="1"/>
  <c r="T7" i="13"/>
  <c r="T2" i="13"/>
  <c r="S5" i="13"/>
  <c r="W5" i="13" s="1"/>
  <c r="T3" i="12"/>
  <c r="U3" i="12" s="1"/>
  <c r="S6" i="12"/>
  <c r="W6" i="12" s="1"/>
  <c r="T6" i="12"/>
  <c r="T4" i="12"/>
  <c r="S2" i="12"/>
  <c r="W2" i="12" s="1"/>
  <c r="T7" i="12"/>
  <c r="U7" i="12" s="1"/>
  <c r="T2" i="12"/>
  <c r="T6" i="11"/>
  <c r="S3" i="11"/>
  <c r="W3" i="11" s="1"/>
  <c r="S4" i="11"/>
  <c r="W4" i="11" s="1"/>
  <c r="S6" i="11"/>
  <c r="T4" i="11"/>
  <c r="S7" i="11"/>
  <c r="W7" i="11" s="1"/>
  <c r="T3" i="11"/>
  <c r="S2" i="11"/>
  <c r="W2" i="11" s="1"/>
  <c r="T7" i="11"/>
  <c r="T2" i="11"/>
  <c r="S5" i="11"/>
  <c r="T5" i="10"/>
  <c r="S5" i="10"/>
  <c r="W5" i="10" s="1"/>
  <c r="T3" i="10"/>
  <c r="S6" i="10"/>
  <c r="W6" i="10" s="1"/>
  <c r="T6" i="10"/>
  <c r="S3" i="10"/>
  <c r="W3" i="10" s="1"/>
  <c r="S4" i="10"/>
  <c r="W4" i="10" s="1"/>
  <c r="T4" i="10"/>
  <c r="S7" i="10"/>
  <c r="W7" i="10" s="1"/>
  <c r="S2" i="10"/>
  <c r="W2" i="10" s="1"/>
  <c r="T7" i="10"/>
  <c r="Y10" i="8"/>
  <c r="Y41" i="8"/>
  <c r="Y25" i="8"/>
  <c r="BM23" i="8"/>
  <c r="BM39" i="8"/>
  <c r="BJ44" i="8"/>
  <c r="BJ12" i="8"/>
  <c r="BN38" i="8"/>
  <c r="BN30" i="8"/>
  <c r="BI46" i="8"/>
  <c r="BI38" i="8"/>
  <c r="BI30" i="8"/>
  <c r="BJ28" i="8"/>
  <c r="BN46" i="8"/>
  <c r="Y21" i="8"/>
  <c r="BF46" i="8"/>
  <c r="BF38" i="8"/>
  <c r="BF30" i="8"/>
  <c r="BF22" i="8"/>
  <c r="BG44" i="8"/>
  <c r="BG36" i="8"/>
  <c r="BG28" i="8"/>
  <c r="BG20" i="8"/>
  <c r="BG12" i="8"/>
  <c r="BI22" i="8"/>
  <c r="BM7" i="8"/>
  <c r="BF29" i="8"/>
  <c r="BF5" i="8"/>
  <c r="BG11" i="8"/>
  <c r="BJ27" i="8"/>
  <c r="BN45" i="8"/>
  <c r="BN37" i="8"/>
  <c r="BN29" i="8"/>
  <c r="BN21" i="8"/>
  <c r="BN13" i="8"/>
  <c r="BN5" i="8"/>
  <c r="BI45" i="8"/>
  <c r="BI37" i="8"/>
  <c r="BI29" i="8"/>
  <c r="BI21" i="8"/>
  <c r="BI13" i="8"/>
  <c r="BI5" i="8"/>
  <c r="C85" i="7"/>
  <c r="BM38" i="8"/>
  <c r="BM22" i="8"/>
  <c r="BM6" i="8"/>
  <c r="BL27" i="8"/>
  <c r="BF45" i="8"/>
  <c r="BF21" i="8"/>
  <c r="BG43" i="8"/>
  <c r="BG27" i="8"/>
  <c r="BJ11" i="8"/>
  <c r="BL26" i="8"/>
  <c r="Y3" i="8"/>
  <c r="BF36" i="8"/>
  <c r="BF12" i="8"/>
  <c r="BG34" i="8"/>
  <c r="BG18" i="8"/>
  <c r="BL9" i="8"/>
  <c r="BN28" i="8"/>
  <c r="BN20" i="8"/>
  <c r="BN4" i="8"/>
  <c r="BI44" i="8"/>
  <c r="BI36" i="8"/>
  <c r="BI28" i="8"/>
  <c r="BI20" i="8"/>
  <c r="BI12" i="8"/>
  <c r="BI4" i="8"/>
  <c r="C82" i="7"/>
  <c r="BM37" i="8"/>
  <c r="BM21" i="8"/>
  <c r="BM5" i="8"/>
  <c r="BL11" i="8"/>
  <c r="BN22" i="8"/>
  <c r="BI14" i="8"/>
  <c r="BF3" i="8"/>
  <c r="Y37" i="8"/>
  <c r="BF13" i="8"/>
  <c r="BG35" i="8"/>
  <c r="BG19" i="8"/>
  <c r="BJ43" i="8"/>
  <c r="BL42" i="8"/>
  <c r="BL10" i="8"/>
  <c r="BF44" i="8"/>
  <c r="BF28" i="8"/>
  <c r="BF20" i="8"/>
  <c r="BF4" i="8"/>
  <c r="BG42" i="8"/>
  <c r="BG26" i="8"/>
  <c r="BG10" i="8"/>
  <c r="BJ42" i="8"/>
  <c r="BJ26" i="8"/>
  <c r="BJ10" i="8"/>
  <c r="BL41" i="8"/>
  <c r="BL25" i="8"/>
  <c r="BN44" i="8"/>
  <c r="BN36" i="8"/>
  <c r="BN12" i="8"/>
  <c r="BF43" i="8"/>
  <c r="BF35" i="8"/>
  <c r="BF27" i="8"/>
  <c r="BF19" i="8"/>
  <c r="BF11" i="8"/>
  <c r="BG49" i="8"/>
  <c r="BG41" i="8"/>
  <c r="BG33" i="8"/>
  <c r="BG25" i="8"/>
  <c r="BG17" i="8"/>
  <c r="BG9" i="8"/>
  <c r="BJ41" i="8"/>
  <c r="BJ33" i="8"/>
  <c r="BJ25" i="8"/>
  <c r="BJ9" i="8"/>
  <c r="BL40" i="8"/>
  <c r="BL24" i="8"/>
  <c r="BL8" i="8"/>
  <c r="BN43" i="8"/>
  <c r="BN35" i="8"/>
  <c r="BN27" i="8"/>
  <c r="BN19" i="8"/>
  <c r="BN11" i="8"/>
  <c r="BI43" i="8"/>
  <c r="BI35" i="8"/>
  <c r="BI27" i="8"/>
  <c r="BI19" i="8"/>
  <c r="BI11" i="8"/>
  <c r="BM36" i="8"/>
  <c r="BM20" i="8"/>
  <c r="BM4" i="8"/>
  <c r="BF6" i="8"/>
  <c r="BF42" i="8"/>
  <c r="BF10" i="8"/>
  <c r="BG32" i="8"/>
  <c r="BG16" i="8"/>
  <c r="BG8" i="8"/>
  <c r="BJ48" i="8"/>
  <c r="BJ40" i="8"/>
  <c r="BJ24" i="8"/>
  <c r="BJ8" i="8"/>
  <c r="BL39" i="8"/>
  <c r="BL23" i="8"/>
  <c r="BL7" i="8"/>
  <c r="BN3" i="8"/>
  <c r="BN42" i="8"/>
  <c r="BN34" i="8"/>
  <c r="BN26" i="8"/>
  <c r="BN18" i="8"/>
  <c r="BN10" i="8"/>
  <c r="BI3" i="8"/>
  <c r="BI42" i="8"/>
  <c r="BI34" i="8"/>
  <c r="BI26" i="8"/>
  <c r="BI18" i="8"/>
  <c r="BI10" i="8"/>
  <c r="BM43" i="8"/>
  <c r="BM27" i="8"/>
  <c r="BM11" i="8"/>
  <c r="BF26" i="8"/>
  <c r="BG48" i="8"/>
  <c r="BG24" i="8"/>
  <c r="BF33" i="8"/>
  <c r="BF17" i="8"/>
  <c r="BG47" i="8"/>
  <c r="BG23" i="8"/>
  <c r="BL38" i="8"/>
  <c r="BL6" i="8"/>
  <c r="T80" i="7"/>
  <c r="BN41" i="8"/>
  <c r="BN33" i="8"/>
  <c r="BN25" i="8"/>
  <c r="BN17" i="8"/>
  <c r="BN9" i="8"/>
  <c r="BI49" i="8"/>
  <c r="BI41" i="8"/>
  <c r="BI33" i="8"/>
  <c r="BI25" i="8"/>
  <c r="BI17" i="8"/>
  <c r="BI9" i="8"/>
  <c r="C87" i="7"/>
  <c r="AG32" i="8" s="1"/>
  <c r="BM42" i="8"/>
  <c r="BM26" i="8"/>
  <c r="BM10" i="8"/>
  <c r="BF14" i="8"/>
  <c r="BG4" i="8"/>
  <c r="BL43" i="8"/>
  <c r="BN6" i="8"/>
  <c r="BF34" i="8"/>
  <c r="BF18" i="8"/>
  <c r="BG40" i="8"/>
  <c r="BF49" i="8"/>
  <c r="BF9" i="8"/>
  <c r="BG31" i="8"/>
  <c r="BG15" i="8"/>
  <c r="BJ39" i="8"/>
  <c r="BJ23" i="8"/>
  <c r="BJ7" i="8"/>
  <c r="BL22" i="8"/>
  <c r="BN49" i="8"/>
  <c r="BF48" i="8"/>
  <c r="Y40" i="8"/>
  <c r="BF32" i="8"/>
  <c r="BF24" i="8"/>
  <c r="BF16" i="8"/>
  <c r="Y8" i="8"/>
  <c r="BG46" i="8"/>
  <c r="BG38" i="8"/>
  <c r="BG30" i="8"/>
  <c r="BG22" i="8"/>
  <c r="BG14" i="8"/>
  <c r="BG6" i="8"/>
  <c r="AE38" i="8"/>
  <c r="AE6" i="8"/>
  <c r="BL45" i="8"/>
  <c r="BL29" i="8"/>
  <c r="BL13" i="8"/>
  <c r="U80" i="7"/>
  <c r="BN48" i="8"/>
  <c r="BN40" i="8"/>
  <c r="BN32" i="8"/>
  <c r="BN24" i="8"/>
  <c r="BN16" i="8"/>
  <c r="BN8" i="8"/>
  <c r="BI48" i="8"/>
  <c r="BI40" i="8"/>
  <c r="BI32" i="8"/>
  <c r="BI24" i="8"/>
  <c r="BI16" i="8"/>
  <c r="BI8" i="8"/>
  <c r="BM41" i="8"/>
  <c r="BM25" i="8"/>
  <c r="BM9" i="8"/>
  <c r="BN14" i="8"/>
  <c r="BI6" i="8"/>
  <c r="BF47" i="8"/>
  <c r="BF39" i="8"/>
  <c r="BF31" i="8"/>
  <c r="BF23" i="8"/>
  <c r="BF15" i="8"/>
  <c r="BF7" i="8"/>
  <c r="BG45" i="8"/>
  <c r="BG37" i="8"/>
  <c r="BG29" i="8"/>
  <c r="BG21" i="8"/>
  <c r="BG13" i="8"/>
  <c r="BJ45" i="8"/>
  <c r="BJ29" i="8"/>
  <c r="BJ13" i="8"/>
  <c r="BL44" i="8"/>
  <c r="BL28" i="8"/>
  <c r="BL12" i="8"/>
  <c r="BN47" i="8"/>
  <c r="BN39" i="8"/>
  <c r="BN31" i="8"/>
  <c r="BN23" i="8"/>
  <c r="BN15" i="8"/>
  <c r="BN7" i="8"/>
  <c r="BI47" i="8"/>
  <c r="BI39" i="8"/>
  <c r="BI31" i="8"/>
  <c r="BI23" i="8"/>
  <c r="BI15" i="8"/>
  <c r="BI7" i="8"/>
  <c r="BM40" i="8"/>
  <c r="BM24" i="8"/>
  <c r="BM8" i="8"/>
  <c r="C86" i="7"/>
  <c r="AH8" i="8" s="1"/>
  <c r="AE18" i="8"/>
  <c r="AE35" i="8"/>
  <c r="AE19" i="8"/>
  <c r="AF34" i="8"/>
  <c r="AE36" i="8"/>
  <c r="AE20" i="8"/>
  <c r="AE37" i="8"/>
  <c r="AE21" i="8"/>
  <c r="AE5" i="8"/>
  <c r="BJ34" i="8"/>
  <c r="BJ18" i="8"/>
  <c r="BL46" i="8"/>
  <c r="BL30" i="8"/>
  <c r="BL14" i="8"/>
  <c r="BM44" i="8"/>
  <c r="BM28" i="8"/>
  <c r="BM12" i="8"/>
  <c r="AE39" i="8"/>
  <c r="AE23" i="8"/>
  <c r="AE7" i="8"/>
  <c r="BJ35" i="8"/>
  <c r="BJ19" i="8"/>
  <c r="BL47" i="8"/>
  <c r="BL31" i="8"/>
  <c r="BL15" i="8"/>
  <c r="BM45" i="8"/>
  <c r="BM29" i="8"/>
  <c r="BM13" i="8"/>
  <c r="AE40" i="8"/>
  <c r="AE24" i="8"/>
  <c r="AE8" i="8"/>
  <c r="AB18" i="8"/>
  <c r="BJ36" i="8"/>
  <c r="BJ20" i="8"/>
  <c r="BJ4" i="8"/>
  <c r="BL48" i="8"/>
  <c r="BL32" i="8"/>
  <c r="BL16" i="8"/>
  <c r="BM46" i="8"/>
  <c r="BM30" i="8"/>
  <c r="BM14" i="8"/>
  <c r="AE41" i="8"/>
  <c r="AE25" i="8"/>
  <c r="AE9" i="8"/>
  <c r="BJ37" i="8"/>
  <c r="BJ21" i="8"/>
  <c r="BJ5" i="8"/>
  <c r="BL49" i="8"/>
  <c r="BL33" i="8"/>
  <c r="BL17" i="8"/>
  <c r="BM47" i="8"/>
  <c r="BM31" i="8"/>
  <c r="BM15" i="8"/>
  <c r="AE42" i="8"/>
  <c r="AE26" i="8"/>
  <c r="AE10" i="8"/>
  <c r="AF9" i="8"/>
  <c r="AB35" i="8"/>
  <c r="BJ38" i="8"/>
  <c r="BJ22" i="8"/>
  <c r="BJ6" i="8"/>
  <c r="BL34" i="8"/>
  <c r="BL18" i="8"/>
  <c r="BM48" i="8"/>
  <c r="BM32" i="8"/>
  <c r="BM16" i="8"/>
  <c r="AE43" i="8"/>
  <c r="AE27" i="8"/>
  <c r="AE11" i="8"/>
  <c r="BL35" i="8"/>
  <c r="BL19" i="8"/>
  <c r="BM49" i="8"/>
  <c r="BM33" i="8"/>
  <c r="BM17" i="8"/>
  <c r="AE44" i="8"/>
  <c r="AE28" i="8"/>
  <c r="AE12" i="8"/>
  <c r="BL36" i="8"/>
  <c r="BL20" i="8"/>
  <c r="BL4" i="8"/>
  <c r="BM34" i="8"/>
  <c r="BM18" i="8"/>
  <c r="AE45" i="8"/>
  <c r="AE29" i="8"/>
  <c r="AE13" i="8"/>
  <c r="Y5" i="8"/>
  <c r="BG3" i="8"/>
  <c r="BL37" i="8"/>
  <c r="BL21" i="8"/>
  <c r="BL5" i="8"/>
  <c r="BM35" i="8"/>
  <c r="BM19" i="8"/>
  <c r="AE46" i="8"/>
  <c r="AE30" i="8"/>
  <c r="AE14" i="8"/>
  <c r="AE47" i="8"/>
  <c r="AE31" i="8"/>
  <c r="AE15" i="8"/>
  <c r="Y39" i="8"/>
  <c r="Y7" i="8"/>
  <c r="AE48" i="8"/>
  <c r="AE32" i="8"/>
  <c r="AE16" i="8"/>
  <c r="BJ3" i="8"/>
  <c r="AE49" i="8"/>
  <c r="AE33" i="8"/>
  <c r="AE17" i="8"/>
  <c r="BF37" i="8"/>
  <c r="AE3" i="8"/>
  <c r="AE34" i="8"/>
  <c r="Y42" i="8"/>
  <c r="Y26" i="8"/>
  <c r="BL3" i="8"/>
  <c r="BJ46" i="8"/>
  <c r="BJ30" i="8"/>
  <c r="BJ14" i="8"/>
  <c r="BM3" i="8"/>
  <c r="BG5" i="8"/>
  <c r="BJ47" i="8"/>
  <c r="BJ31" i="8"/>
  <c r="BJ15" i="8"/>
  <c r="BF40" i="8"/>
  <c r="BF8" i="8"/>
  <c r="BJ32" i="8"/>
  <c r="BJ16" i="8"/>
  <c r="BF41" i="8"/>
  <c r="BF25" i="8"/>
  <c r="BG39" i="8"/>
  <c r="BG7" i="8"/>
  <c r="BJ49" i="8"/>
  <c r="BJ17" i="8"/>
  <c r="AB48" i="8"/>
  <c r="AB4" i="8"/>
  <c r="BK51" i="8" s="1"/>
  <c r="Y36" i="8"/>
  <c r="Y4" i="8"/>
  <c r="Y20" i="8"/>
  <c r="AB36" i="8"/>
  <c r="AB41" i="8"/>
  <c r="Y17" i="8"/>
  <c r="AB19" i="8"/>
  <c r="Y18" i="8"/>
  <c r="AB20" i="8"/>
  <c r="AB25" i="8"/>
  <c r="Y24" i="8"/>
  <c r="AB27" i="8"/>
  <c r="AB28" i="8"/>
  <c r="Y33" i="8"/>
  <c r="Y34" i="8"/>
  <c r="Y38" i="8"/>
  <c r="Y22" i="8"/>
  <c r="Y6" i="8"/>
  <c r="AB43" i="8"/>
  <c r="AB11" i="8"/>
  <c r="AB44" i="8"/>
  <c r="AB12" i="8"/>
  <c r="Y49" i="8"/>
  <c r="Y23" i="8"/>
  <c r="AB33" i="8"/>
  <c r="Y9" i="8"/>
  <c r="Y43" i="8"/>
  <c r="Y27" i="8"/>
  <c r="Y11" i="8"/>
  <c r="AB37" i="8"/>
  <c r="AB21" i="8"/>
  <c r="AB5" i="8"/>
  <c r="Y44" i="8"/>
  <c r="AB38" i="8"/>
  <c r="AB6" i="8"/>
  <c r="Y45" i="8"/>
  <c r="Y29" i="8"/>
  <c r="Y13" i="8"/>
  <c r="AB39" i="8"/>
  <c r="AB23" i="8"/>
  <c r="AB7" i="8"/>
  <c r="Y12" i="8"/>
  <c r="AB22" i="8"/>
  <c r="Y46" i="8"/>
  <c r="Y14" i="8"/>
  <c r="AB24" i="8"/>
  <c r="AB8" i="8"/>
  <c r="Y47" i="8"/>
  <c r="Y15" i="8"/>
  <c r="Y28" i="8"/>
  <c r="Y30" i="8"/>
  <c r="AB40" i="8"/>
  <c r="Y31" i="8"/>
  <c r="Y48" i="8"/>
  <c r="Y32" i="8"/>
  <c r="Y16" i="8"/>
  <c r="AB42" i="8"/>
  <c r="AB26" i="8"/>
  <c r="AB10" i="8"/>
  <c r="AB45" i="8"/>
  <c r="AB29" i="8"/>
  <c r="AB13" i="8"/>
  <c r="Y35" i="8"/>
  <c r="Y19" i="8"/>
  <c r="U5" i="14" l="1"/>
  <c r="U12" i="14"/>
  <c r="U10" i="14"/>
  <c r="U10" i="12"/>
  <c r="U8" i="10"/>
  <c r="U9" i="9"/>
  <c r="U10" i="9"/>
  <c r="U8" i="9"/>
  <c r="U5" i="9"/>
  <c r="W5" i="9"/>
  <c r="U2" i="9"/>
  <c r="AG18" i="8"/>
  <c r="AG6" i="8"/>
  <c r="AG11" i="8"/>
  <c r="AG16" i="8"/>
  <c r="AG39" i="8"/>
  <c r="AG24" i="8"/>
  <c r="AG41" i="8"/>
  <c r="AG29" i="8"/>
  <c r="AG19" i="8"/>
  <c r="AG25" i="8"/>
  <c r="AG13" i="8"/>
  <c r="AG36" i="8"/>
  <c r="AG5" i="8"/>
  <c r="AG9" i="8"/>
  <c r="AG46" i="8"/>
  <c r="AG38" i="8"/>
  <c r="AG10" i="8"/>
  <c r="AG31" i="8"/>
  <c r="AG4" i="8"/>
  <c r="AG22" i="8"/>
  <c r="AG27" i="8"/>
  <c r="AG48" i="8"/>
  <c r="BH50" i="8"/>
  <c r="BK50" i="8"/>
  <c r="BH51" i="8"/>
  <c r="AG23" i="8"/>
  <c r="AG20" i="8"/>
  <c r="AG44" i="8"/>
  <c r="AG30" i="8"/>
  <c r="AG49" i="8"/>
  <c r="AE4" i="8"/>
  <c r="AG37" i="8"/>
  <c r="AG7" i="8"/>
  <c r="AG42" i="8"/>
  <c r="AG28" i="8"/>
  <c r="AG14" i="8"/>
  <c r="AG33" i="8"/>
  <c r="AG21" i="8"/>
  <c r="AG40" i="8"/>
  <c r="AG26" i="8"/>
  <c r="AG12" i="8"/>
  <c r="AG47" i="8"/>
  <c r="AG3" i="8"/>
  <c r="AG8" i="8"/>
  <c r="AG43" i="8"/>
  <c r="AG45" i="8"/>
  <c r="AG15" i="8"/>
  <c r="AG35" i="8"/>
  <c r="U12" i="16"/>
  <c r="U9" i="16"/>
  <c r="W5" i="16"/>
  <c r="U12" i="15"/>
  <c r="U9" i="15"/>
  <c r="U5" i="15"/>
  <c r="W5" i="14"/>
  <c r="U13" i="13"/>
  <c r="U5" i="13"/>
  <c r="U5" i="12"/>
  <c r="U12" i="11"/>
  <c r="U6" i="11"/>
  <c r="W6" i="11"/>
  <c r="U5" i="11"/>
  <c r="W5" i="11"/>
  <c r="U12" i="9"/>
  <c r="U4" i="9"/>
  <c r="U3" i="9"/>
  <c r="AF31" i="8"/>
  <c r="AF50" i="8"/>
  <c r="AF51" i="8"/>
  <c r="AG34" i="8"/>
  <c r="AG50" i="8"/>
  <c r="AG51" i="8"/>
  <c r="AF23" i="8"/>
  <c r="AH49" i="8"/>
  <c r="AH50" i="8"/>
  <c r="AH51" i="8"/>
  <c r="AF24" i="8"/>
  <c r="AF47" i="8"/>
  <c r="AE50" i="8"/>
  <c r="AE51" i="8"/>
  <c r="U13" i="16"/>
  <c r="U3" i="16"/>
  <c r="U10" i="15"/>
  <c r="U3" i="15"/>
  <c r="U8" i="15"/>
  <c r="U8" i="14"/>
  <c r="U2" i="14"/>
  <c r="U7" i="13"/>
  <c r="U3" i="13"/>
  <c r="U11" i="13"/>
  <c r="U9" i="13"/>
  <c r="U2" i="12"/>
  <c r="U13" i="12"/>
  <c r="U8" i="12"/>
  <c r="U10" i="11"/>
  <c r="U7" i="11"/>
  <c r="U11" i="10"/>
  <c r="U2" i="10"/>
  <c r="U12" i="10"/>
  <c r="U11" i="9"/>
  <c r="AF10" i="8"/>
  <c r="AF25" i="8"/>
  <c r="AF40" i="8"/>
  <c r="AF39" i="8"/>
  <c r="AF21" i="8"/>
  <c r="AF16" i="8"/>
  <c r="AF14" i="8"/>
  <c r="AF12" i="8"/>
  <c r="AF26" i="8"/>
  <c r="AF41" i="8"/>
  <c r="AF19" i="8"/>
  <c r="AF32" i="8"/>
  <c r="AF30" i="8"/>
  <c r="AF42" i="8"/>
  <c r="AF17" i="8"/>
  <c r="AF46" i="8"/>
  <c r="AF13" i="8"/>
  <c r="AF11" i="8"/>
  <c r="AF6" i="8"/>
  <c r="AF36" i="8"/>
  <c r="AF49" i="8"/>
  <c r="AF5" i="8"/>
  <c r="AG17" i="8"/>
  <c r="AF28" i="8"/>
  <c r="AF35" i="8"/>
  <c r="AF20" i="8"/>
  <c r="AF33" i="8"/>
  <c r="AF29" i="8"/>
  <c r="AF27" i="8"/>
  <c r="AF22" i="8"/>
  <c r="AF15" i="8"/>
  <c r="C84" i="7"/>
  <c r="AF4" i="8"/>
  <c r="AF48" i="8"/>
  <c r="AF44" i="8"/>
  <c r="AF3" i="8"/>
  <c r="AF45" i="8"/>
  <c r="AF43" i="8"/>
  <c r="AF8" i="8"/>
  <c r="AF7" i="8"/>
  <c r="AF38" i="8"/>
  <c r="AF18" i="8"/>
  <c r="AF37" i="8"/>
  <c r="U7" i="15"/>
  <c r="U2" i="15"/>
  <c r="U4" i="15"/>
  <c r="U3" i="14"/>
  <c r="U7" i="14"/>
  <c r="U6" i="14"/>
  <c r="U2" i="13"/>
  <c r="U6" i="12"/>
  <c r="U4" i="12"/>
  <c r="U2" i="11"/>
  <c r="U5" i="10"/>
  <c r="U4" i="10"/>
  <c r="U3" i="10"/>
  <c r="U4" i="16"/>
  <c r="U2" i="16"/>
  <c r="U7" i="16"/>
  <c r="U6" i="16"/>
  <c r="U6" i="15"/>
  <c r="U4" i="14"/>
  <c r="U4" i="13"/>
  <c r="U6" i="13"/>
  <c r="U4" i="11"/>
  <c r="U3" i="11"/>
  <c r="U6" i="10"/>
  <c r="U7" i="10"/>
  <c r="AH17" i="8"/>
  <c r="AH33" i="8"/>
  <c r="BH25" i="8"/>
  <c r="AH28" i="8"/>
  <c r="BK47" i="8"/>
  <c r="AH44" i="8"/>
  <c r="BH49" i="8"/>
  <c r="BH35" i="8"/>
  <c r="BH32" i="8"/>
  <c r="BK13" i="8"/>
  <c r="BH33" i="8"/>
  <c r="BH21" i="8"/>
  <c r="AH34" i="8"/>
  <c r="AH46" i="8"/>
  <c r="AH20" i="8"/>
  <c r="AH18" i="8"/>
  <c r="AH30" i="8"/>
  <c r="AH12" i="8"/>
  <c r="AH45" i="8"/>
  <c r="AH5" i="8"/>
  <c r="AH47" i="8"/>
  <c r="AH3" i="8"/>
  <c r="AH42" i="8"/>
  <c r="AH38" i="8"/>
  <c r="AH31" i="8"/>
  <c r="AH14" i="8"/>
  <c r="AH27" i="8"/>
  <c r="AH26" i="8"/>
  <c r="AH22" i="8"/>
  <c r="AH35" i="8"/>
  <c r="AH15" i="8"/>
  <c r="AH13" i="8"/>
  <c r="AH37" i="8"/>
  <c r="AH4" i="8"/>
  <c r="AH39" i="8"/>
  <c r="AH6" i="8"/>
  <c r="AH19" i="8"/>
  <c r="AH48" i="8"/>
  <c r="AH29" i="8"/>
  <c r="AH41" i="8"/>
  <c r="AH25" i="8"/>
  <c r="AH23" i="8"/>
  <c r="AH32" i="8"/>
  <c r="AH36" i="8"/>
  <c r="AH43" i="8"/>
  <c r="AH10" i="8"/>
  <c r="AH9" i="8"/>
  <c r="AH40" i="8"/>
  <c r="AH7" i="8"/>
  <c r="AH16" i="8"/>
  <c r="AH21" i="8"/>
  <c r="AH11" i="8"/>
  <c r="AH24" i="8"/>
  <c r="BK16" i="8"/>
  <c r="BK24" i="8"/>
  <c r="BH19" i="8"/>
  <c r="BK46" i="8"/>
  <c r="BH22" i="8"/>
  <c r="BH36" i="8"/>
  <c r="BK9" i="8"/>
  <c r="BK30" i="8"/>
  <c r="BH47" i="8"/>
  <c r="BH44" i="8"/>
  <c r="BH28" i="8"/>
  <c r="BK38" i="8"/>
  <c r="BH6" i="8"/>
  <c r="BH4" i="8"/>
  <c r="BK32" i="8"/>
  <c r="BK14" i="8"/>
  <c r="BK37" i="8"/>
  <c r="BK21" i="8"/>
  <c r="BK5" i="8"/>
  <c r="BH15" i="8"/>
  <c r="BH30" i="8"/>
  <c r="BK6" i="8"/>
  <c r="BK43" i="8"/>
  <c r="BH20" i="8"/>
  <c r="BK8" i="8"/>
  <c r="BK48" i="8"/>
  <c r="BH37" i="8"/>
  <c r="BH38" i="8"/>
  <c r="BK4" i="8"/>
  <c r="BK31" i="8"/>
  <c r="BH34" i="8"/>
  <c r="BH41" i="8"/>
  <c r="BH31" i="8"/>
  <c r="BH29" i="8"/>
  <c r="BK44" i="8"/>
  <c r="BK41" i="8"/>
  <c r="BK18" i="8"/>
  <c r="BK15" i="8"/>
  <c r="BK40" i="8"/>
  <c r="BH45" i="8"/>
  <c r="BK11" i="8"/>
  <c r="BK36" i="8"/>
  <c r="BH48" i="8"/>
  <c r="BH13" i="8"/>
  <c r="BK12" i="8"/>
  <c r="BH17" i="8"/>
  <c r="BH40" i="8"/>
  <c r="BH23" i="8"/>
  <c r="BH5" i="8"/>
  <c r="BK17" i="8"/>
  <c r="BH42" i="8"/>
  <c r="BK35" i="8"/>
  <c r="BH3" i="8"/>
  <c r="BH18" i="8"/>
  <c r="BK49" i="8"/>
  <c r="BK7" i="8"/>
  <c r="BH12" i="8"/>
  <c r="BH39" i="8"/>
  <c r="BH10" i="8"/>
  <c r="BK19" i="8"/>
  <c r="BH16" i="8"/>
  <c r="BH26" i="8"/>
  <c r="BK42" i="8"/>
  <c r="BK20" i="8"/>
  <c r="BH9" i="8"/>
  <c r="BK10" i="8"/>
  <c r="BH43" i="8"/>
  <c r="BK45" i="8"/>
  <c r="BH46" i="8"/>
  <c r="BH27" i="8"/>
  <c r="BK27" i="8"/>
  <c r="BH7" i="8"/>
  <c r="BK34" i="8"/>
  <c r="BK39" i="8"/>
  <c r="BK3" i="8"/>
  <c r="BK23" i="8"/>
  <c r="BK33" i="8"/>
  <c r="BK26" i="8"/>
  <c r="BK25" i="8"/>
  <c r="BK22" i="8"/>
  <c r="BH24" i="8"/>
  <c r="BK29" i="8"/>
  <c r="BH14" i="8"/>
  <c r="BH11" i="8"/>
  <c r="BK28" i="8"/>
  <c r="BH8" i="8"/>
</calcChain>
</file>

<file path=xl/sharedStrings.xml><?xml version="1.0" encoding="utf-8"?>
<sst xmlns="http://schemas.openxmlformats.org/spreadsheetml/2006/main" count="504" uniqueCount="117">
  <si>
    <t>TOTAL_BASIC</t>
  </si>
  <si>
    <t>PER_GAME_BASIC</t>
  </si>
  <si>
    <t>Player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</si>
  <si>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</si>
  <si>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</si>
  <si>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</si>
  <si>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</si>
  <si>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</si>
  <si>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</si>
  <si>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</si>
  <si>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</si>
  <si>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</si>
  <si>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</si>
  <si>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</si>
  <si>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</si>
  <si>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</si>
  <si>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</si>
  <si>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</si>
  <si>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</si>
  <si>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</si>
  <si>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</si>
  <si>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</si>
  <si>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</si>
  <si>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</si>
  <si>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</si>
  <si>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</si>
  <si>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TS%</t>
  </si>
  <si>
    <t>TS+</t>
  </si>
  <si>
    <t>PPP</t>
  </si>
  <si>
    <t>DATA</t>
  </si>
  <si>
    <t>CENTILE</t>
  </si>
  <si>
    <t>BLK/PF</t>
  </si>
  <si>
    <t>PPP+</t>
  </si>
  <si>
    <t>Rank</t>
  </si>
  <si>
    <t>DRB</t>
  </si>
  <si>
    <t>PPS</t>
  </si>
  <si>
    <t>SOMME</t>
  </si>
  <si>
    <t>3P% Moy</t>
  </si>
  <si>
    <t>TS Moy</t>
  </si>
  <si>
    <t>PPP Moy</t>
  </si>
  <si>
    <t>2P% Moy</t>
  </si>
  <si>
    <t>FG% Moy</t>
  </si>
  <si>
    <t>EFG% Moy</t>
  </si>
  <si>
    <t>EFG%</t>
  </si>
  <si>
    <t>FT% Moy</t>
  </si>
  <si>
    <t>EFG+</t>
  </si>
  <si>
    <t>FT+</t>
  </si>
  <si>
    <t>PLAYER</t>
  </si>
  <si>
    <t>GP</t>
  </si>
  <si>
    <t>MIN</t>
  </si>
  <si>
    <t>FGM</t>
  </si>
  <si>
    <t>3PM</t>
  </si>
  <si>
    <t>FTM</t>
  </si>
  <si>
    <t>OR</t>
  </si>
  <si>
    <t>DR</t>
  </si>
  <si>
    <t>REB</t>
  </si>
  <si>
    <t>TO</t>
  </si>
  <si>
    <t>AST%</t>
  </si>
  <si>
    <t>USG%</t>
  </si>
  <si>
    <t>R. PLAY</t>
  </si>
  <si>
    <t>ADVANCED</t>
  </si>
  <si>
    <t>Statistiques avancées</t>
  </si>
  <si>
    <t>Statistiques de base par match</t>
  </si>
  <si>
    <t>Statistiques de base au total</t>
  </si>
  <si>
    <t>AST:USG</t>
  </si>
  <si>
    <t>TOV%</t>
  </si>
  <si>
    <t>AST% : TOV%</t>
  </si>
  <si>
    <t>AST:TOV</t>
  </si>
  <si>
    <t>Marina Mabrey</t>
  </si>
  <si>
    <t>Chelsea Gray</t>
  </si>
  <si>
    <t>Paige Bueckers</t>
  </si>
  <si>
    <t>Allisha Gray</t>
  </si>
  <si>
    <t>Aaliyah Edwards</t>
  </si>
  <si>
    <t>Kelsey Plum</t>
  </si>
  <si>
    <t>Kahleah Copper</t>
  </si>
  <si>
    <t>Breanna Stewart</t>
  </si>
  <si>
    <t>Aliyah Boston</t>
  </si>
  <si>
    <t>Brittney Sykes</t>
  </si>
  <si>
    <t>Dearica Hamby</t>
  </si>
  <si>
    <t>Rhyne Howard</t>
  </si>
  <si>
    <t>Kelsey Mitchell</t>
  </si>
  <si>
    <t>Jackie Young</t>
  </si>
  <si>
    <t>Sonia Citron</t>
  </si>
  <si>
    <t>Dominique Malonga</t>
  </si>
  <si>
    <t>Rickea Jackson</t>
  </si>
  <si>
    <t>Shakira Austin</t>
  </si>
  <si>
    <t>Skylar Diggins</t>
  </si>
  <si>
    <t>Monique Billings</t>
  </si>
  <si>
    <t>Arike Ogunbowale</t>
  </si>
  <si>
    <t>Tiffany Hayes</t>
  </si>
  <si>
    <t>Alyssa Thomas</t>
  </si>
  <si>
    <t>Cameron Brink</t>
  </si>
  <si>
    <t>Kiki Iriafen</t>
  </si>
  <si>
    <t>Natasha Cloud</t>
  </si>
  <si>
    <t>Azurá Stevens</t>
  </si>
  <si>
    <t>Rae Burrell</t>
  </si>
  <si>
    <t>Ezi Magbegor</t>
  </si>
  <si>
    <t>Maddy Siegrist</t>
  </si>
  <si>
    <t>Naz Hillmon</t>
  </si>
  <si>
    <t>Brittney Griner</t>
  </si>
  <si>
    <t>Jordin Canada</t>
  </si>
  <si>
    <t>Veronica Burton</t>
  </si>
  <si>
    <t>Courtney Williams</t>
  </si>
  <si>
    <t>Erica Wheeler</t>
  </si>
  <si>
    <t>Alanna Smith</t>
  </si>
  <si>
    <t>Kate Martin</t>
  </si>
  <si>
    <t>Saniya Rivers</t>
  </si>
  <si>
    <t>Temi Fágbénlé</t>
  </si>
  <si>
    <t>Natisha Hiedeman</t>
  </si>
  <si>
    <t>Sug Sutton</t>
  </si>
  <si>
    <t>Dana Evans</t>
  </si>
  <si>
    <t>Li Yueru</t>
  </si>
  <si>
    <t>Lexie Hull</t>
  </si>
  <si>
    <t>Rebecca Allen</t>
  </si>
  <si>
    <t>Haley Jones</t>
  </si>
  <si>
    <t>Rachel Banham</t>
  </si>
  <si>
    <t>Aari McDonald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</si>
</sst>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8696B"/>
      <color rgb="FF63B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tabSelected="1" workbookViewId="0"/>
  </sheetViews>
  <sheetFormatPr baseColWidth="10" defaultColWidth="12.5703125" defaultRowHeight="15" customHeight="1" x14ac:dyDescent="0.25"/>
  <cols>
    <col min="1" max="1" width="17.42578125" bestFit="1" customWidth="1"/>
    <col min="2" max="2" width="64.140625" customWidth="1"/>
    <col min="3" max="26" width="10.5703125" customWidth="1"/>
  </cols>
  <sheetData>
    <row r="1" spans="1:2" x14ac:dyDescent="0.25">
      <c r="A1" s="1" t="s">
        <v>0</v>
      </c>
      <c r="B1" t="s">
        <v>63</v>
      </c>
    </row>
    <row r="2" spans="1:2" x14ac:dyDescent="0.25">
      <c r="A2" s="1" t="s">
        <v>1</v>
      </c>
      <c r="B2" t="s">
        <v>62</v>
      </c>
    </row>
    <row r="3" spans="1:2" x14ac:dyDescent="0.25">
      <c r="A3" s="1" t="s">
        <v>60</v>
      </c>
      <c r="B3" t="s">
        <v>61</v>
      </c>
    </row>
    <row r="4" spans="1:2" x14ac:dyDescent="0.25">
      <c r="A4" s="1"/>
      <c r="B4" s="1"/>
    </row>
    <row r="6" spans="1:2" ht="15" customHeight="1" x14ac:dyDescent="0.25">
      <c r="B6" s="8"/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U1"/>
    </sheetView>
  </sheetViews>
  <sheetFormatPr baseColWidth="10" defaultRowHeight="15" x14ac:dyDescent="0.25"/>
  <cols>
    <col min="1" max="1" width="5.5703125" customWidth="1"/>
    <col min="2" max="2" width="18.5703125" customWidth="1"/>
    <col min="3" max="21" width="7.5703125" customWidth="1"/>
  </cols>
  <sheetData>
    <row r="1" spans="1:21" ht="26.25" x14ac:dyDescent="0.4">
      <c r="A1" s="16" t="s">
        <v>29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ht="35.1" customHeight="1" x14ac:dyDescent="0.25">
      <c r="A2" s="7" t="s">
        <v>33</v>
      </c>
      <c r="B2" s="7" t="s">
        <v>2</v>
      </c>
      <c r="C2" s="7" t="s">
        <v>3</v>
      </c>
      <c r="D2" s="7" t="s">
        <v>4</v>
      </c>
      <c r="E2" s="7" t="s">
        <v>24</v>
      </c>
      <c r="F2" s="7" t="s">
        <v>5</v>
      </c>
      <c r="G2" s="7" t="s">
        <v>6</v>
      </c>
      <c r="H2" s="7" t="s">
        <v>8</v>
      </c>
      <c r="I2" s="7" t="s">
        <v>9</v>
      </c>
      <c r="J2" s="7" t="s">
        <v>14</v>
      </c>
      <c r="K2" s="7" t="s">
        <v>15</v>
      </c>
      <c r="L2" s="7" t="s">
        <v>17</v>
      </c>
      <c r="M2" s="7" t="s">
        <v>34</v>
      </c>
      <c r="N2" s="7" t="s">
        <v>18</v>
      </c>
      <c r="O2" s="7" t="s">
        <v>19</v>
      </c>
      <c r="P2" s="7" t="s">
        <v>20</v>
      </c>
      <c r="Q2" s="7" t="s">
        <v>21</v>
      </c>
      <c r="R2" s="7" t="s">
        <v>22</v>
      </c>
      <c r="S2" s="7" t="s">
        <v>23</v>
      </c>
      <c r="T2" s="7" t="s">
        <v>11</v>
      </c>
      <c r="U2" s="7" t="s">
        <v>12</v>
      </c>
    </row>
    <row r="3" spans="1:21" x14ac:dyDescent="0.25">
      <c r="A3" s="2">
        <v>1</v>
      </c>
      <c r="B3" s="5" t="s">
        <v>69</v>
      </c>
      <c r="C3" s="2">
        <v>10</v>
      </c>
      <c r="D3" s="2">
        <v>225</v>
      </c>
      <c r="E3" s="2">
        <v>259</v>
      </c>
      <c r="F3" s="2">
        <v>91</v>
      </c>
      <c r="G3" s="2">
        <v>178</v>
      </c>
      <c r="H3" s="2">
        <v>34</v>
      </c>
      <c r="I3" s="2">
        <v>73</v>
      </c>
      <c r="J3" s="2">
        <v>21</v>
      </c>
      <c r="K3" s="2">
        <v>22</v>
      </c>
      <c r="L3" s="2">
        <v>7</v>
      </c>
      <c r="M3" s="2">
        <v>50</v>
      </c>
      <c r="N3" s="2">
        <v>57</v>
      </c>
      <c r="O3" s="2">
        <v>68</v>
      </c>
      <c r="P3" s="2">
        <v>16</v>
      </c>
      <c r="Q3" s="2">
        <v>5</v>
      </c>
      <c r="R3" s="2">
        <v>23</v>
      </c>
      <c r="S3" s="2">
        <v>23</v>
      </c>
      <c r="T3" s="2">
        <f>F3-H3</f>
        <v>57</v>
      </c>
      <c r="U3" s="2">
        <f>G3-I3</f>
        <v>105</v>
      </c>
    </row>
    <row r="4" spans="1:21" x14ac:dyDescent="0.25">
      <c r="A4" s="2">
        <v>2</v>
      </c>
      <c r="B4" s="5" t="s">
        <v>70</v>
      </c>
      <c r="C4" s="2">
        <v>10</v>
      </c>
      <c r="D4" s="2">
        <v>206</v>
      </c>
      <c r="E4" s="2">
        <v>250</v>
      </c>
      <c r="F4" s="2">
        <v>96</v>
      </c>
      <c r="G4" s="2">
        <v>173</v>
      </c>
      <c r="H4" s="2">
        <v>15</v>
      </c>
      <c r="I4" s="2">
        <v>38</v>
      </c>
      <c r="J4" s="2">
        <v>27</v>
      </c>
      <c r="K4" s="2">
        <v>30</v>
      </c>
      <c r="L4" s="2">
        <v>5</v>
      </c>
      <c r="M4" s="2">
        <v>58</v>
      </c>
      <c r="N4" s="2">
        <v>63</v>
      </c>
      <c r="O4" s="2">
        <v>67</v>
      </c>
      <c r="P4" s="2">
        <v>9</v>
      </c>
      <c r="Q4" s="2">
        <v>6</v>
      </c>
      <c r="R4" s="2">
        <v>24</v>
      </c>
      <c r="S4" s="2">
        <v>29</v>
      </c>
      <c r="T4" s="2">
        <f t="shared" ref="T4:T51" si="0">F4-H4</f>
        <v>81</v>
      </c>
      <c r="U4" s="2">
        <f t="shared" ref="U4:U51" si="1">G4-I4</f>
        <v>135</v>
      </c>
    </row>
    <row r="5" spans="1:21" x14ac:dyDescent="0.25">
      <c r="A5" s="2">
        <v>3</v>
      </c>
      <c r="B5" s="5" t="s">
        <v>68</v>
      </c>
      <c r="C5" s="2">
        <v>9</v>
      </c>
      <c r="D5" s="2">
        <v>189</v>
      </c>
      <c r="E5" s="2">
        <v>241</v>
      </c>
      <c r="F5" s="2">
        <v>88</v>
      </c>
      <c r="G5" s="2">
        <v>203</v>
      </c>
      <c r="H5" s="2">
        <v>34</v>
      </c>
      <c r="I5" s="2">
        <v>104</v>
      </c>
      <c r="J5" s="2">
        <v>19</v>
      </c>
      <c r="K5" s="2">
        <v>22</v>
      </c>
      <c r="L5" s="2">
        <v>7</v>
      </c>
      <c r="M5" s="2">
        <v>59</v>
      </c>
      <c r="N5" s="2">
        <v>66</v>
      </c>
      <c r="O5" s="2">
        <v>43</v>
      </c>
      <c r="P5" s="2">
        <v>4</v>
      </c>
      <c r="Q5" s="2">
        <v>2</v>
      </c>
      <c r="R5" s="2">
        <v>31</v>
      </c>
      <c r="S5" s="2">
        <v>28</v>
      </c>
      <c r="T5" s="2">
        <f t="shared" si="0"/>
        <v>54</v>
      </c>
      <c r="U5" s="2">
        <f t="shared" si="1"/>
        <v>99</v>
      </c>
    </row>
    <row r="6" spans="1:21" x14ac:dyDescent="0.25">
      <c r="A6" s="2">
        <v>4</v>
      </c>
      <c r="B6" s="5" t="s">
        <v>73</v>
      </c>
      <c r="C6" s="2">
        <v>10</v>
      </c>
      <c r="D6" s="2">
        <v>186</v>
      </c>
      <c r="E6" s="2">
        <v>216</v>
      </c>
      <c r="F6" s="2">
        <v>82</v>
      </c>
      <c r="G6" s="2">
        <v>167</v>
      </c>
      <c r="H6" s="2">
        <v>27</v>
      </c>
      <c r="I6" s="2">
        <v>71</v>
      </c>
      <c r="J6" s="2">
        <v>16</v>
      </c>
      <c r="K6" s="2">
        <v>16</v>
      </c>
      <c r="L6" s="2">
        <v>9</v>
      </c>
      <c r="M6" s="2">
        <v>46</v>
      </c>
      <c r="N6" s="2">
        <v>55</v>
      </c>
      <c r="O6" s="2">
        <v>56</v>
      </c>
      <c r="P6" s="2">
        <v>3</v>
      </c>
      <c r="Q6" s="2">
        <v>1</v>
      </c>
      <c r="R6" s="2">
        <v>15</v>
      </c>
      <c r="S6" s="2">
        <v>32</v>
      </c>
      <c r="T6" s="2">
        <f t="shared" si="0"/>
        <v>55</v>
      </c>
      <c r="U6" s="2">
        <f t="shared" si="1"/>
        <v>96</v>
      </c>
    </row>
    <row r="7" spans="1:21" x14ac:dyDescent="0.25">
      <c r="A7" s="2">
        <v>5</v>
      </c>
      <c r="B7" s="5" t="s">
        <v>75</v>
      </c>
      <c r="C7" s="2">
        <v>10</v>
      </c>
      <c r="D7" s="2">
        <v>168</v>
      </c>
      <c r="E7" s="2">
        <v>201</v>
      </c>
      <c r="F7" s="2">
        <v>76</v>
      </c>
      <c r="G7" s="2">
        <v>157</v>
      </c>
      <c r="H7" s="2">
        <v>9</v>
      </c>
      <c r="I7" s="2">
        <v>37</v>
      </c>
      <c r="J7" s="2">
        <v>23</v>
      </c>
      <c r="K7" s="2">
        <v>27</v>
      </c>
      <c r="L7" s="2">
        <v>15</v>
      </c>
      <c r="M7" s="2">
        <v>77</v>
      </c>
      <c r="N7" s="2">
        <v>92</v>
      </c>
      <c r="O7" s="2">
        <v>26</v>
      </c>
      <c r="P7" s="2">
        <v>11</v>
      </c>
      <c r="Q7" s="2">
        <v>6</v>
      </c>
      <c r="R7" s="2">
        <v>18</v>
      </c>
      <c r="S7" s="2">
        <v>19</v>
      </c>
      <c r="T7" s="2">
        <f t="shared" si="0"/>
        <v>67</v>
      </c>
      <c r="U7" s="2">
        <f t="shared" si="1"/>
        <v>120</v>
      </c>
    </row>
    <row r="8" spans="1:21" x14ac:dyDescent="0.25">
      <c r="A8" s="2">
        <v>6</v>
      </c>
      <c r="B8" s="5" t="s">
        <v>71</v>
      </c>
      <c r="C8" s="2">
        <v>10</v>
      </c>
      <c r="D8" s="2">
        <v>158</v>
      </c>
      <c r="E8" s="2">
        <v>201</v>
      </c>
      <c r="F8" s="2">
        <v>68</v>
      </c>
      <c r="G8" s="2">
        <v>158</v>
      </c>
      <c r="H8" s="2">
        <v>22</v>
      </c>
      <c r="I8" s="2">
        <v>67</v>
      </c>
      <c r="J8" s="2">
        <v>22</v>
      </c>
      <c r="K8" s="2">
        <v>26</v>
      </c>
      <c r="L8" s="2">
        <v>9</v>
      </c>
      <c r="M8" s="2">
        <v>34</v>
      </c>
      <c r="N8" s="2">
        <v>43</v>
      </c>
      <c r="O8" s="2">
        <v>30</v>
      </c>
      <c r="P8" s="2">
        <v>9</v>
      </c>
      <c r="Q8" s="2">
        <v>8</v>
      </c>
      <c r="R8" s="2">
        <v>16</v>
      </c>
      <c r="S8" s="2">
        <v>18</v>
      </c>
      <c r="T8" s="2">
        <f t="shared" si="0"/>
        <v>46</v>
      </c>
      <c r="U8" s="2">
        <f t="shared" si="1"/>
        <v>91</v>
      </c>
    </row>
    <row r="9" spans="1:21" x14ac:dyDescent="0.25">
      <c r="A9" s="2">
        <v>7</v>
      </c>
      <c r="B9" s="5" t="s">
        <v>78</v>
      </c>
      <c r="C9" s="2">
        <v>10</v>
      </c>
      <c r="D9" s="2">
        <v>158</v>
      </c>
      <c r="E9" s="2">
        <v>192</v>
      </c>
      <c r="F9" s="2">
        <v>78</v>
      </c>
      <c r="G9" s="2">
        <v>138</v>
      </c>
      <c r="H9" s="2">
        <v>3</v>
      </c>
      <c r="I9" s="2">
        <v>14</v>
      </c>
      <c r="J9" s="2">
        <v>18</v>
      </c>
      <c r="K9" s="2">
        <v>30</v>
      </c>
      <c r="L9" s="2">
        <v>18</v>
      </c>
      <c r="M9" s="2">
        <v>65</v>
      </c>
      <c r="N9" s="2">
        <v>83</v>
      </c>
      <c r="O9" s="2">
        <v>8</v>
      </c>
      <c r="P9" s="2">
        <v>7</v>
      </c>
      <c r="Q9" s="2">
        <v>0</v>
      </c>
      <c r="R9" s="2">
        <v>10</v>
      </c>
      <c r="S9" s="2">
        <v>33</v>
      </c>
      <c r="T9" s="2">
        <f t="shared" si="0"/>
        <v>75</v>
      </c>
      <c r="U9" s="2">
        <f t="shared" si="1"/>
        <v>124</v>
      </c>
    </row>
    <row r="10" spans="1:21" x14ac:dyDescent="0.25">
      <c r="A10" s="2">
        <v>8</v>
      </c>
      <c r="B10" s="5" t="s">
        <v>77</v>
      </c>
      <c r="C10" s="2">
        <v>10</v>
      </c>
      <c r="D10" s="2">
        <v>154</v>
      </c>
      <c r="E10" s="2">
        <v>189</v>
      </c>
      <c r="F10" s="2">
        <v>69</v>
      </c>
      <c r="G10" s="2">
        <v>145</v>
      </c>
      <c r="H10" s="2">
        <v>22</v>
      </c>
      <c r="I10" s="2">
        <v>52</v>
      </c>
      <c r="J10" s="2">
        <v>16</v>
      </c>
      <c r="K10" s="2">
        <v>21</v>
      </c>
      <c r="L10" s="2">
        <v>4</v>
      </c>
      <c r="M10" s="2">
        <v>34</v>
      </c>
      <c r="N10" s="2">
        <v>38</v>
      </c>
      <c r="O10" s="2">
        <v>17</v>
      </c>
      <c r="P10" s="2">
        <v>16</v>
      </c>
      <c r="Q10" s="2">
        <v>3</v>
      </c>
      <c r="R10" s="2">
        <v>20</v>
      </c>
      <c r="S10" s="2">
        <v>32</v>
      </c>
      <c r="T10" s="2">
        <f t="shared" si="0"/>
        <v>47</v>
      </c>
      <c r="U10" s="2">
        <f t="shared" si="1"/>
        <v>93</v>
      </c>
    </row>
    <row r="11" spans="1:21" x14ac:dyDescent="0.25">
      <c r="A11" s="2">
        <v>9</v>
      </c>
      <c r="B11" s="5" t="s">
        <v>76</v>
      </c>
      <c r="C11" s="2">
        <v>10</v>
      </c>
      <c r="D11" s="2">
        <v>177</v>
      </c>
      <c r="E11" s="2">
        <v>186</v>
      </c>
      <c r="F11" s="2">
        <v>78</v>
      </c>
      <c r="G11" s="2">
        <v>149</v>
      </c>
      <c r="H11" s="2">
        <v>10</v>
      </c>
      <c r="I11" s="2">
        <v>32</v>
      </c>
      <c r="J11" s="2">
        <v>11</v>
      </c>
      <c r="K11" s="2">
        <v>15</v>
      </c>
      <c r="L11" s="2">
        <v>19</v>
      </c>
      <c r="M11" s="2">
        <v>76</v>
      </c>
      <c r="N11" s="2">
        <v>95</v>
      </c>
      <c r="O11" s="2">
        <v>26</v>
      </c>
      <c r="P11" s="2">
        <v>12</v>
      </c>
      <c r="Q11" s="2">
        <v>18</v>
      </c>
      <c r="R11" s="2">
        <v>14</v>
      </c>
      <c r="S11" s="2">
        <v>31</v>
      </c>
      <c r="T11" s="2">
        <f t="shared" si="0"/>
        <v>68</v>
      </c>
      <c r="U11" s="2">
        <f t="shared" si="1"/>
        <v>117</v>
      </c>
    </row>
    <row r="12" spans="1:21" x14ac:dyDescent="0.25">
      <c r="A12" s="2">
        <v>10</v>
      </c>
      <c r="B12" s="5" t="s">
        <v>72</v>
      </c>
      <c r="C12" s="2">
        <v>8</v>
      </c>
      <c r="D12" s="2">
        <v>155</v>
      </c>
      <c r="E12" s="2">
        <v>178</v>
      </c>
      <c r="F12" s="2">
        <v>74</v>
      </c>
      <c r="G12" s="2">
        <v>128</v>
      </c>
      <c r="H12" s="2">
        <v>1</v>
      </c>
      <c r="I12" s="2">
        <v>2</v>
      </c>
      <c r="J12" s="2">
        <v>17</v>
      </c>
      <c r="K12" s="2">
        <v>24</v>
      </c>
      <c r="L12" s="2">
        <v>35</v>
      </c>
      <c r="M12" s="2">
        <v>74</v>
      </c>
      <c r="N12" s="2">
        <v>109</v>
      </c>
      <c r="O12" s="2">
        <v>15</v>
      </c>
      <c r="P12" s="2">
        <v>7</v>
      </c>
      <c r="Q12" s="2">
        <v>4</v>
      </c>
      <c r="R12" s="2">
        <v>30</v>
      </c>
      <c r="S12" s="2">
        <v>29</v>
      </c>
      <c r="T12" s="2">
        <f t="shared" si="0"/>
        <v>73</v>
      </c>
      <c r="U12" s="2">
        <f t="shared" si="1"/>
        <v>126</v>
      </c>
    </row>
    <row r="13" spans="1:21" x14ac:dyDescent="0.25">
      <c r="A13" s="2">
        <v>11</v>
      </c>
      <c r="B13" s="5" t="s">
        <v>80</v>
      </c>
      <c r="C13" s="2">
        <v>10</v>
      </c>
      <c r="D13" s="2">
        <v>179</v>
      </c>
      <c r="E13" s="2">
        <v>174</v>
      </c>
      <c r="F13" s="2">
        <v>74</v>
      </c>
      <c r="G13" s="2">
        <v>143</v>
      </c>
      <c r="H13" s="2">
        <v>18</v>
      </c>
      <c r="I13" s="2">
        <v>48</v>
      </c>
      <c r="J13" s="2">
        <v>5</v>
      </c>
      <c r="K13" s="2">
        <v>9</v>
      </c>
      <c r="L13" s="2">
        <v>6</v>
      </c>
      <c r="M13" s="2">
        <v>24</v>
      </c>
      <c r="N13" s="2">
        <v>30</v>
      </c>
      <c r="O13" s="2">
        <v>21</v>
      </c>
      <c r="P13" s="2">
        <v>10</v>
      </c>
      <c r="Q13" s="2">
        <v>2</v>
      </c>
      <c r="R13" s="2">
        <v>10</v>
      </c>
      <c r="S13" s="2">
        <v>25</v>
      </c>
      <c r="T13" s="2">
        <f t="shared" si="0"/>
        <v>56</v>
      </c>
      <c r="U13" s="2">
        <f t="shared" si="1"/>
        <v>95</v>
      </c>
    </row>
    <row r="14" spans="1:21" x14ac:dyDescent="0.25">
      <c r="A14" s="2">
        <v>12</v>
      </c>
      <c r="B14" s="5" t="s">
        <v>79</v>
      </c>
      <c r="C14" s="2">
        <v>10</v>
      </c>
      <c r="D14" s="2">
        <v>204</v>
      </c>
      <c r="E14" s="2">
        <v>170</v>
      </c>
      <c r="F14" s="2">
        <v>58</v>
      </c>
      <c r="G14" s="2">
        <v>149</v>
      </c>
      <c r="H14" s="2">
        <v>29</v>
      </c>
      <c r="I14" s="2">
        <v>81</v>
      </c>
      <c r="J14" s="2">
        <v>15</v>
      </c>
      <c r="K14" s="2">
        <v>18</v>
      </c>
      <c r="L14" s="2">
        <v>6</v>
      </c>
      <c r="M14" s="2">
        <v>40</v>
      </c>
      <c r="N14" s="2">
        <v>46</v>
      </c>
      <c r="O14" s="2">
        <v>30</v>
      </c>
      <c r="P14" s="2">
        <v>13</v>
      </c>
      <c r="Q14" s="2">
        <v>7</v>
      </c>
      <c r="R14" s="2">
        <v>12</v>
      </c>
      <c r="S14" s="2">
        <v>23</v>
      </c>
      <c r="T14" s="2">
        <f t="shared" si="0"/>
        <v>29</v>
      </c>
      <c r="U14" s="2">
        <f t="shared" si="1"/>
        <v>68</v>
      </c>
    </row>
    <row r="15" spans="1:21" x14ac:dyDescent="0.25">
      <c r="A15" s="2">
        <v>13</v>
      </c>
      <c r="B15" s="5" t="s">
        <v>82</v>
      </c>
      <c r="C15" s="2">
        <v>10</v>
      </c>
      <c r="D15" s="2">
        <v>173</v>
      </c>
      <c r="E15" s="2">
        <v>166</v>
      </c>
      <c r="F15" s="2">
        <v>66</v>
      </c>
      <c r="G15" s="2">
        <v>139</v>
      </c>
      <c r="H15" s="2">
        <v>11</v>
      </c>
      <c r="I15" s="2">
        <v>47</v>
      </c>
      <c r="J15" s="2">
        <v>12</v>
      </c>
      <c r="K15" s="2">
        <v>14</v>
      </c>
      <c r="L15" s="2">
        <v>3</v>
      </c>
      <c r="M15" s="2">
        <v>40</v>
      </c>
      <c r="N15" s="2">
        <v>43</v>
      </c>
      <c r="O15" s="2">
        <v>30</v>
      </c>
      <c r="P15" s="2">
        <v>8</v>
      </c>
      <c r="Q15" s="2">
        <v>12</v>
      </c>
      <c r="R15" s="2">
        <v>13</v>
      </c>
      <c r="S15" s="2">
        <v>30</v>
      </c>
      <c r="T15" s="2">
        <f t="shared" si="0"/>
        <v>55</v>
      </c>
      <c r="U15" s="2">
        <f t="shared" si="1"/>
        <v>92</v>
      </c>
    </row>
    <row r="16" spans="1:21" x14ac:dyDescent="0.25">
      <c r="A16" s="2">
        <v>14</v>
      </c>
      <c r="B16" s="5" t="s">
        <v>81</v>
      </c>
      <c r="C16" s="2">
        <v>10</v>
      </c>
      <c r="D16" s="2">
        <v>151</v>
      </c>
      <c r="E16" s="2">
        <v>164</v>
      </c>
      <c r="F16" s="2">
        <v>60</v>
      </c>
      <c r="G16" s="2">
        <v>131</v>
      </c>
      <c r="H16" s="2">
        <v>17</v>
      </c>
      <c r="I16" s="2">
        <v>50</v>
      </c>
      <c r="J16" s="2">
        <v>16</v>
      </c>
      <c r="K16" s="2">
        <v>17</v>
      </c>
      <c r="L16" s="2">
        <v>9</v>
      </c>
      <c r="M16" s="2">
        <v>29</v>
      </c>
      <c r="N16" s="2">
        <v>38</v>
      </c>
      <c r="O16" s="2">
        <v>39</v>
      </c>
      <c r="P16" s="2">
        <v>8</v>
      </c>
      <c r="Q16" s="2">
        <v>2</v>
      </c>
      <c r="R16" s="2">
        <v>17</v>
      </c>
      <c r="S16" s="2">
        <v>21</v>
      </c>
      <c r="T16" s="2">
        <f t="shared" si="0"/>
        <v>43</v>
      </c>
      <c r="U16" s="2">
        <f t="shared" si="1"/>
        <v>81</v>
      </c>
    </row>
    <row r="17" spans="1:21" x14ac:dyDescent="0.25">
      <c r="A17" s="2">
        <v>15</v>
      </c>
      <c r="B17" s="5" t="s">
        <v>85</v>
      </c>
      <c r="C17" s="2">
        <v>10</v>
      </c>
      <c r="D17" s="2">
        <v>159</v>
      </c>
      <c r="E17" s="2">
        <v>162</v>
      </c>
      <c r="F17" s="2">
        <v>64</v>
      </c>
      <c r="G17" s="2">
        <v>113</v>
      </c>
      <c r="H17" s="2">
        <v>0</v>
      </c>
      <c r="I17" s="2">
        <v>5</v>
      </c>
      <c r="J17" s="2">
        <v>20</v>
      </c>
      <c r="K17" s="2">
        <v>31</v>
      </c>
      <c r="L17" s="2">
        <v>14</v>
      </c>
      <c r="M17" s="2">
        <v>71</v>
      </c>
      <c r="N17" s="2">
        <v>85</v>
      </c>
      <c r="O17" s="2">
        <v>12</v>
      </c>
      <c r="P17" s="2">
        <v>3</v>
      </c>
      <c r="Q17" s="2">
        <v>10</v>
      </c>
      <c r="R17" s="2">
        <v>18</v>
      </c>
      <c r="S17" s="2">
        <v>26</v>
      </c>
      <c r="T17" s="2">
        <f t="shared" si="0"/>
        <v>64</v>
      </c>
      <c r="U17" s="2">
        <f t="shared" si="1"/>
        <v>108</v>
      </c>
    </row>
    <row r="18" spans="1:21" x14ac:dyDescent="0.25">
      <c r="A18" s="2">
        <v>16</v>
      </c>
      <c r="B18" s="5" t="s">
        <v>83</v>
      </c>
      <c r="C18" s="2">
        <v>10</v>
      </c>
      <c r="D18" s="2">
        <v>146</v>
      </c>
      <c r="E18" s="2">
        <v>154</v>
      </c>
      <c r="F18" s="2">
        <v>65</v>
      </c>
      <c r="G18" s="2">
        <v>124</v>
      </c>
      <c r="H18" s="2">
        <v>4</v>
      </c>
      <c r="I18" s="2">
        <v>15</v>
      </c>
      <c r="J18" s="2">
        <v>11</v>
      </c>
      <c r="K18" s="2">
        <v>14</v>
      </c>
      <c r="L18" s="2">
        <v>24</v>
      </c>
      <c r="M18" s="2">
        <v>82</v>
      </c>
      <c r="N18" s="2">
        <v>106</v>
      </c>
      <c r="O18" s="2">
        <v>8</v>
      </c>
      <c r="P18" s="2">
        <v>4</v>
      </c>
      <c r="Q18" s="2">
        <v>9</v>
      </c>
      <c r="R18" s="2">
        <v>24</v>
      </c>
      <c r="S18" s="2">
        <v>25</v>
      </c>
      <c r="T18" s="2">
        <f t="shared" si="0"/>
        <v>61</v>
      </c>
      <c r="U18" s="2">
        <f t="shared" si="1"/>
        <v>109</v>
      </c>
    </row>
    <row r="19" spans="1:21" x14ac:dyDescent="0.25">
      <c r="A19" s="2">
        <v>17</v>
      </c>
      <c r="B19" s="5" t="s">
        <v>87</v>
      </c>
      <c r="C19" s="2">
        <v>10</v>
      </c>
      <c r="D19" s="2">
        <v>139</v>
      </c>
      <c r="E19" s="2">
        <v>145</v>
      </c>
      <c r="F19" s="2">
        <v>55</v>
      </c>
      <c r="G19" s="2">
        <v>119</v>
      </c>
      <c r="H19" s="2">
        <v>4</v>
      </c>
      <c r="I19" s="2">
        <v>15</v>
      </c>
      <c r="J19" s="2">
        <v>17</v>
      </c>
      <c r="K19" s="2">
        <v>20</v>
      </c>
      <c r="L19" s="2">
        <v>23</v>
      </c>
      <c r="M19" s="2">
        <v>86</v>
      </c>
      <c r="N19" s="2">
        <v>109</v>
      </c>
      <c r="O19" s="2">
        <v>11</v>
      </c>
      <c r="P19" s="2">
        <v>9</v>
      </c>
      <c r="Q19" s="2">
        <v>5</v>
      </c>
      <c r="R19" s="2">
        <v>18</v>
      </c>
      <c r="S19" s="2">
        <v>25</v>
      </c>
      <c r="T19" s="2">
        <f t="shared" si="0"/>
        <v>51</v>
      </c>
      <c r="U19" s="2">
        <f t="shared" si="1"/>
        <v>104</v>
      </c>
    </row>
    <row r="20" spans="1:21" x14ac:dyDescent="0.25">
      <c r="A20" s="2">
        <v>18</v>
      </c>
      <c r="B20" s="5" t="s">
        <v>74</v>
      </c>
      <c r="C20" s="2">
        <v>7</v>
      </c>
      <c r="D20" s="2">
        <v>126</v>
      </c>
      <c r="E20" s="2">
        <v>142</v>
      </c>
      <c r="F20" s="2">
        <v>55</v>
      </c>
      <c r="G20" s="2">
        <v>114</v>
      </c>
      <c r="H20" s="2">
        <v>16</v>
      </c>
      <c r="I20" s="2">
        <v>40</v>
      </c>
      <c r="J20" s="2">
        <v>9</v>
      </c>
      <c r="K20" s="2">
        <v>12</v>
      </c>
      <c r="L20" s="2">
        <v>7</v>
      </c>
      <c r="M20" s="2">
        <v>25</v>
      </c>
      <c r="N20" s="2">
        <v>32</v>
      </c>
      <c r="O20" s="2">
        <v>4</v>
      </c>
      <c r="P20" s="2">
        <v>1</v>
      </c>
      <c r="Q20" s="2">
        <v>2</v>
      </c>
      <c r="R20" s="2">
        <v>4</v>
      </c>
      <c r="S20" s="2">
        <v>25</v>
      </c>
      <c r="T20" s="2">
        <f t="shared" si="0"/>
        <v>39</v>
      </c>
      <c r="U20" s="2">
        <f t="shared" si="1"/>
        <v>74</v>
      </c>
    </row>
    <row r="21" spans="1:21" x14ac:dyDescent="0.25">
      <c r="A21" s="2">
        <v>19</v>
      </c>
      <c r="B21" s="5" t="s">
        <v>84</v>
      </c>
      <c r="C21" s="2">
        <v>9</v>
      </c>
      <c r="D21" s="2">
        <v>175</v>
      </c>
      <c r="E21" s="2">
        <v>140</v>
      </c>
      <c r="F21" s="2">
        <v>51</v>
      </c>
      <c r="G21" s="2">
        <v>126</v>
      </c>
      <c r="H21" s="2">
        <v>11</v>
      </c>
      <c r="I21" s="2">
        <v>33</v>
      </c>
      <c r="J21" s="2">
        <v>14</v>
      </c>
      <c r="K21" s="2">
        <v>17</v>
      </c>
      <c r="L21" s="2">
        <v>8</v>
      </c>
      <c r="M21" s="2">
        <v>51</v>
      </c>
      <c r="N21" s="2">
        <v>59</v>
      </c>
      <c r="O21" s="2">
        <v>29</v>
      </c>
      <c r="P21" s="2">
        <v>5</v>
      </c>
      <c r="Q21" s="2">
        <v>3</v>
      </c>
      <c r="R21" s="2">
        <v>15</v>
      </c>
      <c r="S21" s="2">
        <v>20</v>
      </c>
      <c r="T21" s="2">
        <f t="shared" si="0"/>
        <v>40</v>
      </c>
      <c r="U21" s="2">
        <f t="shared" si="1"/>
        <v>93</v>
      </c>
    </row>
    <row r="22" spans="1:21" x14ac:dyDescent="0.25">
      <c r="A22" s="2">
        <v>20</v>
      </c>
      <c r="B22" s="5" t="s">
        <v>88</v>
      </c>
      <c r="C22" s="2">
        <v>10</v>
      </c>
      <c r="D22" s="2">
        <v>128</v>
      </c>
      <c r="E22" s="2">
        <v>130</v>
      </c>
      <c r="F22" s="2">
        <v>49</v>
      </c>
      <c r="G22" s="2">
        <v>119</v>
      </c>
      <c r="H22" s="2">
        <v>17</v>
      </c>
      <c r="I22" s="2">
        <v>48</v>
      </c>
      <c r="J22" s="2">
        <v>8</v>
      </c>
      <c r="K22" s="2">
        <v>11</v>
      </c>
      <c r="L22" s="2">
        <v>8</v>
      </c>
      <c r="M22" s="2">
        <v>21</v>
      </c>
      <c r="N22" s="2">
        <v>29</v>
      </c>
      <c r="O22" s="2">
        <v>21</v>
      </c>
      <c r="P22" s="2">
        <v>13</v>
      </c>
      <c r="Q22" s="2">
        <v>1</v>
      </c>
      <c r="R22" s="2">
        <v>15</v>
      </c>
      <c r="S22" s="2">
        <v>21</v>
      </c>
      <c r="T22" s="2">
        <f t="shared" si="0"/>
        <v>32</v>
      </c>
      <c r="U22" s="2">
        <f t="shared" si="1"/>
        <v>71</v>
      </c>
    </row>
    <row r="23" spans="1:21" x14ac:dyDescent="0.25">
      <c r="A23" s="2">
        <v>21</v>
      </c>
      <c r="B23" s="5" t="s">
        <v>92</v>
      </c>
      <c r="C23" s="2">
        <v>10</v>
      </c>
      <c r="D23" s="2">
        <v>101</v>
      </c>
      <c r="E23" s="2">
        <v>119</v>
      </c>
      <c r="F23" s="2">
        <v>46</v>
      </c>
      <c r="G23" s="2">
        <v>98</v>
      </c>
      <c r="H23" s="2">
        <v>2</v>
      </c>
      <c r="I23" s="2">
        <v>11</v>
      </c>
      <c r="J23" s="2">
        <v>13</v>
      </c>
      <c r="K23" s="2">
        <v>22</v>
      </c>
      <c r="L23" s="2">
        <v>17</v>
      </c>
      <c r="M23" s="2">
        <v>31</v>
      </c>
      <c r="N23" s="2">
        <v>48</v>
      </c>
      <c r="O23" s="2">
        <v>7</v>
      </c>
      <c r="P23" s="2">
        <v>5</v>
      </c>
      <c r="Q23" s="2">
        <v>1</v>
      </c>
      <c r="R23" s="2">
        <v>12</v>
      </c>
      <c r="S23" s="2">
        <v>29</v>
      </c>
      <c r="T23" s="2">
        <f t="shared" si="0"/>
        <v>44</v>
      </c>
      <c r="U23" s="2">
        <f t="shared" si="1"/>
        <v>87</v>
      </c>
    </row>
    <row r="24" spans="1:21" x14ac:dyDescent="0.25">
      <c r="A24" s="2">
        <v>22</v>
      </c>
      <c r="B24" s="5" t="s">
        <v>90</v>
      </c>
      <c r="C24" s="2">
        <v>10</v>
      </c>
      <c r="D24" s="2">
        <v>140</v>
      </c>
      <c r="E24" s="2">
        <v>116</v>
      </c>
      <c r="F24" s="2">
        <v>52</v>
      </c>
      <c r="G24" s="2">
        <v>79</v>
      </c>
      <c r="H24" s="2">
        <v>0</v>
      </c>
      <c r="I24" s="2">
        <v>0</v>
      </c>
      <c r="J24" s="2">
        <v>7</v>
      </c>
      <c r="K24" s="2">
        <v>9</v>
      </c>
      <c r="L24" s="2">
        <v>10</v>
      </c>
      <c r="M24" s="2">
        <v>66</v>
      </c>
      <c r="N24" s="2">
        <v>76</v>
      </c>
      <c r="O24" s="2">
        <v>31</v>
      </c>
      <c r="P24" s="2">
        <v>8</v>
      </c>
      <c r="Q24" s="2">
        <v>3</v>
      </c>
      <c r="R24" s="2">
        <v>13</v>
      </c>
      <c r="S24" s="2">
        <v>16</v>
      </c>
      <c r="T24" s="2">
        <f t="shared" si="0"/>
        <v>52</v>
      </c>
      <c r="U24" s="2">
        <f t="shared" si="1"/>
        <v>79</v>
      </c>
    </row>
    <row r="25" spans="1:21" x14ac:dyDescent="0.25">
      <c r="A25" s="2">
        <v>23</v>
      </c>
      <c r="B25" s="5" t="s">
        <v>86</v>
      </c>
      <c r="C25" s="2">
        <v>7</v>
      </c>
      <c r="D25" s="2">
        <v>113</v>
      </c>
      <c r="E25" s="2">
        <v>108</v>
      </c>
      <c r="F25" s="2">
        <v>38</v>
      </c>
      <c r="G25" s="2">
        <v>106</v>
      </c>
      <c r="H25" s="2">
        <v>6</v>
      </c>
      <c r="I25" s="2">
        <v>34</v>
      </c>
      <c r="J25" s="2">
        <v>15</v>
      </c>
      <c r="K25" s="2">
        <v>18</v>
      </c>
      <c r="L25" s="2">
        <v>9</v>
      </c>
      <c r="M25" s="2">
        <v>15</v>
      </c>
      <c r="N25" s="2">
        <v>24</v>
      </c>
      <c r="O25" s="2">
        <v>25</v>
      </c>
      <c r="P25" s="2">
        <v>6</v>
      </c>
      <c r="Q25" s="2">
        <v>8</v>
      </c>
      <c r="R25" s="2">
        <v>12</v>
      </c>
      <c r="S25" s="2">
        <v>24</v>
      </c>
      <c r="T25" s="2">
        <f t="shared" si="0"/>
        <v>32</v>
      </c>
      <c r="U25" s="2">
        <f t="shared" si="1"/>
        <v>72</v>
      </c>
    </row>
    <row r="26" spans="1:21" x14ac:dyDescent="0.25">
      <c r="A26" s="2">
        <v>24</v>
      </c>
      <c r="B26" s="5" t="s">
        <v>89</v>
      </c>
      <c r="C26" s="2">
        <v>9</v>
      </c>
      <c r="D26" s="2">
        <v>106</v>
      </c>
      <c r="E26" s="2">
        <v>106</v>
      </c>
      <c r="F26" s="2">
        <v>37</v>
      </c>
      <c r="G26" s="2">
        <v>81</v>
      </c>
      <c r="H26" s="2">
        <v>14</v>
      </c>
      <c r="I26" s="2">
        <v>40</v>
      </c>
      <c r="J26" s="2">
        <v>10</v>
      </c>
      <c r="K26" s="2">
        <v>10</v>
      </c>
      <c r="L26" s="2">
        <v>7</v>
      </c>
      <c r="M26" s="2">
        <v>21</v>
      </c>
      <c r="N26" s="2">
        <v>28</v>
      </c>
      <c r="O26" s="2">
        <v>23</v>
      </c>
      <c r="P26" s="2">
        <v>9</v>
      </c>
      <c r="Q26" s="2">
        <v>3</v>
      </c>
      <c r="R26" s="2">
        <v>6</v>
      </c>
      <c r="S26" s="2">
        <v>24</v>
      </c>
      <c r="T26" s="2">
        <f t="shared" si="0"/>
        <v>23</v>
      </c>
      <c r="U26" s="2">
        <f t="shared" si="1"/>
        <v>41</v>
      </c>
    </row>
    <row r="27" spans="1:21" x14ac:dyDescent="0.25">
      <c r="A27" s="2">
        <v>25</v>
      </c>
      <c r="B27" s="5" t="s">
        <v>93</v>
      </c>
      <c r="C27" s="2">
        <v>10</v>
      </c>
      <c r="D27" s="2">
        <v>164</v>
      </c>
      <c r="E27" s="2">
        <v>99</v>
      </c>
      <c r="F27" s="2">
        <v>36</v>
      </c>
      <c r="G27" s="2">
        <v>82</v>
      </c>
      <c r="H27" s="2">
        <v>17</v>
      </c>
      <c r="I27" s="2">
        <v>41</v>
      </c>
      <c r="J27" s="2">
        <v>5</v>
      </c>
      <c r="K27" s="2">
        <v>6</v>
      </c>
      <c r="L27" s="2">
        <v>4</v>
      </c>
      <c r="M27" s="2">
        <v>39</v>
      </c>
      <c r="N27" s="2">
        <v>43</v>
      </c>
      <c r="O27" s="2">
        <v>39</v>
      </c>
      <c r="P27" s="2">
        <v>4</v>
      </c>
      <c r="Q27" s="2">
        <v>3</v>
      </c>
      <c r="R27" s="2">
        <v>12</v>
      </c>
      <c r="S27" s="2">
        <v>29</v>
      </c>
      <c r="T27" s="2">
        <f t="shared" si="0"/>
        <v>19</v>
      </c>
      <c r="U27" s="2">
        <f t="shared" si="1"/>
        <v>41</v>
      </c>
    </row>
    <row r="28" spans="1:21" x14ac:dyDescent="0.25">
      <c r="A28" s="2">
        <v>26</v>
      </c>
      <c r="B28" s="5" t="s">
        <v>91</v>
      </c>
      <c r="C28" s="2">
        <v>9</v>
      </c>
      <c r="D28" s="2">
        <v>101</v>
      </c>
      <c r="E28" s="2">
        <v>97</v>
      </c>
      <c r="F28" s="2">
        <v>34</v>
      </c>
      <c r="G28" s="2">
        <v>70</v>
      </c>
      <c r="H28" s="2">
        <v>5</v>
      </c>
      <c r="I28" s="2">
        <v>19</v>
      </c>
      <c r="J28" s="2">
        <v>12</v>
      </c>
      <c r="K28" s="2">
        <v>17</v>
      </c>
      <c r="L28" s="2">
        <v>13</v>
      </c>
      <c r="M28" s="2">
        <v>40</v>
      </c>
      <c r="N28" s="2">
        <v>53</v>
      </c>
      <c r="O28" s="2">
        <v>9</v>
      </c>
      <c r="P28" s="2">
        <v>1</v>
      </c>
      <c r="Q28" s="2">
        <v>14</v>
      </c>
      <c r="R28" s="2">
        <v>16</v>
      </c>
      <c r="S28" s="2">
        <v>31</v>
      </c>
      <c r="T28" s="2">
        <f t="shared" si="0"/>
        <v>29</v>
      </c>
      <c r="U28" s="2">
        <f t="shared" si="1"/>
        <v>51</v>
      </c>
    </row>
    <row r="29" spans="1:21" x14ac:dyDescent="0.25">
      <c r="A29" s="2">
        <v>27</v>
      </c>
      <c r="B29" s="5" t="s">
        <v>98</v>
      </c>
      <c r="C29" s="2">
        <v>10</v>
      </c>
      <c r="D29" s="2">
        <v>128</v>
      </c>
      <c r="E29" s="2">
        <v>97</v>
      </c>
      <c r="F29" s="2">
        <v>35</v>
      </c>
      <c r="G29" s="2">
        <v>77</v>
      </c>
      <c r="H29" s="2">
        <v>10</v>
      </c>
      <c r="I29" s="2">
        <v>40</v>
      </c>
      <c r="J29" s="2">
        <v>9</v>
      </c>
      <c r="K29" s="2">
        <v>16</v>
      </c>
      <c r="L29" s="2">
        <v>18</v>
      </c>
      <c r="M29" s="2">
        <v>52</v>
      </c>
      <c r="N29" s="2">
        <v>70</v>
      </c>
      <c r="O29" s="2">
        <v>9</v>
      </c>
      <c r="P29" s="2">
        <v>7</v>
      </c>
      <c r="Q29" s="2">
        <v>4</v>
      </c>
      <c r="R29" s="2">
        <v>13</v>
      </c>
      <c r="S29" s="2">
        <v>17</v>
      </c>
      <c r="T29" s="2">
        <f t="shared" si="0"/>
        <v>25</v>
      </c>
      <c r="U29" s="2">
        <f t="shared" si="1"/>
        <v>37</v>
      </c>
    </row>
    <row r="30" spans="1:21" x14ac:dyDescent="0.25">
      <c r="A30" s="2">
        <v>28</v>
      </c>
      <c r="B30" s="5" t="s">
        <v>101</v>
      </c>
      <c r="C30" s="2">
        <v>10</v>
      </c>
      <c r="D30" s="2">
        <v>148</v>
      </c>
      <c r="E30" s="2">
        <v>91</v>
      </c>
      <c r="F30" s="2">
        <v>32</v>
      </c>
      <c r="G30" s="2">
        <v>83</v>
      </c>
      <c r="H30" s="2">
        <v>8</v>
      </c>
      <c r="I30" s="2">
        <v>33</v>
      </c>
      <c r="J30" s="2">
        <v>11</v>
      </c>
      <c r="K30" s="2">
        <v>15</v>
      </c>
      <c r="L30" s="2">
        <v>16</v>
      </c>
      <c r="M30" s="2">
        <v>33</v>
      </c>
      <c r="N30" s="2">
        <v>49</v>
      </c>
      <c r="O30" s="2">
        <v>35</v>
      </c>
      <c r="P30" s="2">
        <v>18</v>
      </c>
      <c r="Q30" s="2">
        <v>5</v>
      </c>
      <c r="R30" s="2">
        <v>6</v>
      </c>
      <c r="S30" s="2">
        <v>24</v>
      </c>
      <c r="T30" s="2">
        <f t="shared" si="0"/>
        <v>24</v>
      </c>
      <c r="U30" s="2">
        <f t="shared" si="1"/>
        <v>50</v>
      </c>
    </row>
    <row r="31" spans="1:21" x14ac:dyDescent="0.25">
      <c r="A31" s="2">
        <v>29</v>
      </c>
      <c r="B31" s="5" t="s">
        <v>95</v>
      </c>
      <c r="C31" s="2">
        <v>10</v>
      </c>
      <c r="D31" s="2">
        <v>101</v>
      </c>
      <c r="E31" s="2">
        <v>89</v>
      </c>
      <c r="F31" s="2">
        <v>32</v>
      </c>
      <c r="G31" s="2">
        <v>73</v>
      </c>
      <c r="H31" s="2">
        <v>8</v>
      </c>
      <c r="I31" s="2">
        <v>21</v>
      </c>
      <c r="J31" s="2">
        <v>9</v>
      </c>
      <c r="K31" s="2">
        <v>10</v>
      </c>
      <c r="L31" s="2">
        <v>7</v>
      </c>
      <c r="M31" s="2">
        <v>23</v>
      </c>
      <c r="N31" s="2">
        <v>30</v>
      </c>
      <c r="O31" s="2">
        <v>19</v>
      </c>
      <c r="P31" s="2">
        <v>13</v>
      </c>
      <c r="Q31" s="2">
        <v>3</v>
      </c>
      <c r="R31" s="2">
        <v>9</v>
      </c>
      <c r="S31" s="2">
        <v>13</v>
      </c>
      <c r="T31" s="2">
        <f t="shared" si="0"/>
        <v>24</v>
      </c>
      <c r="U31" s="2">
        <f t="shared" si="1"/>
        <v>52</v>
      </c>
    </row>
    <row r="32" spans="1:21" x14ac:dyDescent="0.25">
      <c r="A32" s="2">
        <v>30</v>
      </c>
      <c r="B32" s="5" t="s">
        <v>103</v>
      </c>
      <c r="C32" s="2">
        <v>10</v>
      </c>
      <c r="D32" s="2">
        <v>104</v>
      </c>
      <c r="E32" s="2">
        <v>84</v>
      </c>
      <c r="F32" s="2">
        <v>32</v>
      </c>
      <c r="G32" s="2">
        <v>73</v>
      </c>
      <c r="H32" s="2">
        <v>11</v>
      </c>
      <c r="I32" s="2">
        <v>28</v>
      </c>
      <c r="J32" s="2">
        <v>5</v>
      </c>
      <c r="K32" s="2">
        <v>6</v>
      </c>
      <c r="L32" s="2">
        <v>6</v>
      </c>
      <c r="M32" s="2">
        <v>25</v>
      </c>
      <c r="N32" s="2">
        <v>31</v>
      </c>
      <c r="O32" s="2">
        <v>27</v>
      </c>
      <c r="P32" s="2">
        <v>6</v>
      </c>
      <c r="Q32" s="2">
        <v>0</v>
      </c>
      <c r="R32" s="2">
        <v>10</v>
      </c>
      <c r="S32" s="2">
        <v>16</v>
      </c>
      <c r="T32" s="2">
        <f t="shared" si="0"/>
        <v>21</v>
      </c>
      <c r="U32" s="2">
        <f t="shared" si="1"/>
        <v>45</v>
      </c>
    </row>
    <row r="33" spans="1:21" x14ac:dyDescent="0.25">
      <c r="A33" s="2">
        <v>31</v>
      </c>
      <c r="B33" s="5" t="s">
        <v>97</v>
      </c>
      <c r="C33" s="2">
        <v>9</v>
      </c>
      <c r="D33" s="2">
        <v>84</v>
      </c>
      <c r="E33" s="2">
        <v>84</v>
      </c>
      <c r="F33" s="2">
        <v>35</v>
      </c>
      <c r="G33" s="2">
        <v>70</v>
      </c>
      <c r="H33" s="2">
        <v>8</v>
      </c>
      <c r="I33" s="2">
        <v>24</v>
      </c>
      <c r="J33" s="2">
        <v>3</v>
      </c>
      <c r="K33" s="2">
        <v>5</v>
      </c>
      <c r="L33" s="2">
        <v>8</v>
      </c>
      <c r="M33" s="2">
        <v>24</v>
      </c>
      <c r="N33" s="2">
        <v>32</v>
      </c>
      <c r="O33" s="2">
        <v>3</v>
      </c>
      <c r="P33" s="2">
        <v>4</v>
      </c>
      <c r="Q33" s="2">
        <v>0</v>
      </c>
      <c r="R33" s="2">
        <v>8</v>
      </c>
      <c r="S33" s="2">
        <v>18</v>
      </c>
      <c r="T33" s="2">
        <f t="shared" si="0"/>
        <v>27</v>
      </c>
      <c r="U33" s="2">
        <f t="shared" si="1"/>
        <v>46</v>
      </c>
    </row>
    <row r="34" spans="1:21" x14ac:dyDescent="0.25">
      <c r="A34" s="2">
        <v>32</v>
      </c>
      <c r="B34" s="5" t="s">
        <v>99</v>
      </c>
      <c r="C34" s="2">
        <v>9</v>
      </c>
      <c r="D34" s="2">
        <v>61</v>
      </c>
      <c r="E34" s="2">
        <v>79</v>
      </c>
      <c r="F34" s="2">
        <v>29</v>
      </c>
      <c r="G34" s="2">
        <v>42</v>
      </c>
      <c r="H34" s="2">
        <v>0</v>
      </c>
      <c r="I34" s="2">
        <v>1</v>
      </c>
      <c r="J34" s="2">
        <v>12</v>
      </c>
      <c r="K34" s="2">
        <v>14</v>
      </c>
      <c r="L34" s="2">
        <v>8</v>
      </c>
      <c r="M34" s="2">
        <v>28</v>
      </c>
      <c r="N34" s="2">
        <v>36</v>
      </c>
      <c r="O34" s="2">
        <v>0</v>
      </c>
      <c r="P34" s="2">
        <v>1</v>
      </c>
      <c r="Q34" s="2">
        <v>7</v>
      </c>
      <c r="R34" s="2">
        <v>13</v>
      </c>
      <c r="S34" s="2">
        <v>15</v>
      </c>
      <c r="T34" s="2">
        <f t="shared" si="0"/>
        <v>29</v>
      </c>
      <c r="U34" s="2">
        <f t="shared" si="1"/>
        <v>41</v>
      </c>
    </row>
    <row r="35" spans="1:21" x14ac:dyDescent="0.25">
      <c r="A35" s="2">
        <v>33</v>
      </c>
      <c r="B35" s="5" t="s">
        <v>94</v>
      </c>
      <c r="C35" s="2">
        <v>8</v>
      </c>
      <c r="D35" s="2">
        <v>84</v>
      </c>
      <c r="E35" s="2">
        <v>79</v>
      </c>
      <c r="F35" s="2">
        <v>30</v>
      </c>
      <c r="G35" s="2">
        <v>77</v>
      </c>
      <c r="H35" s="2">
        <v>7</v>
      </c>
      <c r="I35" s="2">
        <v>26</v>
      </c>
      <c r="J35" s="2">
        <v>7</v>
      </c>
      <c r="K35" s="2">
        <v>7</v>
      </c>
      <c r="L35" s="2">
        <v>14</v>
      </c>
      <c r="M35" s="2">
        <v>36</v>
      </c>
      <c r="N35" s="2">
        <v>50</v>
      </c>
      <c r="O35" s="2">
        <v>12</v>
      </c>
      <c r="P35" s="2">
        <v>2</v>
      </c>
      <c r="Q35" s="2">
        <v>3</v>
      </c>
      <c r="R35" s="2">
        <v>5</v>
      </c>
      <c r="S35" s="2">
        <v>12</v>
      </c>
      <c r="T35" s="2">
        <f t="shared" si="0"/>
        <v>23</v>
      </c>
      <c r="U35" s="2">
        <f t="shared" si="1"/>
        <v>51</v>
      </c>
    </row>
    <row r="36" spans="1:21" x14ac:dyDescent="0.25">
      <c r="A36" s="2">
        <v>34</v>
      </c>
      <c r="B36" s="5" t="s">
        <v>102</v>
      </c>
      <c r="C36" s="2">
        <v>10</v>
      </c>
      <c r="D36" s="2">
        <v>115</v>
      </c>
      <c r="E36" s="2">
        <v>72</v>
      </c>
      <c r="F36" s="2">
        <v>34</v>
      </c>
      <c r="G36" s="2">
        <v>85</v>
      </c>
      <c r="H36" s="2">
        <v>4</v>
      </c>
      <c r="I36" s="2">
        <v>14</v>
      </c>
      <c r="J36" s="2">
        <v>0</v>
      </c>
      <c r="K36" s="2">
        <v>1</v>
      </c>
      <c r="L36" s="2">
        <v>5</v>
      </c>
      <c r="M36" s="2">
        <v>44</v>
      </c>
      <c r="N36" s="2">
        <v>49</v>
      </c>
      <c r="O36" s="2">
        <v>40</v>
      </c>
      <c r="P36" s="2">
        <v>3</v>
      </c>
      <c r="Q36" s="2">
        <v>1</v>
      </c>
      <c r="R36" s="2">
        <v>14</v>
      </c>
      <c r="S36" s="2">
        <v>21</v>
      </c>
      <c r="T36" s="2">
        <f t="shared" si="0"/>
        <v>30</v>
      </c>
      <c r="U36" s="2">
        <f t="shared" si="1"/>
        <v>71</v>
      </c>
    </row>
    <row r="37" spans="1:21" x14ac:dyDescent="0.25">
      <c r="A37" s="2">
        <v>35</v>
      </c>
      <c r="B37" s="5" t="s">
        <v>104</v>
      </c>
      <c r="C37" s="2">
        <v>10</v>
      </c>
      <c r="D37" s="2">
        <v>85</v>
      </c>
      <c r="E37" s="2">
        <v>71</v>
      </c>
      <c r="F37" s="2">
        <v>31</v>
      </c>
      <c r="G37" s="2">
        <v>59</v>
      </c>
      <c r="H37" s="2">
        <v>2</v>
      </c>
      <c r="I37" s="2">
        <v>14</v>
      </c>
      <c r="J37" s="2">
        <v>4</v>
      </c>
      <c r="K37" s="2">
        <v>9</v>
      </c>
      <c r="L37" s="2">
        <v>12</v>
      </c>
      <c r="M37" s="2">
        <v>38</v>
      </c>
      <c r="N37" s="2">
        <v>50</v>
      </c>
      <c r="O37" s="2">
        <v>5</v>
      </c>
      <c r="P37" s="2">
        <v>4</v>
      </c>
      <c r="Q37" s="2">
        <v>7</v>
      </c>
      <c r="R37" s="2">
        <v>9</v>
      </c>
      <c r="S37" s="2">
        <v>24</v>
      </c>
      <c r="T37" s="2">
        <f t="shared" si="0"/>
        <v>29</v>
      </c>
      <c r="U37" s="2">
        <f t="shared" si="1"/>
        <v>45</v>
      </c>
    </row>
    <row r="38" spans="1:21" x14ac:dyDescent="0.25">
      <c r="A38" s="2">
        <v>36</v>
      </c>
      <c r="B38" s="5" t="s">
        <v>100</v>
      </c>
      <c r="C38" s="2">
        <v>8</v>
      </c>
      <c r="D38" s="2">
        <v>79</v>
      </c>
      <c r="E38" s="2">
        <v>69</v>
      </c>
      <c r="F38" s="2">
        <v>25</v>
      </c>
      <c r="G38" s="2">
        <v>70</v>
      </c>
      <c r="H38" s="2">
        <v>6</v>
      </c>
      <c r="I38" s="2">
        <v>23</v>
      </c>
      <c r="J38" s="2">
        <v>7</v>
      </c>
      <c r="K38" s="2">
        <v>9</v>
      </c>
      <c r="L38" s="2">
        <v>3</v>
      </c>
      <c r="M38" s="2">
        <v>33</v>
      </c>
      <c r="N38" s="2">
        <v>36</v>
      </c>
      <c r="O38" s="2">
        <v>29</v>
      </c>
      <c r="P38" s="2">
        <v>7</v>
      </c>
      <c r="Q38" s="2">
        <v>2</v>
      </c>
      <c r="R38" s="2">
        <v>6</v>
      </c>
      <c r="S38" s="2">
        <v>20</v>
      </c>
      <c r="T38" s="2">
        <f t="shared" si="0"/>
        <v>19</v>
      </c>
      <c r="U38" s="2">
        <f t="shared" si="1"/>
        <v>47</v>
      </c>
    </row>
    <row r="39" spans="1:21" x14ac:dyDescent="0.25">
      <c r="A39" s="2">
        <v>37</v>
      </c>
      <c r="B39" s="5" t="s">
        <v>105</v>
      </c>
      <c r="C39" s="2">
        <v>10</v>
      </c>
      <c r="D39" s="2">
        <v>100</v>
      </c>
      <c r="E39" s="2">
        <v>66</v>
      </c>
      <c r="F39" s="2">
        <v>27</v>
      </c>
      <c r="G39" s="2">
        <v>63</v>
      </c>
      <c r="H39" s="2">
        <v>5</v>
      </c>
      <c r="I39" s="2">
        <v>28</v>
      </c>
      <c r="J39" s="2">
        <v>3</v>
      </c>
      <c r="K39" s="2">
        <v>5</v>
      </c>
      <c r="L39" s="2">
        <v>7</v>
      </c>
      <c r="M39" s="2">
        <v>29</v>
      </c>
      <c r="N39" s="2">
        <v>36</v>
      </c>
      <c r="O39" s="2">
        <v>9</v>
      </c>
      <c r="P39" s="2">
        <v>2</v>
      </c>
      <c r="Q39" s="2">
        <v>2</v>
      </c>
      <c r="R39" s="2">
        <v>10</v>
      </c>
      <c r="S39" s="2">
        <v>20</v>
      </c>
      <c r="T39" s="2">
        <f t="shared" si="0"/>
        <v>22</v>
      </c>
      <c r="U39" s="2">
        <f t="shared" si="1"/>
        <v>35</v>
      </c>
    </row>
    <row r="40" spans="1:21" x14ac:dyDescent="0.25">
      <c r="A40" s="2">
        <v>38</v>
      </c>
      <c r="B40" s="5" t="s">
        <v>96</v>
      </c>
      <c r="C40" s="2">
        <v>7</v>
      </c>
      <c r="D40" s="2">
        <v>81</v>
      </c>
      <c r="E40" s="2">
        <v>64</v>
      </c>
      <c r="F40" s="2">
        <v>30</v>
      </c>
      <c r="G40" s="2">
        <v>59</v>
      </c>
      <c r="H40" s="2">
        <v>1</v>
      </c>
      <c r="I40" s="2">
        <v>10</v>
      </c>
      <c r="J40" s="2">
        <v>2</v>
      </c>
      <c r="K40" s="2">
        <v>3</v>
      </c>
      <c r="L40" s="2">
        <v>5</v>
      </c>
      <c r="M40" s="2">
        <v>39</v>
      </c>
      <c r="N40" s="2">
        <v>44</v>
      </c>
      <c r="O40" s="2">
        <v>8</v>
      </c>
      <c r="P40" s="2">
        <v>4</v>
      </c>
      <c r="Q40" s="2">
        <v>7</v>
      </c>
      <c r="R40" s="2">
        <v>8</v>
      </c>
      <c r="S40" s="2">
        <v>22</v>
      </c>
      <c r="T40" s="2">
        <f t="shared" si="0"/>
        <v>29</v>
      </c>
      <c r="U40" s="2">
        <f t="shared" si="1"/>
        <v>49</v>
      </c>
    </row>
    <row r="41" spans="1:21" x14ac:dyDescent="0.25">
      <c r="A41" s="2">
        <v>39</v>
      </c>
      <c r="B41" s="5" t="s">
        <v>108</v>
      </c>
      <c r="C41" s="2">
        <v>10</v>
      </c>
      <c r="D41" s="2">
        <v>80</v>
      </c>
      <c r="E41" s="2">
        <v>56</v>
      </c>
      <c r="F41" s="2">
        <v>21</v>
      </c>
      <c r="G41" s="2">
        <v>61</v>
      </c>
      <c r="H41" s="2">
        <v>10</v>
      </c>
      <c r="I41" s="2">
        <v>28</v>
      </c>
      <c r="J41" s="2">
        <v>2</v>
      </c>
      <c r="K41" s="2">
        <v>4</v>
      </c>
      <c r="L41" s="2">
        <v>3</v>
      </c>
      <c r="M41" s="2">
        <v>15</v>
      </c>
      <c r="N41" s="2">
        <v>18</v>
      </c>
      <c r="O41" s="2">
        <v>13</v>
      </c>
      <c r="P41" s="2">
        <v>2</v>
      </c>
      <c r="Q41" s="2">
        <v>1</v>
      </c>
      <c r="R41" s="2">
        <v>6</v>
      </c>
      <c r="S41" s="2">
        <v>20</v>
      </c>
      <c r="T41" s="2">
        <f t="shared" si="0"/>
        <v>11</v>
      </c>
      <c r="U41" s="2">
        <f t="shared" si="1"/>
        <v>33</v>
      </c>
    </row>
    <row r="42" spans="1:21" x14ac:dyDescent="0.25">
      <c r="A42" s="2">
        <v>40</v>
      </c>
      <c r="B42" s="5" t="s">
        <v>107</v>
      </c>
      <c r="C42" s="2">
        <v>10</v>
      </c>
      <c r="D42" s="2">
        <v>87</v>
      </c>
      <c r="E42" s="2">
        <v>54</v>
      </c>
      <c r="F42" s="2">
        <v>25</v>
      </c>
      <c r="G42" s="2">
        <v>47</v>
      </c>
      <c r="H42" s="2">
        <v>2</v>
      </c>
      <c r="I42" s="2">
        <v>7</v>
      </c>
      <c r="J42" s="2">
        <v>1</v>
      </c>
      <c r="K42" s="2">
        <v>5</v>
      </c>
      <c r="L42" s="2">
        <v>12</v>
      </c>
      <c r="M42" s="2">
        <v>35</v>
      </c>
      <c r="N42" s="2">
        <v>47</v>
      </c>
      <c r="O42" s="2">
        <v>6</v>
      </c>
      <c r="P42" s="2">
        <v>6</v>
      </c>
      <c r="Q42" s="2">
        <v>4</v>
      </c>
      <c r="R42" s="2">
        <v>10</v>
      </c>
      <c r="S42" s="2">
        <v>21</v>
      </c>
      <c r="T42" s="2">
        <f t="shared" si="0"/>
        <v>23</v>
      </c>
      <c r="U42" s="2">
        <f t="shared" si="1"/>
        <v>40</v>
      </c>
    </row>
    <row r="43" spans="1:21" x14ac:dyDescent="0.25">
      <c r="A43" s="2">
        <v>41</v>
      </c>
      <c r="B43" s="5" t="s">
        <v>106</v>
      </c>
      <c r="C43" s="2">
        <v>9</v>
      </c>
      <c r="D43" s="2">
        <v>86</v>
      </c>
      <c r="E43" s="2">
        <v>52</v>
      </c>
      <c r="F43" s="2">
        <v>21</v>
      </c>
      <c r="G43" s="2">
        <v>70</v>
      </c>
      <c r="H43" s="2">
        <v>3</v>
      </c>
      <c r="I43" s="2">
        <v>19</v>
      </c>
      <c r="J43" s="2">
        <v>4</v>
      </c>
      <c r="K43" s="2">
        <v>6</v>
      </c>
      <c r="L43" s="2">
        <v>4</v>
      </c>
      <c r="M43" s="2">
        <v>22</v>
      </c>
      <c r="N43" s="2">
        <v>26</v>
      </c>
      <c r="O43" s="2">
        <v>11</v>
      </c>
      <c r="P43" s="2">
        <v>10</v>
      </c>
      <c r="Q43" s="2">
        <v>11</v>
      </c>
      <c r="R43" s="2">
        <v>11</v>
      </c>
      <c r="S43" s="2">
        <v>16</v>
      </c>
      <c r="T43" s="2">
        <f t="shared" si="0"/>
        <v>18</v>
      </c>
      <c r="U43" s="2">
        <f t="shared" si="1"/>
        <v>51</v>
      </c>
    </row>
    <row r="44" spans="1:21" x14ac:dyDescent="0.25">
      <c r="A44" s="2">
        <v>42</v>
      </c>
      <c r="B44" s="5" t="s">
        <v>111</v>
      </c>
      <c r="C44" s="2">
        <v>10</v>
      </c>
      <c r="D44" s="2">
        <v>55</v>
      </c>
      <c r="E44" s="2">
        <v>45</v>
      </c>
      <c r="F44" s="2">
        <v>17</v>
      </c>
      <c r="G44" s="2">
        <v>36</v>
      </c>
      <c r="H44" s="2">
        <v>2</v>
      </c>
      <c r="I44" s="2">
        <v>11</v>
      </c>
      <c r="J44" s="2">
        <v>5</v>
      </c>
      <c r="K44" s="2">
        <v>5</v>
      </c>
      <c r="L44" s="2">
        <v>9</v>
      </c>
      <c r="M44" s="2">
        <v>21</v>
      </c>
      <c r="N44" s="2">
        <v>30</v>
      </c>
      <c r="O44" s="2">
        <v>2</v>
      </c>
      <c r="P44" s="2">
        <v>2</v>
      </c>
      <c r="Q44" s="2">
        <v>2</v>
      </c>
      <c r="R44" s="2">
        <v>3</v>
      </c>
      <c r="S44" s="2">
        <v>13</v>
      </c>
      <c r="T44" s="2">
        <f t="shared" si="0"/>
        <v>15</v>
      </c>
      <c r="U44" s="2">
        <f t="shared" si="1"/>
        <v>25</v>
      </c>
    </row>
    <row r="45" spans="1:21" x14ac:dyDescent="0.25">
      <c r="A45" s="2">
        <v>43</v>
      </c>
      <c r="B45" s="5" t="s">
        <v>109</v>
      </c>
      <c r="C45" s="2">
        <v>8</v>
      </c>
      <c r="D45" s="2">
        <v>58</v>
      </c>
      <c r="E45" s="2">
        <v>42</v>
      </c>
      <c r="F45" s="2">
        <v>17</v>
      </c>
      <c r="G45" s="2">
        <v>41</v>
      </c>
      <c r="H45" s="2">
        <v>6</v>
      </c>
      <c r="I45" s="2">
        <v>23</v>
      </c>
      <c r="J45" s="2">
        <v>1</v>
      </c>
      <c r="K45" s="2">
        <v>1</v>
      </c>
      <c r="L45" s="2">
        <v>1</v>
      </c>
      <c r="M45" s="2">
        <v>7</v>
      </c>
      <c r="N45" s="2">
        <v>8</v>
      </c>
      <c r="O45" s="2">
        <v>12</v>
      </c>
      <c r="P45" s="2">
        <v>6</v>
      </c>
      <c r="Q45" s="2">
        <v>0</v>
      </c>
      <c r="R45" s="2">
        <v>2</v>
      </c>
      <c r="S45" s="2">
        <v>18</v>
      </c>
      <c r="T45" s="2">
        <f t="shared" si="0"/>
        <v>11</v>
      </c>
      <c r="U45" s="2">
        <f t="shared" si="1"/>
        <v>18</v>
      </c>
    </row>
    <row r="46" spans="1:21" x14ac:dyDescent="0.25">
      <c r="A46" s="2">
        <v>44</v>
      </c>
      <c r="B46" s="5" t="s">
        <v>115</v>
      </c>
      <c r="C46" s="2">
        <v>10</v>
      </c>
      <c r="D46" s="2">
        <v>60</v>
      </c>
      <c r="E46" s="2">
        <v>41</v>
      </c>
      <c r="F46" s="2">
        <v>14</v>
      </c>
      <c r="G46" s="2">
        <v>35</v>
      </c>
      <c r="H46" s="2">
        <v>13</v>
      </c>
      <c r="I46" s="2">
        <v>32</v>
      </c>
      <c r="J46" s="2">
        <v>0</v>
      </c>
      <c r="K46" s="2">
        <v>1</v>
      </c>
      <c r="L46" s="2">
        <v>1</v>
      </c>
      <c r="M46" s="2">
        <v>14</v>
      </c>
      <c r="N46" s="2">
        <v>15</v>
      </c>
      <c r="O46" s="2">
        <v>6</v>
      </c>
      <c r="P46" s="2">
        <v>1</v>
      </c>
      <c r="Q46" s="2">
        <v>0</v>
      </c>
      <c r="R46" s="2">
        <v>5</v>
      </c>
      <c r="S46" s="2">
        <v>23</v>
      </c>
      <c r="T46" s="2">
        <f t="shared" si="0"/>
        <v>1</v>
      </c>
      <c r="U46" s="2">
        <f t="shared" si="1"/>
        <v>3</v>
      </c>
    </row>
    <row r="47" spans="1:21" x14ac:dyDescent="0.25">
      <c r="A47" s="2">
        <v>45</v>
      </c>
      <c r="B47" s="5" t="s">
        <v>113</v>
      </c>
      <c r="C47" s="2">
        <v>9</v>
      </c>
      <c r="D47" s="2">
        <v>106</v>
      </c>
      <c r="E47" s="2">
        <v>37</v>
      </c>
      <c r="F47" s="2">
        <v>15</v>
      </c>
      <c r="G47" s="2">
        <v>43</v>
      </c>
      <c r="H47" s="2">
        <v>7</v>
      </c>
      <c r="I47" s="2">
        <v>20</v>
      </c>
      <c r="J47" s="2">
        <v>0</v>
      </c>
      <c r="K47" s="2">
        <v>1</v>
      </c>
      <c r="L47" s="2">
        <v>6</v>
      </c>
      <c r="M47" s="2">
        <v>25</v>
      </c>
      <c r="N47" s="2">
        <v>31</v>
      </c>
      <c r="O47" s="2">
        <v>12</v>
      </c>
      <c r="P47" s="2">
        <v>3</v>
      </c>
      <c r="Q47" s="2">
        <v>8</v>
      </c>
      <c r="R47" s="2">
        <v>13</v>
      </c>
      <c r="S47" s="2">
        <v>34</v>
      </c>
      <c r="T47" s="2">
        <f t="shared" si="0"/>
        <v>8</v>
      </c>
      <c r="U47" s="2">
        <f t="shared" si="1"/>
        <v>23</v>
      </c>
    </row>
    <row r="48" spans="1:21" x14ac:dyDescent="0.25">
      <c r="A48" s="2">
        <v>46</v>
      </c>
      <c r="B48" s="5" t="s">
        <v>112</v>
      </c>
      <c r="C48" s="2">
        <v>9</v>
      </c>
      <c r="D48" s="2">
        <v>91</v>
      </c>
      <c r="E48" s="2">
        <v>37</v>
      </c>
      <c r="F48" s="2">
        <v>13</v>
      </c>
      <c r="G48" s="2">
        <v>46</v>
      </c>
      <c r="H48" s="2">
        <v>5</v>
      </c>
      <c r="I48" s="2">
        <v>22</v>
      </c>
      <c r="J48" s="2">
        <v>3</v>
      </c>
      <c r="K48" s="2">
        <v>3</v>
      </c>
      <c r="L48" s="2">
        <v>11</v>
      </c>
      <c r="M48" s="2">
        <v>18</v>
      </c>
      <c r="N48" s="2">
        <v>29</v>
      </c>
      <c r="O48" s="2">
        <v>5</v>
      </c>
      <c r="P48" s="2">
        <v>11</v>
      </c>
      <c r="Q48" s="2">
        <v>2</v>
      </c>
      <c r="R48" s="2">
        <v>10</v>
      </c>
      <c r="S48" s="2">
        <v>18</v>
      </c>
      <c r="T48" s="2">
        <f t="shared" si="0"/>
        <v>8</v>
      </c>
      <c r="U48" s="2">
        <f t="shared" si="1"/>
        <v>24</v>
      </c>
    </row>
    <row r="49" spans="1:21" x14ac:dyDescent="0.25">
      <c r="A49" s="2">
        <v>47</v>
      </c>
      <c r="B49" s="5" t="s">
        <v>114</v>
      </c>
      <c r="C49" s="2">
        <v>2</v>
      </c>
      <c r="D49" s="2">
        <v>10</v>
      </c>
      <c r="E49" s="2">
        <v>6</v>
      </c>
      <c r="F49" s="2">
        <v>3</v>
      </c>
      <c r="G49" s="2">
        <v>6</v>
      </c>
      <c r="H49" s="2">
        <v>0</v>
      </c>
      <c r="I49" s="2">
        <v>0</v>
      </c>
      <c r="J49" s="2">
        <v>0</v>
      </c>
      <c r="K49" s="2">
        <v>0</v>
      </c>
      <c r="L49" s="2">
        <v>1</v>
      </c>
      <c r="M49" s="2">
        <v>2</v>
      </c>
      <c r="N49" s="2">
        <v>3</v>
      </c>
      <c r="O49" s="2">
        <v>3</v>
      </c>
      <c r="P49" s="2">
        <v>0</v>
      </c>
      <c r="Q49" s="2">
        <v>1</v>
      </c>
      <c r="R49" s="2">
        <v>0</v>
      </c>
      <c r="S49" s="2">
        <v>2</v>
      </c>
      <c r="T49" s="2">
        <f t="shared" si="0"/>
        <v>3</v>
      </c>
      <c r="U49" s="2">
        <f t="shared" si="1"/>
        <v>6</v>
      </c>
    </row>
    <row r="50" spans="1:21" x14ac:dyDescent="0.25">
      <c r="A50" s="2">
        <v>48</v>
      </c>
      <c r="B50" s="5" t="s">
        <v>110</v>
      </c>
      <c r="C50" s="2">
        <v>1</v>
      </c>
      <c r="D50" s="2">
        <v>7</v>
      </c>
      <c r="E50" s="2">
        <v>5</v>
      </c>
      <c r="F50" s="2">
        <v>2</v>
      </c>
      <c r="G50" s="2">
        <v>7</v>
      </c>
      <c r="H50" s="2">
        <v>1</v>
      </c>
      <c r="I50" s="2">
        <v>5</v>
      </c>
      <c r="J50" s="2">
        <v>0</v>
      </c>
      <c r="K50" s="2">
        <v>0</v>
      </c>
      <c r="L50" s="2">
        <v>1</v>
      </c>
      <c r="M50" s="2">
        <v>1</v>
      </c>
      <c r="N50" s="2">
        <v>2</v>
      </c>
      <c r="O50" s="2">
        <v>0</v>
      </c>
      <c r="P50" s="2">
        <v>0</v>
      </c>
      <c r="Q50" s="2">
        <v>0</v>
      </c>
      <c r="R50" s="2">
        <v>1</v>
      </c>
      <c r="S50" s="2">
        <v>1</v>
      </c>
      <c r="T50" s="2">
        <f t="shared" si="0"/>
        <v>1</v>
      </c>
      <c r="U50" s="2">
        <f t="shared" si="1"/>
        <v>2</v>
      </c>
    </row>
    <row r="51" spans="1:21" x14ac:dyDescent="0.25">
      <c r="A51" s="2">
        <v>49</v>
      </c>
      <c r="B51" s="5" t="s">
        <v>116</v>
      </c>
      <c r="C51" s="2">
        <v>1</v>
      </c>
      <c r="D51" s="2">
        <v>6</v>
      </c>
      <c r="E51" s="2">
        <v>2</v>
      </c>
      <c r="F51" s="2">
        <v>0</v>
      </c>
      <c r="G51" s="2">
        <v>4</v>
      </c>
      <c r="H51" s="2">
        <v>0</v>
      </c>
      <c r="I51" s="2">
        <v>1</v>
      </c>
      <c r="J51" s="2">
        <v>1</v>
      </c>
      <c r="K51" s="2">
        <v>3</v>
      </c>
      <c r="L51" s="2">
        <v>1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0</v>
      </c>
      <c r="S51" s="2">
        <v>2</v>
      </c>
      <c r="T51" s="2">
        <f t="shared" si="0"/>
        <v>0</v>
      </c>
      <c r="U51" s="2">
        <f t="shared" si="1"/>
        <v>3</v>
      </c>
    </row>
    <row r="80" spans="2:31" x14ac:dyDescent="0.25">
      <c r="B80" t="s">
        <v>36</v>
      </c>
      <c r="C80" s="6">
        <f>SUM(C3:C49)</f>
        <v>436</v>
      </c>
      <c r="D80" s="6">
        <f t="shared" ref="D80:U80" si="2">SUM(D3:D49)</f>
        <v>5884</v>
      </c>
      <c r="E80" s="6">
        <f t="shared" si="2"/>
        <v>5620</v>
      </c>
      <c r="F80" s="6">
        <f t="shared" si="2"/>
        <v>2158</v>
      </c>
      <c r="G80" s="6">
        <f t="shared" si="2"/>
        <v>4605</v>
      </c>
      <c r="H80" s="6">
        <f t="shared" si="2"/>
        <v>466</v>
      </c>
      <c r="I80" s="6">
        <f t="shared" si="2"/>
        <v>1441</v>
      </c>
      <c r="J80" s="6">
        <f t="shared" si="2"/>
        <v>467</v>
      </c>
      <c r="K80" s="6">
        <f t="shared" si="2"/>
        <v>604</v>
      </c>
      <c r="L80" s="6">
        <f t="shared" si="2"/>
        <v>453</v>
      </c>
      <c r="M80" s="6">
        <f t="shared" si="2"/>
        <v>1817</v>
      </c>
      <c r="N80" s="6">
        <f t="shared" si="2"/>
        <v>2270</v>
      </c>
      <c r="O80" s="6">
        <f t="shared" si="2"/>
        <v>961</v>
      </c>
      <c r="P80" s="6">
        <f t="shared" si="2"/>
        <v>313</v>
      </c>
      <c r="Q80" s="6">
        <f t="shared" si="2"/>
        <v>208</v>
      </c>
      <c r="R80" s="6">
        <f t="shared" si="2"/>
        <v>589</v>
      </c>
      <c r="S80" s="6">
        <f t="shared" si="2"/>
        <v>1055</v>
      </c>
      <c r="T80" s="6">
        <f t="shared" si="2"/>
        <v>1692</v>
      </c>
      <c r="U80" s="6">
        <f t="shared" si="2"/>
        <v>3164</v>
      </c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2:31" x14ac:dyDescent="0.25">
      <c r="B81" t="s">
        <v>38</v>
      </c>
      <c r="C81" s="9">
        <f>100*(E80)/(2*(G80+0.44*K80))</f>
        <v>57.691202194318748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spans="2:31" x14ac:dyDescent="0.25">
      <c r="B82" t="s">
        <v>39</v>
      </c>
      <c r="C82" s="6">
        <f>(E80)/((G80+0.44*K80+R80))</f>
        <v>1.0293492754260261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spans="2:31" x14ac:dyDescent="0.25">
      <c r="B83" t="s">
        <v>37</v>
      </c>
      <c r="C83" s="9">
        <f>100*(H80/I80)</f>
        <v>32.338653712699518</v>
      </c>
    </row>
    <row r="84" spans="2:31" x14ac:dyDescent="0.25">
      <c r="B84" t="s">
        <v>40</v>
      </c>
      <c r="C84" s="9">
        <f>100*(T80/U80)</f>
        <v>53.476611883691525</v>
      </c>
    </row>
    <row r="85" spans="2:31" x14ac:dyDescent="0.25">
      <c r="B85" t="s">
        <v>41</v>
      </c>
      <c r="C85" s="9">
        <f>100*(F80/G80)</f>
        <v>46.862106406080343</v>
      </c>
    </row>
    <row r="86" spans="2:31" x14ac:dyDescent="0.25">
      <c r="B86" t="s">
        <v>42</v>
      </c>
      <c r="C86" s="9">
        <f>100*(F80+0.5*H80)/(G80)</f>
        <v>51.921824104234531</v>
      </c>
    </row>
    <row r="87" spans="2:31" x14ac:dyDescent="0.25">
      <c r="B87" t="s">
        <v>44</v>
      </c>
      <c r="C87" s="9">
        <f>100*(J80/K80)</f>
        <v>77.317880794701992</v>
      </c>
    </row>
  </sheetData>
  <autoFilter ref="A2:U2" xr:uid="{00000000-0009-0000-0000-000001000000}"/>
  <mergeCells count="1">
    <mergeCell ref="A1:U1"/>
  </mergeCells>
  <conditionalFormatting sqref="C3:C78">
    <cfRule type="colorScale" priority="20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D3:D7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E3:E78">
    <cfRule type="colorScale" priority="1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F3:F7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G3:G7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H3:H7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I3:I7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J3:J7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K3:K7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L3:L7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M3:M7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N3:N7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O3:O7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P3:P7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Q3:Q7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R3:R78">
    <cfRule type="colorScale" priority="2">
      <colorScale>
        <cfvo type="min"/>
        <cfvo type="percentile" val="50"/>
        <cfvo type="max"/>
        <color rgb="FF63BE7B"/>
        <color theme="0"/>
        <color rgb="FFF8696B"/>
      </colorScale>
    </cfRule>
  </conditionalFormatting>
  <conditionalFormatting sqref="S3:S78">
    <cfRule type="colorScale" priority="1">
      <colorScale>
        <cfvo type="min"/>
        <cfvo type="percentile" val="50"/>
        <cfvo type="max"/>
        <color rgb="FF63BE7B"/>
        <color theme="0"/>
        <color rgb="FFFF0000"/>
      </colorScale>
    </cfRule>
  </conditionalFormatting>
  <conditionalFormatting sqref="T3:T7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U3:U7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82"/>
  <sheetViews>
    <sheetView workbookViewId="0">
      <pane xSplit="2" ySplit="2" topLeftCell="C3" activePane="bottomRight" state="frozen"/>
      <selection activeCell="G3" sqref="G3:I3"/>
      <selection pane="topRight" activeCell="G3" sqref="G3:I3"/>
      <selection pane="bottomLeft" activeCell="G3" sqref="G3:I3"/>
      <selection pane="bottomRight" sqref="A1:AJ1"/>
    </sheetView>
  </sheetViews>
  <sheetFormatPr baseColWidth="10" defaultRowHeight="15" x14ac:dyDescent="0.25"/>
  <cols>
    <col min="1" max="1" width="5.5703125" customWidth="1"/>
    <col min="2" max="2" width="18.5703125" customWidth="1"/>
    <col min="3" max="25" width="6.5703125" customWidth="1"/>
    <col min="26" max="36" width="7.5703125" customWidth="1"/>
    <col min="37" max="38" width="8.5703125" customWidth="1"/>
    <col min="39" max="60" width="6.5703125" customWidth="1"/>
    <col min="61" max="67" width="7.5703125" customWidth="1"/>
  </cols>
  <sheetData>
    <row r="1" spans="1:67" ht="26.25" x14ac:dyDescent="0.4">
      <c r="A1" s="16" t="s">
        <v>29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M1" s="17" t="s">
        <v>30</v>
      </c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</row>
    <row r="2" spans="1:67" ht="35.1" customHeight="1" x14ac:dyDescent="0.25">
      <c r="A2" s="7" t="s">
        <v>33</v>
      </c>
      <c r="B2" s="7" t="s">
        <v>2</v>
      </c>
      <c r="C2" s="7" t="s">
        <v>3</v>
      </c>
      <c r="D2" s="7" t="s">
        <v>4</v>
      </c>
      <c r="E2" s="7" t="s">
        <v>24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14</v>
      </c>
      <c r="M2" s="7" t="s">
        <v>15</v>
      </c>
      <c r="N2" s="7" t="s">
        <v>16</v>
      </c>
      <c r="O2" s="7" t="s">
        <v>17</v>
      </c>
      <c r="P2" s="7" t="s">
        <v>34</v>
      </c>
      <c r="Q2" s="7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11</v>
      </c>
      <c r="X2" s="7" t="s">
        <v>12</v>
      </c>
      <c r="Y2" s="7" t="s">
        <v>13</v>
      </c>
      <c r="Z2" s="7" t="s">
        <v>25</v>
      </c>
      <c r="AA2" s="7" t="s">
        <v>26</v>
      </c>
      <c r="AB2" s="7" t="s">
        <v>35</v>
      </c>
      <c r="AC2" s="7" t="s">
        <v>28</v>
      </c>
      <c r="AD2" s="7" t="s">
        <v>43</v>
      </c>
      <c r="AE2" s="7" t="s">
        <v>27</v>
      </c>
      <c r="AF2" s="7" t="s">
        <v>32</v>
      </c>
      <c r="AG2" s="7" t="s">
        <v>46</v>
      </c>
      <c r="AH2" s="7" t="s">
        <v>45</v>
      </c>
      <c r="AI2" s="7" t="s">
        <v>31</v>
      </c>
      <c r="AJ2" s="7" t="s">
        <v>65</v>
      </c>
      <c r="AM2" s="7" t="s">
        <v>4</v>
      </c>
      <c r="AN2" s="7" t="s">
        <v>24</v>
      </c>
      <c r="AO2" s="7" t="s">
        <v>5</v>
      </c>
      <c r="AP2" s="7" t="s">
        <v>6</v>
      </c>
      <c r="AQ2" s="7" t="s">
        <v>7</v>
      </c>
      <c r="AR2" s="7" t="s">
        <v>8</v>
      </c>
      <c r="AS2" s="7" t="s">
        <v>9</v>
      </c>
      <c r="AT2" s="7" t="s">
        <v>10</v>
      </c>
      <c r="AU2" s="7" t="s">
        <v>14</v>
      </c>
      <c r="AV2" s="7" t="s">
        <v>15</v>
      </c>
      <c r="AW2" s="7" t="s">
        <v>16</v>
      </c>
      <c r="AX2" s="7" t="s">
        <v>17</v>
      </c>
      <c r="AY2" s="7" t="s">
        <v>34</v>
      </c>
      <c r="AZ2" s="7" t="s">
        <v>18</v>
      </c>
      <c r="BA2" s="7" t="s">
        <v>19</v>
      </c>
      <c r="BB2" s="7" t="s">
        <v>20</v>
      </c>
      <c r="BC2" s="7" t="s">
        <v>21</v>
      </c>
      <c r="BD2" s="7" t="s">
        <v>22</v>
      </c>
      <c r="BE2" s="7" t="s">
        <v>23</v>
      </c>
      <c r="BF2" s="7" t="s">
        <v>11</v>
      </c>
      <c r="BG2" s="7" t="s">
        <v>12</v>
      </c>
      <c r="BH2" s="7" t="s">
        <v>13</v>
      </c>
      <c r="BI2" s="7" t="s">
        <v>25</v>
      </c>
      <c r="BJ2" s="7" t="s">
        <v>26</v>
      </c>
      <c r="BK2" s="7" t="s">
        <v>35</v>
      </c>
      <c r="BL2" s="7" t="s">
        <v>28</v>
      </c>
      <c r="BM2" s="7" t="s">
        <v>43</v>
      </c>
      <c r="BN2" s="7" t="s">
        <v>31</v>
      </c>
      <c r="BO2" s="7" t="s">
        <v>65</v>
      </c>
    </row>
    <row r="3" spans="1:67" x14ac:dyDescent="0.25">
      <c r="A3" s="2">
        <v>1</v>
      </c>
      <c r="B3" s="5" t="s">
        <v>68</v>
      </c>
      <c r="C3" s="2">
        <v>9</v>
      </c>
      <c r="D3" s="9">
        <v>21</v>
      </c>
      <c r="E3" s="9">
        <v>26.8</v>
      </c>
      <c r="F3" s="9">
        <v>9.8000000000000007</v>
      </c>
      <c r="G3" s="9">
        <v>22.6</v>
      </c>
      <c r="H3" s="9">
        <v>43.3</v>
      </c>
      <c r="I3" s="9">
        <v>3.8</v>
      </c>
      <c r="J3" s="9">
        <v>11.6</v>
      </c>
      <c r="K3" s="9">
        <v>32.700000000000003</v>
      </c>
      <c r="L3" s="9">
        <v>2.1</v>
      </c>
      <c r="M3" s="9">
        <v>2.4</v>
      </c>
      <c r="N3" s="9">
        <v>86.4</v>
      </c>
      <c r="O3" s="9">
        <v>0.8</v>
      </c>
      <c r="P3" s="9">
        <v>6.6</v>
      </c>
      <c r="Q3" s="9">
        <v>7.3</v>
      </c>
      <c r="R3" s="9">
        <v>4.8</v>
      </c>
      <c r="S3" s="9">
        <v>0.4</v>
      </c>
      <c r="T3" s="9">
        <v>0.2</v>
      </c>
      <c r="U3" s="9">
        <v>3.4</v>
      </c>
      <c r="V3" s="9">
        <v>3.1</v>
      </c>
      <c r="W3" s="9">
        <f>F3-I3</f>
        <v>6.0000000000000009</v>
      </c>
      <c r="X3" s="9">
        <f>G3-J3</f>
        <v>11.000000000000002</v>
      </c>
      <c r="Y3" s="9">
        <f>IF(X3=0,"0",(W3/X3)*100)</f>
        <v>54.54545454545454</v>
      </c>
      <c r="Z3" s="6">
        <f>IF(U3=0,"0",R3/U3)</f>
        <v>1.411764705882353</v>
      </c>
      <c r="AA3" s="9">
        <f>100*(E3)/(2*(G3+0.44*M3))</f>
        <v>56.64524856273249</v>
      </c>
      <c r="AB3" s="6">
        <f>2*AA3/100</f>
        <v>1.1329049712546497</v>
      </c>
      <c r="AC3" s="6">
        <f>(E3)/(G3+0.44*M3+U3)</f>
        <v>0.99053814311058541</v>
      </c>
      <c r="AD3" s="9">
        <f>100*(F3+0.5*I3)/(G3)</f>
        <v>51.769911504424776</v>
      </c>
      <c r="AE3" s="4">
        <f>100*(AA3/TOTAL_BASIC!$C$81)</f>
        <v>98.186978964204599</v>
      </c>
      <c r="AF3" s="4">
        <f>100*AC3/TOTAL_BASIC!$C$82</f>
        <v>96.229546836822948</v>
      </c>
      <c r="AG3" s="4">
        <f>100*N3/TOTAL_BASIC!$C$87</f>
        <v>111.74646680942183</v>
      </c>
      <c r="AH3" s="4">
        <f>100*AD3/TOTAL_BASIC!$C$86</f>
        <v>99.707420526087859</v>
      </c>
      <c r="AI3" s="3">
        <f>T3/V3</f>
        <v>6.4516129032258063E-2</v>
      </c>
      <c r="AJ3" s="9">
        <f>100*(U3)/(G3+0.44*M3+U3)</f>
        <v>12.566528681253695</v>
      </c>
      <c r="AM3" s="4">
        <f t="shared" ref="AM3:AM17" si="0">(PERCENTRANK(D$3:D$78,D3))*100</f>
        <v>97.899999999999991</v>
      </c>
      <c r="AN3" s="4">
        <f t="shared" ref="AN3:AN17" si="1">(PERCENTRANK(E$3:E$78,E3))*100</f>
        <v>100</v>
      </c>
      <c r="AO3" s="4">
        <f t="shared" ref="AO3:AO17" si="2">(PERCENTRANK(F$3:F$78,F3))*100</f>
        <v>100</v>
      </c>
      <c r="AP3" s="4">
        <f t="shared" ref="AP3:AP17" si="3">(PERCENTRANK(G$3:G$78,G3))*100</f>
        <v>100</v>
      </c>
      <c r="AQ3" s="4">
        <f t="shared" ref="AQ3:AQ17" si="4">(PERCENTRANK(H$3:H$78,H3))*100</f>
        <v>37.5</v>
      </c>
      <c r="AR3" s="4">
        <f t="shared" ref="AR3:AR17" si="5">(PERCENTRANK(I$3:I$78,I3))*100</f>
        <v>100</v>
      </c>
      <c r="AS3" s="4">
        <f t="shared" ref="AS3:AS17" si="6">(PERCENTRANK(J$3:J$78,J3))*100</f>
        <v>100</v>
      </c>
      <c r="AT3" s="4">
        <f t="shared" ref="AT3:AT17" si="7">(PERCENTRANK(K$3:K$78,K3))*100</f>
        <v>58.3</v>
      </c>
      <c r="AU3" s="4">
        <f t="shared" ref="AU3:AU17" si="8">(PERCENTRANK(L$3:L$78,L3))*100</f>
        <v>87.5</v>
      </c>
      <c r="AV3" s="4">
        <f t="shared" ref="AV3:AV17" si="9">(PERCENTRANK(M$3:M$78,M3))*100</f>
        <v>83.3</v>
      </c>
      <c r="AW3" s="4">
        <f t="shared" ref="AW3:AW17" si="10">(PERCENTRANK(N$3:N$78,N3))*100</f>
        <v>79.100000000000009</v>
      </c>
      <c r="AX3" s="4">
        <f t="shared" ref="AX3:AX17" si="11">(PERCENTRANK(O$3:O$78,O3))*100</f>
        <v>39.5</v>
      </c>
      <c r="AY3" s="4">
        <f t="shared" ref="AY3:AY17" si="12">(PERCENTRANK(P$3:P$78,P3))*100</f>
        <v>85.399999999999991</v>
      </c>
      <c r="AZ3" s="4">
        <f t="shared" ref="AZ3:AZ17" si="13">(PERCENTRANK(Q$3:Q$78,Q3))*100</f>
        <v>83.3</v>
      </c>
      <c r="BA3" s="4">
        <f t="shared" ref="BA3:BA17" si="14">(PERCENTRANK(R$3:R$78,R3))*100</f>
        <v>93.7</v>
      </c>
      <c r="BB3" s="4">
        <f t="shared" ref="BB3:BB17" si="15">(PERCENTRANK(S$3:S$78,S3))*100</f>
        <v>31.2</v>
      </c>
      <c r="BC3" s="4">
        <f t="shared" ref="BC3:BC17" si="16">(PERCENTRANK(T$3:T$78,T3))*100</f>
        <v>25</v>
      </c>
      <c r="BD3" s="4">
        <f t="shared" ref="BD3:BD51" si="17">100-(PERCENTRANK(U$3:U$78,U3))*100</f>
        <v>2.1000000000000085</v>
      </c>
      <c r="BE3" s="4">
        <f t="shared" ref="BE3:BE51" si="18">100-(PERCENTRANK(V$3:V$78,V3))*100</f>
        <v>20.899999999999991</v>
      </c>
      <c r="BF3" s="4">
        <f t="shared" ref="BF3:BF28" si="19">(PERCENTRANK(W$3:W$78,W3))*100</f>
        <v>85.399999999999991</v>
      </c>
      <c r="BG3" s="4">
        <f t="shared" ref="BG3:BG28" si="20">(PERCENTRANK(X$3:X$78,X3))*100</f>
        <v>89.5</v>
      </c>
      <c r="BH3" s="4">
        <f t="shared" ref="BH3:BH28" si="21">(PERCENTRANK(Y$3:Y$78,Y3))*100</f>
        <v>56.2</v>
      </c>
      <c r="BI3" s="4">
        <f t="shared" ref="BI3:BI28" si="22">(PERCENTRANK(Z$3:Z$78,Z3))*100</f>
        <v>50</v>
      </c>
      <c r="BJ3" s="4">
        <f t="shared" ref="BJ3:BJ28" si="23">(PERCENTRANK(AA$3:AA$78,AA3))*100</f>
        <v>45.800000000000004</v>
      </c>
      <c r="BK3" s="4">
        <f t="shared" ref="BK3:BK28" si="24">(PERCENTRANK(AB$3:AB$78,AB3))*100</f>
        <v>45.800000000000004</v>
      </c>
      <c r="BL3" s="4">
        <f t="shared" ref="BL3:BL28" si="25">(PERCENTRANK(AC$3:AC$78,AC3))*100</f>
        <v>39.5</v>
      </c>
      <c r="BM3" s="4">
        <f t="shared" ref="BM3:BM28" si="26">(PERCENTRANK(AD$3:AD$78,AD3))*100</f>
        <v>52</v>
      </c>
      <c r="BN3" s="4">
        <f t="shared" ref="BN3:BN51" si="27">(PERCENTRANK(AI$3:AI$78,AI3))*100</f>
        <v>25</v>
      </c>
      <c r="BO3" s="4">
        <f>100-((PERCENTRANK(AJ$3:AJ$78,AJ3))*100)</f>
        <v>25</v>
      </c>
    </row>
    <row r="4" spans="1:67" x14ac:dyDescent="0.25">
      <c r="A4" s="2">
        <v>2</v>
      </c>
      <c r="B4" s="5" t="s">
        <v>69</v>
      </c>
      <c r="C4" s="2">
        <v>10</v>
      </c>
      <c r="D4" s="9">
        <v>22.5</v>
      </c>
      <c r="E4" s="9">
        <v>25.9</v>
      </c>
      <c r="F4" s="9">
        <v>9.1</v>
      </c>
      <c r="G4" s="9">
        <v>17.8</v>
      </c>
      <c r="H4" s="9">
        <v>51.1</v>
      </c>
      <c r="I4" s="9">
        <v>3.4</v>
      </c>
      <c r="J4" s="9">
        <v>7.3</v>
      </c>
      <c r="K4" s="9">
        <v>46.6</v>
      </c>
      <c r="L4" s="9">
        <v>2.1</v>
      </c>
      <c r="M4" s="9">
        <v>2.2000000000000002</v>
      </c>
      <c r="N4" s="9">
        <v>95.5</v>
      </c>
      <c r="O4" s="9">
        <v>0.7</v>
      </c>
      <c r="P4" s="9">
        <v>5</v>
      </c>
      <c r="Q4" s="9">
        <v>5.7</v>
      </c>
      <c r="R4" s="9">
        <v>6.8</v>
      </c>
      <c r="S4" s="9">
        <v>1.6</v>
      </c>
      <c r="T4" s="9">
        <v>0.5</v>
      </c>
      <c r="U4" s="9">
        <v>2.2999999999999998</v>
      </c>
      <c r="V4" s="9">
        <v>2.2999999999999998</v>
      </c>
      <c r="W4" s="9">
        <f t="shared" ref="W4:W51" si="28">F4-I4</f>
        <v>5.6999999999999993</v>
      </c>
      <c r="X4" s="9">
        <f t="shared" ref="X4:X51" si="29">G4-J4</f>
        <v>10.5</v>
      </c>
      <c r="Y4" s="9">
        <f t="shared" ref="Y4:Y51" si="30">IF(X4=0,"0",(W4/X4)*100)</f>
        <v>54.285714285714285</v>
      </c>
      <c r="Z4" s="6">
        <f t="shared" ref="Z4:Z51" si="31">IF(U4=0,"0",R4/U4)</f>
        <v>2.956521739130435</v>
      </c>
      <c r="AA4" s="9">
        <f t="shared" ref="AA4:AA51" si="32">100*(E4)/(2*(G4+0.44*M4))</f>
        <v>69.000426257459509</v>
      </c>
      <c r="AB4" s="6">
        <f t="shared" ref="AB4:AB51" si="33">2*AA4/100</f>
        <v>1.3800085251491903</v>
      </c>
      <c r="AC4" s="6">
        <f t="shared" ref="AC4:AC51" si="34">(E4)/(G4+0.44*M4+U4)</f>
        <v>1.2293525726219858</v>
      </c>
      <c r="AD4" s="9">
        <f t="shared" ref="AD4:AD51" si="35">100*(F4+0.5*I4)/(G4)</f>
        <v>60.674157303370784</v>
      </c>
      <c r="AE4" s="4">
        <f>100*(AA4/TOTAL_BASIC!$C$81)</f>
        <v>119.60303067536779</v>
      </c>
      <c r="AF4" s="4">
        <f>100*AC4/TOTAL_BASIC!$C$82</f>
        <v>119.43007120816037</v>
      </c>
      <c r="AG4" s="4">
        <f>100*N4/TOTAL_BASIC!$C$87</f>
        <v>123.51605995717344</v>
      </c>
      <c r="AH4" s="4">
        <f>100*AD4/TOTAL_BASIC!$C$86</f>
        <v>116.85675214639166</v>
      </c>
      <c r="AI4" s="3">
        <f t="shared" ref="AI4:AI51" si="36">T4/V4</f>
        <v>0.21739130434782611</v>
      </c>
      <c r="AJ4" s="9">
        <f t="shared" ref="AJ4:AJ51" si="37">100*(U4)/(G4+0.44*M4+U4)</f>
        <v>10.917030567685588</v>
      </c>
      <c r="AM4" s="4">
        <f t="shared" si="0"/>
        <v>100</v>
      </c>
      <c r="AN4" s="4">
        <f t="shared" si="1"/>
        <v>97.899999999999991</v>
      </c>
      <c r="AO4" s="4">
        <f t="shared" si="2"/>
        <v>93.7</v>
      </c>
      <c r="AP4" s="4">
        <f t="shared" si="3"/>
        <v>97.899999999999991</v>
      </c>
      <c r="AQ4" s="4">
        <f t="shared" si="4"/>
        <v>77</v>
      </c>
      <c r="AR4" s="4">
        <f t="shared" si="5"/>
        <v>97.899999999999991</v>
      </c>
      <c r="AS4" s="4">
        <f t="shared" si="6"/>
        <v>95.8</v>
      </c>
      <c r="AT4" s="4">
        <f t="shared" si="7"/>
        <v>97.899999999999991</v>
      </c>
      <c r="AU4" s="4">
        <f t="shared" si="8"/>
        <v>87.5</v>
      </c>
      <c r="AV4" s="4">
        <f t="shared" si="9"/>
        <v>79.100000000000009</v>
      </c>
      <c r="AW4" s="4">
        <f t="shared" si="10"/>
        <v>87.5</v>
      </c>
      <c r="AX4" s="4">
        <f t="shared" si="11"/>
        <v>29.099999999999998</v>
      </c>
      <c r="AY4" s="4">
        <f t="shared" si="12"/>
        <v>72.899999999999991</v>
      </c>
      <c r="AZ4" s="4">
        <f t="shared" si="13"/>
        <v>68.7</v>
      </c>
      <c r="BA4" s="4">
        <f t="shared" si="14"/>
        <v>100</v>
      </c>
      <c r="BB4" s="4">
        <f t="shared" si="15"/>
        <v>95.8</v>
      </c>
      <c r="BC4" s="4">
        <f t="shared" si="16"/>
        <v>60.4</v>
      </c>
      <c r="BD4" s="4">
        <f t="shared" si="17"/>
        <v>8.3999999999999915</v>
      </c>
      <c r="BE4" s="4">
        <f t="shared" si="18"/>
        <v>54.199999999999996</v>
      </c>
      <c r="BF4" s="4">
        <f t="shared" si="19"/>
        <v>83.3</v>
      </c>
      <c r="BG4" s="4">
        <f t="shared" si="20"/>
        <v>81.2</v>
      </c>
      <c r="BH4" s="4">
        <f t="shared" si="21"/>
        <v>52</v>
      </c>
      <c r="BI4" s="4">
        <f t="shared" si="22"/>
        <v>86.9</v>
      </c>
      <c r="BJ4" s="4">
        <f t="shared" si="23"/>
        <v>95.8</v>
      </c>
      <c r="BK4" s="4">
        <f t="shared" si="24"/>
        <v>95.8</v>
      </c>
      <c r="BL4" s="4">
        <f t="shared" si="25"/>
        <v>97.899999999999991</v>
      </c>
      <c r="BM4" s="4">
        <f t="shared" si="26"/>
        <v>95.8</v>
      </c>
      <c r="BN4" s="4">
        <f t="shared" si="27"/>
        <v>62.5</v>
      </c>
      <c r="BO4" s="4">
        <f t="shared" ref="BO4:BO51" si="38">100-((PERCENTRANK(AJ$3:AJ$78,AJ4))*100)</f>
        <v>50</v>
      </c>
    </row>
    <row r="5" spans="1:67" x14ac:dyDescent="0.25">
      <c r="A5" s="2">
        <v>3</v>
      </c>
      <c r="B5" s="5" t="s">
        <v>70</v>
      </c>
      <c r="C5" s="2">
        <v>10</v>
      </c>
      <c r="D5" s="9">
        <v>20.6</v>
      </c>
      <c r="E5" s="9">
        <v>25</v>
      </c>
      <c r="F5" s="9">
        <v>9.6</v>
      </c>
      <c r="G5" s="9">
        <v>17.3</v>
      </c>
      <c r="H5" s="9">
        <v>55.5</v>
      </c>
      <c r="I5" s="9">
        <v>1.5</v>
      </c>
      <c r="J5" s="9">
        <v>3.8</v>
      </c>
      <c r="K5" s="9">
        <v>39.5</v>
      </c>
      <c r="L5" s="9">
        <v>2.7</v>
      </c>
      <c r="M5" s="9">
        <v>3</v>
      </c>
      <c r="N5" s="9">
        <v>90</v>
      </c>
      <c r="O5" s="9">
        <v>0.5</v>
      </c>
      <c r="P5" s="9">
        <v>5.8</v>
      </c>
      <c r="Q5" s="9">
        <v>6.3</v>
      </c>
      <c r="R5" s="9">
        <v>6.7</v>
      </c>
      <c r="S5" s="9">
        <v>0.9</v>
      </c>
      <c r="T5" s="9">
        <v>0.6</v>
      </c>
      <c r="U5" s="9">
        <v>2.4</v>
      </c>
      <c r="V5" s="9">
        <v>2.9</v>
      </c>
      <c r="W5" s="9">
        <f t="shared" si="28"/>
        <v>8.1</v>
      </c>
      <c r="X5" s="9">
        <f t="shared" si="29"/>
        <v>13.5</v>
      </c>
      <c r="Y5" s="9">
        <f t="shared" si="30"/>
        <v>60</v>
      </c>
      <c r="Z5" s="6">
        <f t="shared" si="31"/>
        <v>2.791666666666667</v>
      </c>
      <c r="AA5" s="9">
        <f t="shared" si="32"/>
        <v>67.132116004296449</v>
      </c>
      <c r="AB5" s="6">
        <f t="shared" si="33"/>
        <v>1.342642320085929</v>
      </c>
      <c r="AC5" s="6">
        <f t="shared" si="34"/>
        <v>1.1893434823977165</v>
      </c>
      <c r="AD5" s="9">
        <f t="shared" si="35"/>
        <v>59.826589595375722</v>
      </c>
      <c r="AE5" s="4">
        <f>100*(AA5/TOTAL_BASIC!$C$81)</f>
        <v>116.36456418116974</v>
      </c>
      <c r="AF5" s="4">
        <f>100*AC5/TOTAL_BASIC!$C$82</f>
        <v>115.54323792625901</v>
      </c>
      <c r="AG5" s="4">
        <f>100*N5/TOTAL_BASIC!$C$87</f>
        <v>116.40256959314775</v>
      </c>
      <c r="AH5" s="4">
        <f>100*AD5/TOTAL_BASIC!$C$86</f>
        <v>115.22436013663956</v>
      </c>
      <c r="AI5" s="3">
        <f t="shared" si="36"/>
        <v>0.20689655172413793</v>
      </c>
      <c r="AJ5" s="9">
        <f t="shared" si="37"/>
        <v>11.417697431018079</v>
      </c>
      <c r="AM5" s="4">
        <f t="shared" si="0"/>
        <v>95.8</v>
      </c>
      <c r="AN5" s="4">
        <f t="shared" si="1"/>
        <v>95.8</v>
      </c>
      <c r="AO5" s="4">
        <f t="shared" si="2"/>
        <v>97.899999999999991</v>
      </c>
      <c r="AP5" s="4">
        <f t="shared" si="3"/>
        <v>95.8</v>
      </c>
      <c r="AQ5" s="4">
        <f t="shared" si="4"/>
        <v>89.5</v>
      </c>
      <c r="AR5" s="4">
        <f t="shared" si="5"/>
        <v>75</v>
      </c>
      <c r="AS5" s="4">
        <f t="shared" si="6"/>
        <v>66.600000000000009</v>
      </c>
      <c r="AT5" s="4">
        <f t="shared" si="7"/>
        <v>87.5</v>
      </c>
      <c r="AU5" s="4">
        <f t="shared" si="8"/>
        <v>100</v>
      </c>
      <c r="AV5" s="4">
        <f t="shared" si="9"/>
        <v>91.600000000000009</v>
      </c>
      <c r="AW5" s="4">
        <f t="shared" si="10"/>
        <v>81.2</v>
      </c>
      <c r="AX5" s="4">
        <f t="shared" si="11"/>
        <v>16.600000000000001</v>
      </c>
      <c r="AY5" s="4">
        <f t="shared" si="12"/>
        <v>81.2</v>
      </c>
      <c r="AZ5" s="4">
        <f t="shared" si="13"/>
        <v>72.899999999999991</v>
      </c>
      <c r="BA5" s="4">
        <f t="shared" si="14"/>
        <v>97.899999999999991</v>
      </c>
      <c r="BB5" s="4">
        <f t="shared" si="15"/>
        <v>64.5</v>
      </c>
      <c r="BC5" s="4">
        <f t="shared" si="16"/>
        <v>70.8</v>
      </c>
      <c r="BD5" s="4">
        <f t="shared" si="17"/>
        <v>6.2999999999999972</v>
      </c>
      <c r="BE5" s="4">
        <f t="shared" si="18"/>
        <v>29.200000000000003</v>
      </c>
      <c r="BF5" s="4">
        <f t="shared" si="19"/>
        <v>97.899999999999991</v>
      </c>
      <c r="BG5" s="4">
        <f t="shared" si="20"/>
        <v>97.899999999999991</v>
      </c>
      <c r="BH5" s="4">
        <f t="shared" si="21"/>
        <v>83.3</v>
      </c>
      <c r="BI5" s="4">
        <f t="shared" si="22"/>
        <v>82.6</v>
      </c>
      <c r="BJ5" s="4">
        <f t="shared" si="23"/>
        <v>93.7</v>
      </c>
      <c r="BK5" s="4">
        <f t="shared" si="24"/>
        <v>93.7</v>
      </c>
      <c r="BL5" s="4">
        <f t="shared" si="25"/>
        <v>91.600000000000009</v>
      </c>
      <c r="BM5" s="4">
        <f t="shared" si="26"/>
        <v>93.7</v>
      </c>
      <c r="BN5" s="4">
        <f t="shared" si="27"/>
        <v>58.3</v>
      </c>
      <c r="BO5" s="4">
        <f t="shared" si="38"/>
        <v>43.8</v>
      </c>
    </row>
    <row r="6" spans="1:67" x14ac:dyDescent="0.25">
      <c r="A6" s="2">
        <v>4</v>
      </c>
      <c r="B6" s="5" t="s">
        <v>72</v>
      </c>
      <c r="C6" s="2">
        <v>8</v>
      </c>
      <c r="D6" s="9">
        <v>19.399999999999999</v>
      </c>
      <c r="E6" s="9">
        <v>22.3</v>
      </c>
      <c r="F6" s="9">
        <v>9.3000000000000007</v>
      </c>
      <c r="G6" s="9">
        <v>16</v>
      </c>
      <c r="H6" s="9">
        <v>57.8</v>
      </c>
      <c r="I6" s="9">
        <v>0.1</v>
      </c>
      <c r="J6" s="9">
        <v>0.3</v>
      </c>
      <c r="K6" s="9">
        <v>50</v>
      </c>
      <c r="L6" s="9">
        <v>2.1</v>
      </c>
      <c r="M6" s="9">
        <v>3</v>
      </c>
      <c r="N6" s="9">
        <v>70.8</v>
      </c>
      <c r="O6" s="9">
        <v>4.4000000000000004</v>
      </c>
      <c r="P6" s="9">
        <v>9.3000000000000007</v>
      </c>
      <c r="Q6" s="9">
        <v>13.6</v>
      </c>
      <c r="R6" s="9">
        <v>1.9</v>
      </c>
      <c r="S6" s="9">
        <v>0.9</v>
      </c>
      <c r="T6" s="9">
        <v>0.5</v>
      </c>
      <c r="U6" s="9">
        <v>3.8</v>
      </c>
      <c r="V6" s="9">
        <v>3.6</v>
      </c>
      <c r="W6" s="9">
        <f t="shared" si="28"/>
        <v>9.2000000000000011</v>
      </c>
      <c r="X6" s="9">
        <f t="shared" si="29"/>
        <v>15.7</v>
      </c>
      <c r="Y6" s="9">
        <f t="shared" si="30"/>
        <v>58.598726114649693</v>
      </c>
      <c r="Z6" s="6">
        <f t="shared" si="31"/>
        <v>0.5</v>
      </c>
      <c r="AA6" s="9">
        <f t="shared" si="32"/>
        <v>64.376443418013849</v>
      </c>
      <c r="AB6" s="6">
        <f t="shared" si="33"/>
        <v>1.287528868360277</v>
      </c>
      <c r="AC6" s="6">
        <f t="shared" si="34"/>
        <v>1.0558712121212122</v>
      </c>
      <c r="AD6" s="9">
        <f t="shared" si="35"/>
        <v>58.437500000000007</v>
      </c>
      <c r="AE6" s="4">
        <f>100*(AA6/TOTAL_BASIC!$C$81)</f>
        <v>111.58797350274916</v>
      </c>
      <c r="AF6" s="4">
        <f>100*AC6/TOTAL_BASIC!$C$82</f>
        <v>102.57657311549661</v>
      </c>
      <c r="AG6" s="4">
        <f>100*N6/TOTAL_BASIC!$C$87</f>
        <v>91.570021413276223</v>
      </c>
      <c r="AH6" s="4">
        <f>100*AD6/TOTAL_BASIC!$C$86</f>
        <v>112.54901191969888</v>
      </c>
      <c r="AI6" s="3">
        <f t="shared" si="36"/>
        <v>0.1388888888888889</v>
      </c>
      <c r="AJ6" s="9">
        <f t="shared" si="37"/>
        <v>17.992424242424242</v>
      </c>
      <c r="AM6" s="4">
        <f t="shared" si="0"/>
        <v>89.5</v>
      </c>
      <c r="AN6" s="4">
        <f t="shared" si="1"/>
        <v>93.7</v>
      </c>
      <c r="AO6" s="4">
        <f t="shared" si="2"/>
        <v>95.8</v>
      </c>
      <c r="AP6" s="4">
        <f t="shared" si="3"/>
        <v>89.5</v>
      </c>
      <c r="AQ6" s="4">
        <f t="shared" si="4"/>
        <v>95.8</v>
      </c>
      <c r="AR6" s="4">
        <f t="shared" si="5"/>
        <v>10.4</v>
      </c>
      <c r="AS6" s="4">
        <f t="shared" si="6"/>
        <v>6.2</v>
      </c>
      <c r="AT6" s="4">
        <f t="shared" si="7"/>
        <v>100</v>
      </c>
      <c r="AU6" s="4">
        <f t="shared" si="8"/>
        <v>87.5</v>
      </c>
      <c r="AV6" s="4">
        <f t="shared" si="9"/>
        <v>91.600000000000009</v>
      </c>
      <c r="AW6" s="4">
        <f t="shared" si="10"/>
        <v>39.5</v>
      </c>
      <c r="AX6" s="4">
        <f t="shared" si="11"/>
        <v>100</v>
      </c>
      <c r="AY6" s="4">
        <f t="shared" si="12"/>
        <v>100</v>
      </c>
      <c r="AZ6" s="4">
        <f t="shared" si="13"/>
        <v>100</v>
      </c>
      <c r="BA6" s="4">
        <f t="shared" si="14"/>
        <v>54.1</v>
      </c>
      <c r="BB6" s="4">
        <f t="shared" si="15"/>
        <v>64.5</v>
      </c>
      <c r="BC6" s="4">
        <f t="shared" si="16"/>
        <v>60.4</v>
      </c>
      <c r="BD6" s="4">
        <f t="shared" si="17"/>
        <v>0</v>
      </c>
      <c r="BE6" s="4">
        <f t="shared" si="18"/>
        <v>4.2000000000000028</v>
      </c>
      <c r="BF6" s="4">
        <f t="shared" si="19"/>
        <v>100</v>
      </c>
      <c r="BG6" s="4">
        <f t="shared" si="20"/>
        <v>100</v>
      </c>
      <c r="BH6" s="4">
        <f t="shared" si="21"/>
        <v>70.8</v>
      </c>
      <c r="BI6" s="4">
        <f t="shared" si="22"/>
        <v>8.6</v>
      </c>
      <c r="BJ6" s="4">
        <f t="shared" si="23"/>
        <v>91.600000000000009</v>
      </c>
      <c r="BK6" s="4">
        <f t="shared" si="24"/>
        <v>91.600000000000009</v>
      </c>
      <c r="BL6" s="4">
        <f t="shared" si="25"/>
        <v>68.7</v>
      </c>
      <c r="BM6" s="4">
        <f t="shared" si="26"/>
        <v>89.5</v>
      </c>
      <c r="BN6" s="4">
        <f t="shared" si="27"/>
        <v>47.9</v>
      </c>
      <c r="BO6" s="4">
        <f t="shared" si="38"/>
        <v>4.2000000000000028</v>
      </c>
    </row>
    <row r="7" spans="1:67" x14ac:dyDescent="0.25">
      <c r="A7" s="2">
        <v>5</v>
      </c>
      <c r="B7" s="5" t="s">
        <v>73</v>
      </c>
      <c r="C7" s="2">
        <v>10</v>
      </c>
      <c r="D7" s="9">
        <v>18.600000000000001</v>
      </c>
      <c r="E7" s="9">
        <v>21.6</v>
      </c>
      <c r="F7" s="9">
        <v>8.1999999999999993</v>
      </c>
      <c r="G7" s="9">
        <v>16.7</v>
      </c>
      <c r="H7" s="9">
        <v>49.1</v>
      </c>
      <c r="I7" s="9">
        <v>2.7</v>
      </c>
      <c r="J7" s="9">
        <v>7.1</v>
      </c>
      <c r="K7" s="9">
        <v>38</v>
      </c>
      <c r="L7" s="9">
        <v>1.6</v>
      </c>
      <c r="M7" s="9">
        <v>1.6</v>
      </c>
      <c r="N7" s="9">
        <v>100</v>
      </c>
      <c r="O7" s="9">
        <v>0.9</v>
      </c>
      <c r="P7" s="9">
        <v>4.5999999999999996</v>
      </c>
      <c r="Q7" s="9">
        <v>5.5</v>
      </c>
      <c r="R7" s="9">
        <v>5.6</v>
      </c>
      <c r="S7" s="9">
        <v>0.3</v>
      </c>
      <c r="T7" s="9">
        <v>0.1</v>
      </c>
      <c r="U7" s="9">
        <v>1.5</v>
      </c>
      <c r="V7" s="9">
        <v>3.2</v>
      </c>
      <c r="W7" s="9">
        <f t="shared" si="28"/>
        <v>5.4999999999999991</v>
      </c>
      <c r="X7" s="9">
        <f t="shared" si="29"/>
        <v>9.6</v>
      </c>
      <c r="Y7" s="9">
        <f t="shared" si="30"/>
        <v>57.291666666666664</v>
      </c>
      <c r="Z7" s="6">
        <f t="shared" si="31"/>
        <v>3.7333333333333329</v>
      </c>
      <c r="AA7" s="9">
        <f t="shared" si="32"/>
        <v>62.054700068949664</v>
      </c>
      <c r="AB7" s="6">
        <f t="shared" si="33"/>
        <v>1.2410940013789933</v>
      </c>
      <c r="AC7" s="6">
        <f t="shared" si="34"/>
        <v>1.1426153195090987</v>
      </c>
      <c r="AD7" s="9">
        <f t="shared" si="35"/>
        <v>57.185628742514965</v>
      </c>
      <c r="AE7" s="4">
        <f>100*(AA7/TOTAL_BASIC!$C$81)</f>
        <v>107.56354124834067</v>
      </c>
      <c r="AF7" s="4">
        <f>100*AC7/TOTAL_BASIC!$C$82</f>
        <v>111.00365510396792</v>
      </c>
      <c r="AG7" s="4">
        <f>100*N7/TOTAL_BASIC!$C$87</f>
        <v>129.33618843683084</v>
      </c>
      <c r="AH7" s="4">
        <f>100*AD7/TOTAL_BASIC!$C$86</f>
        <v>110.13794243382743</v>
      </c>
      <c r="AI7" s="3">
        <f t="shared" si="36"/>
        <v>3.125E-2</v>
      </c>
      <c r="AJ7" s="9">
        <f t="shared" si="37"/>
        <v>7.934828607702074</v>
      </c>
      <c r="AM7" s="4">
        <f t="shared" si="0"/>
        <v>87.5</v>
      </c>
      <c r="AN7" s="4">
        <f t="shared" si="1"/>
        <v>91.600000000000009</v>
      </c>
      <c r="AO7" s="4">
        <f t="shared" si="2"/>
        <v>91.600000000000009</v>
      </c>
      <c r="AP7" s="4">
        <f t="shared" si="3"/>
        <v>93.7</v>
      </c>
      <c r="AQ7" s="4">
        <f t="shared" si="4"/>
        <v>68.7</v>
      </c>
      <c r="AR7" s="4">
        <f t="shared" si="5"/>
        <v>93.7</v>
      </c>
      <c r="AS7" s="4">
        <f t="shared" si="6"/>
        <v>93.7</v>
      </c>
      <c r="AT7" s="4">
        <f t="shared" si="7"/>
        <v>81.2</v>
      </c>
      <c r="AU7" s="4">
        <f t="shared" si="8"/>
        <v>72.899999999999991</v>
      </c>
      <c r="AV7" s="4">
        <f t="shared" si="9"/>
        <v>58.3</v>
      </c>
      <c r="AW7" s="4">
        <f t="shared" si="10"/>
        <v>89.5</v>
      </c>
      <c r="AX7" s="4">
        <f t="shared" si="11"/>
        <v>45.800000000000004</v>
      </c>
      <c r="AY7" s="4">
        <f t="shared" si="12"/>
        <v>70.8</v>
      </c>
      <c r="AZ7" s="4">
        <f t="shared" si="13"/>
        <v>66.600000000000009</v>
      </c>
      <c r="BA7" s="4">
        <f t="shared" si="14"/>
        <v>95.8</v>
      </c>
      <c r="BB7" s="4">
        <f t="shared" si="15"/>
        <v>20.8</v>
      </c>
      <c r="BC7" s="4">
        <f t="shared" si="16"/>
        <v>14.499999999999998</v>
      </c>
      <c r="BD7" s="4">
        <f t="shared" si="17"/>
        <v>31.299999999999997</v>
      </c>
      <c r="BE7" s="4">
        <f t="shared" si="18"/>
        <v>14.600000000000009</v>
      </c>
      <c r="BF7" s="4">
        <f t="shared" si="19"/>
        <v>75</v>
      </c>
      <c r="BG7" s="4">
        <f t="shared" si="20"/>
        <v>72.899999999999991</v>
      </c>
      <c r="BH7" s="4">
        <f t="shared" si="21"/>
        <v>64.5</v>
      </c>
      <c r="BI7" s="4">
        <f t="shared" si="22"/>
        <v>93.4</v>
      </c>
      <c r="BJ7" s="4">
        <f t="shared" si="23"/>
        <v>81.2</v>
      </c>
      <c r="BK7" s="4">
        <f t="shared" si="24"/>
        <v>81.2</v>
      </c>
      <c r="BL7" s="4">
        <f t="shared" si="25"/>
        <v>85.399999999999991</v>
      </c>
      <c r="BM7" s="4">
        <f t="shared" si="26"/>
        <v>83.3</v>
      </c>
      <c r="BN7" s="4">
        <f t="shared" si="27"/>
        <v>14.499999999999998</v>
      </c>
      <c r="BO7" s="4">
        <f t="shared" si="38"/>
        <v>75</v>
      </c>
    </row>
    <row r="8" spans="1:67" x14ac:dyDescent="0.25">
      <c r="A8" s="2">
        <v>6</v>
      </c>
      <c r="B8" s="5" t="s">
        <v>74</v>
      </c>
      <c r="C8" s="2">
        <v>7</v>
      </c>
      <c r="D8" s="9">
        <v>18</v>
      </c>
      <c r="E8" s="9">
        <v>20.3</v>
      </c>
      <c r="F8" s="9">
        <v>7.9</v>
      </c>
      <c r="G8" s="9">
        <v>16.3</v>
      </c>
      <c r="H8" s="9">
        <v>48.2</v>
      </c>
      <c r="I8" s="9">
        <v>2.2999999999999998</v>
      </c>
      <c r="J8" s="9">
        <v>5.7</v>
      </c>
      <c r="K8" s="9">
        <v>40</v>
      </c>
      <c r="L8" s="9">
        <v>1.3</v>
      </c>
      <c r="M8" s="9">
        <v>1.7</v>
      </c>
      <c r="N8" s="9">
        <v>75</v>
      </c>
      <c r="O8" s="9">
        <v>1</v>
      </c>
      <c r="P8" s="9">
        <v>3.6</v>
      </c>
      <c r="Q8" s="9">
        <v>4.5999999999999996</v>
      </c>
      <c r="R8" s="9">
        <v>0.6</v>
      </c>
      <c r="S8" s="9">
        <v>0.1</v>
      </c>
      <c r="T8" s="9">
        <v>0.3</v>
      </c>
      <c r="U8" s="9">
        <v>0.6</v>
      </c>
      <c r="V8" s="9">
        <v>3.6</v>
      </c>
      <c r="W8" s="9">
        <f t="shared" si="28"/>
        <v>5.6000000000000005</v>
      </c>
      <c r="X8" s="9">
        <f t="shared" si="29"/>
        <v>10.600000000000001</v>
      </c>
      <c r="Y8" s="9">
        <f t="shared" si="30"/>
        <v>52.830188679245282</v>
      </c>
      <c r="Z8" s="6">
        <f t="shared" si="31"/>
        <v>1</v>
      </c>
      <c r="AA8" s="9">
        <f t="shared" si="32"/>
        <v>59.537775692163301</v>
      </c>
      <c r="AB8" s="6">
        <f t="shared" si="33"/>
        <v>1.1907555138432659</v>
      </c>
      <c r="AC8" s="6">
        <f t="shared" si="34"/>
        <v>1.1502719854941068</v>
      </c>
      <c r="AD8" s="9">
        <f t="shared" si="35"/>
        <v>55.521472392638039</v>
      </c>
      <c r="AE8" s="4">
        <f>100*(AA8/TOTAL_BASIC!$C$81)</f>
        <v>103.20078872966596</v>
      </c>
      <c r="AF8" s="4">
        <f>100*AC8/TOTAL_BASIC!$C$82</f>
        <v>111.74749066763887</v>
      </c>
      <c r="AG8" s="4">
        <f>100*N8/TOTAL_BASIC!$C$87</f>
        <v>97.002141327623121</v>
      </c>
      <c r="AH8" s="4">
        <f>100*AD8/TOTAL_BASIC!$C$86</f>
        <v>106.9328232405262</v>
      </c>
      <c r="AI8" s="3">
        <f t="shared" si="36"/>
        <v>8.3333333333333329E-2</v>
      </c>
      <c r="AJ8" s="9">
        <f t="shared" si="37"/>
        <v>3.3998186763372615</v>
      </c>
      <c r="AM8" s="4">
        <f t="shared" si="0"/>
        <v>85.399999999999991</v>
      </c>
      <c r="AN8" s="4">
        <f t="shared" si="1"/>
        <v>89.5</v>
      </c>
      <c r="AO8" s="4">
        <f t="shared" si="2"/>
        <v>89.5</v>
      </c>
      <c r="AP8" s="4">
        <f t="shared" si="3"/>
        <v>91.600000000000009</v>
      </c>
      <c r="AQ8" s="4">
        <f t="shared" si="4"/>
        <v>62.5</v>
      </c>
      <c r="AR8" s="4">
        <f t="shared" si="5"/>
        <v>91.600000000000009</v>
      </c>
      <c r="AS8" s="4">
        <f t="shared" si="6"/>
        <v>89.5</v>
      </c>
      <c r="AT8" s="4">
        <f t="shared" si="7"/>
        <v>89.5</v>
      </c>
      <c r="AU8" s="4">
        <f t="shared" si="8"/>
        <v>62.5</v>
      </c>
      <c r="AV8" s="4">
        <f t="shared" si="9"/>
        <v>64.5</v>
      </c>
      <c r="AW8" s="4">
        <f t="shared" si="10"/>
        <v>47.9</v>
      </c>
      <c r="AX8" s="4">
        <f t="shared" si="11"/>
        <v>60.4</v>
      </c>
      <c r="AY8" s="4">
        <f t="shared" si="12"/>
        <v>52</v>
      </c>
      <c r="AZ8" s="4">
        <f t="shared" si="13"/>
        <v>52</v>
      </c>
      <c r="BA8" s="4">
        <f t="shared" si="14"/>
        <v>12.5</v>
      </c>
      <c r="BB8" s="4">
        <f t="shared" si="15"/>
        <v>6.2</v>
      </c>
      <c r="BC8" s="4">
        <f t="shared" si="16"/>
        <v>37.5</v>
      </c>
      <c r="BD8" s="4">
        <f t="shared" si="17"/>
        <v>89.6</v>
      </c>
      <c r="BE8" s="4">
        <f t="shared" si="18"/>
        <v>4.2000000000000028</v>
      </c>
      <c r="BF8" s="4">
        <f t="shared" si="19"/>
        <v>79.100000000000009</v>
      </c>
      <c r="BG8" s="4">
        <f t="shared" si="20"/>
        <v>83.3</v>
      </c>
      <c r="BH8" s="4">
        <f t="shared" si="21"/>
        <v>47.9</v>
      </c>
      <c r="BI8" s="4">
        <f t="shared" si="22"/>
        <v>39.1</v>
      </c>
      <c r="BJ8" s="4">
        <f t="shared" si="23"/>
        <v>75</v>
      </c>
      <c r="BK8" s="4">
        <f t="shared" si="24"/>
        <v>75</v>
      </c>
      <c r="BL8" s="4">
        <f t="shared" si="25"/>
        <v>87.5</v>
      </c>
      <c r="BM8" s="4">
        <f t="shared" si="26"/>
        <v>75</v>
      </c>
      <c r="BN8" s="4">
        <f t="shared" si="27"/>
        <v>29.099999999999998</v>
      </c>
      <c r="BO8" s="4">
        <f t="shared" si="38"/>
        <v>95.9</v>
      </c>
    </row>
    <row r="9" spans="1:67" x14ac:dyDescent="0.25">
      <c r="A9" s="2">
        <v>7</v>
      </c>
      <c r="B9" s="5" t="s">
        <v>75</v>
      </c>
      <c r="C9" s="2">
        <v>10</v>
      </c>
      <c r="D9" s="9">
        <v>16.8</v>
      </c>
      <c r="E9" s="9">
        <v>20.100000000000001</v>
      </c>
      <c r="F9" s="9">
        <v>7.6</v>
      </c>
      <c r="G9" s="9">
        <v>15.7</v>
      </c>
      <c r="H9" s="9">
        <v>48.4</v>
      </c>
      <c r="I9" s="9">
        <v>0.9</v>
      </c>
      <c r="J9" s="9">
        <v>3.7</v>
      </c>
      <c r="K9" s="9">
        <v>24.3</v>
      </c>
      <c r="L9" s="9">
        <v>2.2999999999999998</v>
      </c>
      <c r="M9" s="9">
        <v>2.7</v>
      </c>
      <c r="N9" s="9">
        <v>85.2</v>
      </c>
      <c r="O9" s="9">
        <v>1.5</v>
      </c>
      <c r="P9" s="9">
        <v>7.7</v>
      </c>
      <c r="Q9" s="9">
        <v>9.1999999999999993</v>
      </c>
      <c r="R9" s="9">
        <v>2.6</v>
      </c>
      <c r="S9" s="9">
        <v>1.1000000000000001</v>
      </c>
      <c r="T9" s="9">
        <v>0.6</v>
      </c>
      <c r="U9" s="9">
        <v>1.8</v>
      </c>
      <c r="V9" s="9">
        <v>1.9</v>
      </c>
      <c r="W9" s="9">
        <f t="shared" si="28"/>
        <v>6.6999999999999993</v>
      </c>
      <c r="X9" s="9">
        <f t="shared" si="29"/>
        <v>12</v>
      </c>
      <c r="Y9" s="9">
        <f t="shared" si="30"/>
        <v>55.833333333333321</v>
      </c>
      <c r="Z9" s="6">
        <f t="shared" si="31"/>
        <v>1.4444444444444444</v>
      </c>
      <c r="AA9" s="9">
        <f t="shared" si="32"/>
        <v>59.509711037423038</v>
      </c>
      <c r="AB9" s="6">
        <f t="shared" si="33"/>
        <v>1.1901942207484608</v>
      </c>
      <c r="AC9" s="6">
        <f t="shared" si="34"/>
        <v>1.0755565068493151</v>
      </c>
      <c r="AD9" s="9">
        <f t="shared" si="35"/>
        <v>51.273885350318466</v>
      </c>
      <c r="AE9" s="4">
        <f>100*(AA9/TOTAL_BASIC!$C$81)</f>
        <v>103.15214239595683</v>
      </c>
      <c r="AF9" s="4">
        <f>100*AC9/TOTAL_BASIC!$C$82</f>
        <v>104.48897497928145</v>
      </c>
      <c r="AG9" s="4">
        <f>100*N9/TOTAL_BASIC!$C$87</f>
        <v>110.19443254817986</v>
      </c>
      <c r="AH9" s="4">
        <f>100*AD9/TOTAL_BASIC!$C$86</f>
        <v>98.752087845343596</v>
      </c>
      <c r="AI9" s="3">
        <f t="shared" si="36"/>
        <v>0.31578947368421051</v>
      </c>
      <c r="AJ9" s="9">
        <f t="shared" si="37"/>
        <v>9.631849315068493</v>
      </c>
      <c r="AM9" s="4">
        <f t="shared" si="0"/>
        <v>77</v>
      </c>
      <c r="AN9" s="4">
        <f t="shared" si="1"/>
        <v>85.399999999999991</v>
      </c>
      <c r="AO9" s="4">
        <f t="shared" si="2"/>
        <v>83.3</v>
      </c>
      <c r="AP9" s="4">
        <f t="shared" si="3"/>
        <v>85.399999999999991</v>
      </c>
      <c r="AQ9" s="4">
        <f t="shared" si="4"/>
        <v>64.5</v>
      </c>
      <c r="AR9" s="4">
        <f t="shared" si="5"/>
        <v>50</v>
      </c>
      <c r="AS9" s="4">
        <f t="shared" si="6"/>
        <v>62.5</v>
      </c>
      <c r="AT9" s="4">
        <f t="shared" si="7"/>
        <v>35.4</v>
      </c>
      <c r="AU9" s="4">
        <f t="shared" si="8"/>
        <v>97.899999999999991</v>
      </c>
      <c r="AV9" s="4">
        <f t="shared" si="9"/>
        <v>89.5</v>
      </c>
      <c r="AW9" s="4">
        <f t="shared" si="10"/>
        <v>72.899999999999991</v>
      </c>
      <c r="AX9" s="4">
        <f t="shared" si="11"/>
        <v>81.2</v>
      </c>
      <c r="AY9" s="4">
        <f t="shared" si="12"/>
        <v>93.7</v>
      </c>
      <c r="AZ9" s="4">
        <f t="shared" si="13"/>
        <v>91.600000000000009</v>
      </c>
      <c r="BA9" s="4">
        <f t="shared" si="14"/>
        <v>62.5</v>
      </c>
      <c r="BB9" s="4">
        <f t="shared" si="15"/>
        <v>81.2</v>
      </c>
      <c r="BC9" s="4">
        <f t="shared" si="16"/>
        <v>70.8</v>
      </c>
      <c r="BD9" s="4">
        <f t="shared" si="17"/>
        <v>18.799999999999997</v>
      </c>
      <c r="BE9" s="4">
        <f t="shared" si="18"/>
        <v>77.099999999999994</v>
      </c>
      <c r="BF9" s="4">
        <f t="shared" si="19"/>
        <v>91.600000000000009</v>
      </c>
      <c r="BG9" s="4">
        <f t="shared" si="20"/>
        <v>93.7</v>
      </c>
      <c r="BH9" s="4">
        <f t="shared" si="21"/>
        <v>58.3</v>
      </c>
      <c r="BI9" s="4">
        <f t="shared" si="22"/>
        <v>52.1</v>
      </c>
      <c r="BJ9" s="4">
        <f t="shared" si="23"/>
        <v>72.899999999999991</v>
      </c>
      <c r="BK9" s="4">
        <f t="shared" si="24"/>
        <v>72.899999999999991</v>
      </c>
      <c r="BL9" s="4">
        <f t="shared" si="25"/>
        <v>70.8</v>
      </c>
      <c r="BM9" s="4">
        <f t="shared" si="26"/>
        <v>45.800000000000004</v>
      </c>
      <c r="BN9" s="4">
        <f t="shared" si="27"/>
        <v>77</v>
      </c>
      <c r="BO9" s="4">
        <f t="shared" si="38"/>
        <v>62.5</v>
      </c>
    </row>
    <row r="10" spans="1:67" x14ac:dyDescent="0.25">
      <c r="A10" s="2">
        <v>8</v>
      </c>
      <c r="B10" s="5" t="s">
        <v>71</v>
      </c>
      <c r="C10" s="2">
        <v>10</v>
      </c>
      <c r="D10" s="9">
        <v>15.8</v>
      </c>
      <c r="E10" s="9">
        <v>20.100000000000001</v>
      </c>
      <c r="F10" s="9">
        <v>6.8</v>
      </c>
      <c r="G10" s="9">
        <v>15.8</v>
      </c>
      <c r="H10" s="9">
        <v>43</v>
      </c>
      <c r="I10" s="9">
        <v>2.2000000000000002</v>
      </c>
      <c r="J10" s="9">
        <v>6.7</v>
      </c>
      <c r="K10" s="9">
        <v>32.799999999999997</v>
      </c>
      <c r="L10" s="9">
        <v>2.2000000000000002</v>
      </c>
      <c r="M10" s="9">
        <v>2.6</v>
      </c>
      <c r="N10" s="9">
        <v>84.6</v>
      </c>
      <c r="O10" s="9">
        <v>0.9</v>
      </c>
      <c r="P10" s="9">
        <v>3.4</v>
      </c>
      <c r="Q10" s="9">
        <v>4.3</v>
      </c>
      <c r="R10" s="9">
        <v>3</v>
      </c>
      <c r="S10" s="9">
        <v>0.9</v>
      </c>
      <c r="T10" s="9">
        <v>0.8</v>
      </c>
      <c r="U10" s="9">
        <v>1.6</v>
      </c>
      <c r="V10" s="9">
        <v>1.8</v>
      </c>
      <c r="W10" s="9">
        <f t="shared" si="28"/>
        <v>4.5999999999999996</v>
      </c>
      <c r="X10" s="9">
        <f t="shared" si="29"/>
        <v>9.1000000000000014</v>
      </c>
      <c r="Y10" s="9">
        <f t="shared" si="30"/>
        <v>50.549450549450533</v>
      </c>
      <c r="Z10" s="6">
        <f t="shared" si="31"/>
        <v>1.875</v>
      </c>
      <c r="AA10" s="9">
        <f t="shared" si="32"/>
        <v>59.313031161473084</v>
      </c>
      <c r="AB10" s="6">
        <f t="shared" si="33"/>
        <v>1.1862606232294617</v>
      </c>
      <c r="AC10" s="6">
        <f t="shared" si="34"/>
        <v>1.0839085418464192</v>
      </c>
      <c r="AD10" s="9">
        <f t="shared" si="35"/>
        <v>50</v>
      </c>
      <c r="AE10" s="4">
        <f>100*(AA10/TOTAL_BASIC!$C$81)</f>
        <v>102.81122407831198</v>
      </c>
      <c r="AF10" s="4">
        <f>100*AC10/TOTAL_BASIC!$C$82</f>
        <v>105.30036477635952</v>
      </c>
      <c r="AG10" s="4">
        <f>100*N10/TOTAL_BASIC!$C$87</f>
        <v>109.41841541755888</v>
      </c>
      <c r="AH10" s="4">
        <f>100*AD10/TOTAL_BASIC!$C$86</f>
        <v>96.298619824341273</v>
      </c>
      <c r="AI10" s="3">
        <f t="shared" si="36"/>
        <v>0.44444444444444448</v>
      </c>
      <c r="AJ10" s="9">
        <f t="shared" si="37"/>
        <v>8.6281276962899032</v>
      </c>
      <c r="AM10" s="4">
        <f t="shared" si="0"/>
        <v>66.600000000000009</v>
      </c>
      <c r="AN10" s="4">
        <f t="shared" si="1"/>
        <v>85.399999999999991</v>
      </c>
      <c r="AO10" s="4">
        <f t="shared" si="2"/>
        <v>77</v>
      </c>
      <c r="AP10" s="4">
        <f t="shared" si="3"/>
        <v>87.5</v>
      </c>
      <c r="AQ10" s="4">
        <f t="shared" si="4"/>
        <v>35.4</v>
      </c>
      <c r="AR10" s="4">
        <f t="shared" si="5"/>
        <v>87.5</v>
      </c>
      <c r="AS10" s="4">
        <f t="shared" si="6"/>
        <v>91.600000000000009</v>
      </c>
      <c r="AT10" s="4">
        <f t="shared" si="7"/>
        <v>60.4</v>
      </c>
      <c r="AU10" s="4">
        <f t="shared" si="8"/>
        <v>95.8</v>
      </c>
      <c r="AV10" s="4">
        <f t="shared" si="9"/>
        <v>85.399999999999991</v>
      </c>
      <c r="AW10" s="4">
        <f t="shared" si="10"/>
        <v>68.7</v>
      </c>
      <c r="AX10" s="4">
        <f t="shared" si="11"/>
        <v>45.800000000000004</v>
      </c>
      <c r="AY10" s="4">
        <f t="shared" si="12"/>
        <v>45.800000000000004</v>
      </c>
      <c r="AZ10" s="4">
        <f t="shared" si="13"/>
        <v>43.7</v>
      </c>
      <c r="BA10" s="4">
        <f t="shared" si="14"/>
        <v>70.8</v>
      </c>
      <c r="BB10" s="4">
        <f t="shared" si="15"/>
        <v>64.5</v>
      </c>
      <c r="BC10" s="4">
        <f t="shared" si="16"/>
        <v>79.100000000000009</v>
      </c>
      <c r="BD10" s="4">
        <f t="shared" si="17"/>
        <v>27.100000000000009</v>
      </c>
      <c r="BE10" s="4">
        <f t="shared" si="18"/>
        <v>81.3</v>
      </c>
      <c r="BF10" s="4">
        <f t="shared" si="19"/>
        <v>66.600000000000009</v>
      </c>
      <c r="BG10" s="4">
        <f t="shared" si="20"/>
        <v>64.5</v>
      </c>
      <c r="BH10" s="4">
        <f t="shared" si="21"/>
        <v>43.7</v>
      </c>
      <c r="BI10" s="4">
        <f t="shared" si="22"/>
        <v>56.499999999999993</v>
      </c>
      <c r="BJ10" s="4">
        <f t="shared" si="23"/>
        <v>70.8</v>
      </c>
      <c r="BK10" s="4">
        <f t="shared" si="24"/>
        <v>70.8</v>
      </c>
      <c r="BL10" s="4">
        <f t="shared" si="25"/>
        <v>72.899999999999991</v>
      </c>
      <c r="BM10" s="4">
        <f t="shared" si="26"/>
        <v>39.5</v>
      </c>
      <c r="BN10" s="4">
        <f t="shared" si="27"/>
        <v>89.5</v>
      </c>
      <c r="BO10" s="4">
        <f t="shared" si="38"/>
        <v>68.8</v>
      </c>
    </row>
    <row r="11" spans="1:67" x14ac:dyDescent="0.25">
      <c r="A11" s="2">
        <v>9</v>
      </c>
      <c r="B11" s="5" t="s">
        <v>78</v>
      </c>
      <c r="C11" s="2">
        <v>10</v>
      </c>
      <c r="D11" s="9">
        <v>15.8</v>
      </c>
      <c r="E11" s="9">
        <v>19.2</v>
      </c>
      <c r="F11" s="9">
        <v>7.8</v>
      </c>
      <c r="G11" s="9">
        <v>13.8</v>
      </c>
      <c r="H11" s="9">
        <v>56.5</v>
      </c>
      <c r="I11" s="9">
        <v>0.3</v>
      </c>
      <c r="J11" s="9">
        <v>1.4</v>
      </c>
      <c r="K11" s="9">
        <v>21.4</v>
      </c>
      <c r="L11" s="9">
        <v>1.8</v>
      </c>
      <c r="M11" s="9">
        <v>3</v>
      </c>
      <c r="N11" s="9">
        <v>60</v>
      </c>
      <c r="O11" s="9">
        <v>1.8</v>
      </c>
      <c r="P11" s="9">
        <v>6.5</v>
      </c>
      <c r="Q11" s="9">
        <v>8.3000000000000007</v>
      </c>
      <c r="R11" s="9">
        <v>0.8</v>
      </c>
      <c r="S11" s="9">
        <v>0.7</v>
      </c>
      <c r="T11" s="9">
        <v>0</v>
      </c>
      <c r="U11" s="9">
        <v>1</v>
      </c>
      <c r="V11" s="9">
        <v>3.3</v>
      </c>
      <c r="W11" s="9">
        <f t="shared" si="28"/>
        <v>7.5</v>
      </c>
      <c r="X11" s="9">
        <f t="shared" si="29"/>
        <v>12.4</v>
      </c>
      <c r="Y11" s="9">
        <f t="shared" si="30"/>
        <v>60.483870967741936</v>
      </c>
      <c r="Z11" s="6">
        <f t="shared" si="31"/>
        <v>0.8</v>
      </c>
      <c r="AA11" s="9">
        <f t="shared" si="32"/>
        <v>63.492063492063487</v>
      </c>
      <c r="AB11" s="6">
        <f t="shared" si="33"/>
        <v>1.2698412698412698</v>
      </c>
      <c r="AC11" s="6">
        <f t="shared" si="34"/>
        <v>1.1910669975186103</v>
      </c>
      <c r="AD11" s="9">
        <f t="shared" si="35"/>
        <v>57.608695652173907</v>
      </c>
      <c r="AE11" s="4">
        <f>100*(AA11/TOTAL_BASIC!$C$81)</f>
        <v>110.05501892334632</v>
      </c>
      <c r="AF11" s="4">
        <f>100*AC11/TOTAL_BASIC!$C$82</f>
        <v>115.71067527352683</v>
      </c>
      <c r="AG11" s="4">
        <f>100*N11/TOTAL_BASIC!$C$87</f>
        <v>77.601713062098497</v>
      </c>
      <c r="AH11" s="4">
        <f>100*AD11/TOTAL_BASIC!$C$86</f>
        <v>110.95275762369755</v>
      </c>
      <c r="AI11" s="3">
        <f t="shared" si="36"/>
        <v>0</v>
      </c>
      <c r="AJ11" s="9">
        <f t="shared" si="37"/>
        <v>6.2034739454094288</v>
      </c>
      <c r="AM11" s="4">
        <f t="shared" si="0"/>
        <v>66.600000000000009</v>
      </c>
      <c r="AN11" s="4">
        <f t="shared" si="1"/>
        <v>83.3</v>
      </c>
      <c r="AO11" s="4">
        <f t="shared" si="2"/>
        <v>85.399999999999991</v>
      </c>
      <c r="AP11" s="4">
        <f t="shared" si="3"/>
        <v>68.7</v>
      </c>
      <c r="AQ11" s="4">
        <f t="shared" si="4"/>
        <v>91.600000000000009</v>
      </c>
      <c r="AR11" s="4">
        <f t="shared" si="5"/>
        <v>22.900000000000002</v>
      </c>
      <c r="AS11" s="4">
        <f t="shared" si="6"/>
        <v>18.7</v>
      </c>
      <c r="AT11" s="4">
        <f t="shared" si="7"/>
        <v>27</v>
      </c>
      <c r="AU11" s="4">
        <f t="shared" si="8"/>
        <v>83.3</v>
      </c>
      <c r="AV11" s="4">
        <f t="shared" si="9"/>
        <v>91.600000000000009</v>
      </c>
      <c r="AW11" s="4">
        <f t="shared" si="10"/>
        <v>25</v>
      </c>
      <c r="AX11" s="4">
        <f t="shared" si="11"/>
        <v>87.5</v>
      </c>
      <c r="AY11" s="4">
        <f t="shared" si="12"/>
        <v>83.3</v>
      </c>
      <c r="AZ11" s="4">
        <f t="shared" si="13"/>
        <v>87.5</v>
      </c>
      <c r="BA11" s="4">
        <f t="shared" si="14"/>
        <v>22.900000000000002</v>
      </c>
      <c r="BB11" s="4">
        <f t="shared" si="15"/>
        <v>52</v>
      </c>
      <c r="BC11" s="4">
        <f t="shared" si="16"/>
        <v>0</v>
      </c>
      <c r="BD11" s="4">
        <f t="shared" si="17"/>
        <v>70.900000000000006</v>
      </c>
      <c r="BE11" s="4">
        <f t="shared" si="18"/>
        <v>10.5</v>
      </c>
      <c r="BF11" s="4">
        <f t="shared" si="19"/>
        <v>95.8</v>
      </c>
      <c r="BG11" s="4">
        <f t="shared" si="20"/>
        <v>95.8</v>
      </c>
      <c r="BH11" s="4">
        <f t="shared" si="21"/>
        <v>89.5</v>
      </c>
      <c r="BI11" s="4">
        <f t="shared" si="22"/>
        <v>30.4</v>
      </c>
      <c r="BJ11" s="4">
        <f t="shared" si="23"/>
        <v>87.5</v>
      </c>
      <c r="BK11" s="4">
        <f t="shared" si="24"/>
        <v>87.5</v>
      </c>
      <c r="BL11" s="4">
        <f t="shared" si="25"/>
        <v>93.7</v>
      </c>
      <c r="BM11" s="4">
        <f t="shared" si="26"/>
        <v>85.399999999999991</v>
      </c>
      <c r="BN11" s="4">
        <f t="shared" si="27"/>
        <v>0</v>
      </c>
      <c r="BO11" s="4">
        <f t="shared" si="38"/>
        <v>89.6</v>
      </c>
    </row>
    <row r="12" spans="1:67" x14ac:dyDescent="0.25">
      <c r="A12" s="2">
        <v>10</v>
      </c>
      <c r="B12" s="5" t="s">
        <v>77</v>
      </c>
      <c r="C12" s="2">
        <v>10</v>
      </c>
      <c r="D12" s="9">
        <v>15.4</v>
      </c>
      <c r="E12" s="9">
        <v>18.899999999999999</v>
      </c>
      <c r="F12" s="9">
        <v>6.9</v>
      </c>
      <c r="G12" s="9">
        <v>14.5</v>
      </c>
      <c r="H12" s="9">
        <v>47.6</v>
      </c>
      <c r="I12" s="9">
        <v>2.2000000000000002</v>
      </c>
      <c r="J12" s="9">
        <v>5.2</v>
      </c>
      <c r="K12" s="9">
        <v>42.3</v>
      </c>
      <c r="L12" s="9">
        <v>1.6</v>
      </c>
      <c r="M12" s="9">
        <v>2.1</v>
      </c>
      <c r="N12" s="9">
        <v>76.2</v>
      </c>
      <c r="O12" s="9">
        <v>0.4</v>
      </c>
      <c r="P12" s="9">
        <v>3.4</v>
      </c>
      <c r="Q12" s="9">
        <v>3.8</v>
      </c>
      <c r="R12" s="9">
        <v>1.7</v>
      </c>
      <c r="S12" s="9">
        <v>1.6</v>
      </c>
      <c r="T12" s="9">
        <v>0.3</v>
      </c>
      <c r="U12" s="9">
        <v>2</v>
      </c>
      <c r="V12" s="9">
        <v>3.2</v>
      </c>
      <c r="W12" s="9">
        <f t="shared" si="28"/>
        <v>4.7</v>
      </c>
      <c r="X12" s="9">
        <f t="shared" si="29"/>
        <v>9.3000000000000007</v>
      </c>
      <c r="Y12" s="9">
        <f t="shared" si="30"/>
        <v>50.537634408602152</v>
      </c>
      <c r="Z12" s="6">
        <f t="shared" si="31"/>
        <v>0.85</v>
      </c>
      <c r="AA12" s="9">
        <f t="shared" si="32"/>
        <v>61.268153526970949</v>
      </c>
      <c r="AB12" s="6">
        <f t="shared" si="33"/>
        <v>1.225363070539419</v>
      </c>
      <c r="AC12" s="6">
        <f t="shared" si="34"/>
        <v>1.0847107438016528</v>
      </c>
      <c r="AD12" s="9">
        <f t="shared" si="35"/>
        <v>55.172413793103445</v>
      </c>
      <c r="AE12" s="4">
        <f>100*(AA12/TOTAL_BASIC!$C$81)</f>
        <v>106.20016778399611</v>
      </c>
      <c r="AF12" s="4">
        <f>100*AC12/TOTAL_BASIC!$C$82</f>
        <v>105.37829769712654</v>
      </c>
      <c r="AG12" s="4">
        <f>100*N12/TOTAL_BASIC!$C$87</f>
        <v>98.554175588865093</v>
      </c>
      <c r="AH12" s="4">
        <f>100*AD12/TOTAL_BASIC!$C$86</f>
        <v>106.26054601306622</v>
      </c>
      <c r="AI12" s="3">
        <f t="shared" si="36"/>
        <v>9.3749999999999986E-2</v>
      </c>
      <c r="AJ12" s="9">
        <f t="shared" si="37"/>
        <v>11.478420569329661</v>
      </c>
      <c r="AM12" s="4">
        <f t="shared" si="0"/>
        <v>64.5</v>
      </c>
      <c r="AN12" s="4">
        <f t="shared" si="1"/>
        <v>81.2</v>
      </c>
      <c r="AO12" s="4">
        <f t="shared" si="2"/>
        <v>79.100000000000009</v>
      </c>
      <c r="AP12" s="4">
        <f t="shared" si="3"/>
        <v>77</v>
      </c>
      <c r="AQ12" s="4">
        <f t="shared" si="4"/>
        <v>60.4</v>
      </c>
      <c r="AR12" s="4">
        <f t="shared" si="5"/>
        <v>87.5</v>
      </c>
      <c r="AS12" s="4">
        <f t="shared" si="6"/>
        <v>87.5</v>
      </c>
      <c r="AT12" s="4">
        <f t="shared" si="7"/>
        <v>95.8</v>
      </c>
      <c r="AU12" s="4">
        <f t="shared" si="8"/>
        <v>72.899999999999991</v>
      </c>
      <c r="AV12" s="4">
        <f t="shared" si="9"/>
        <v>77</v>
      </c>
      <c r="AW12" s="4">
        <f t="shared" si="10"/>
        <v>50</v>
      </c>
      <c r="AX12" s="4">
        <f t="shared" si="11"/>
        <v>8.3000000000000007</v>
      </c>
      <c r="AY12" s="4">
        <f t="shared" si="12"/>
        <v>45.800000000000004</v>
      </c>
      <c r="AZ12" s="4">
        <f t="shared" si="13"/>
        <v>37.5</v>
      </c>
      <c r="BA12" s="4">
        <f t="shared" si="14"/>
        <v>52</v>
      </c>
      <c r="BB12" s="4">
        <f t="shared" si="15"/>
        <v>95.8</v>
      </c>
      <c r="BC12" s="4">
        <f t="shared" si="16"/>
        <v>37.5</v>
      </c>
      <c r="BD12" s="4">
        <f t="shared" si="17"/>
        <v>10.5</v>
      </c>
      <c r="BE12" s="4">
        <f t="shared" si="18"/>
        <v>14.600000000000009</v>
      </c>
      <c r="BF12" s="4">
        <f t="shared" si="19"/>
        <v>68.7</v>
      </c>
      <c r="BG12" s="4">
        <f t="shared" si="20"/>
        <v>68.7</v>
      </c>
      <c r="BH12" s="4">
        <f t="shared" si="21"/>
        <v>41.6</v>
      </c>
      <c r="BI12" s="4">
        <f t="shared" si="22"/>
        <v>32.6</v>
      </c>
      <c r="BJ12" s="4">
        <f t="shared" si="23"/>
        <v>79.100000000000009</v>
      </c>
      <c r="BK12" s="4">
        <f t="shared" si="24"/>
        <v>79.100000000000009</v>
      </c>
      <c r="BL12" s="4">
        <f t="shared" si="25"/>
        <v>75</v>
      </c>
      <c r="BM12" s="4">
        <f t="shared" si="26"/>
        <v>70.8</v>
      </c>
      <c r="BN12" s="4">
        <f t="shared" si="27"/>
        <v>31.2</v>
      </c>
      <c r="BO12" s="4">
        <f t="shared" si="38"/>
        <v>41.7</v>
      </c>
    </row>
    <row r="13" spans="1:67" x14ac:dyDescent="0.25">
      <c r="A13" s="2">
        <v>11</v>
      </c>
      <c r="B13" s="5" t="s">
        <v>76</v>
      </c>
      <c r="C13" s="2">
        <v>10</v>
      </c>
      <c r="D13" s="9">
        <v>17.7</v>
      </c>
      <c r="E13" s="9">
        <v>18.600000000000001</v>
      </c>
      <c r="F13" s="9">
        <v>7.8</v>
      </c>
      <c r="G13" s="9">
        <v>14.9</v>
      </c>
      <c r="H13" s="9">
        <v>52.3</v>
      </c>
      <c r="I13" s="9">
        <v>1</v>
      </c>
      <c r="J13" s="9">
        <v>3.2</v>
      </c>
      <c r="K13" s="9">
        <v>31.3</v>
      </c>
      <c r="L13" s="9">
        <v>1.1000000000000001</v>
      </c>
      <c r="M13" s="9">
        <v>1.5</v>
      </c>
      <c r="N13" s="9">
        <v>73.3</v>
      </c>
      <c r="O13" s="9">
        <v>1.9</v>
      </c>
      <c r="P13" s="9">
        <v>7.6</v>
      </c>
      <c r="Q13" s="9">
        <v>9.5</v>
      </c>
      <c r="R13" s="9">
        <v>2.6</v>
      </c>
      <c r="S13" s="9">
        <v>1.2</v>
      </c>
      <c r="T13" s="9">
        <v>1.8</v>
      </c>
      <c r="U13" s="9">
        <v>1.4</v>
      </c>
      <c r="V13" s="9">
        <v>3.1</v>
      </c>
      <c r="W13" s="9">
        <f t="shared" si="28"/>
        <v>6.8</v>
      </c>
      <c r="X13" s="9">
        <f t="shared" si="29"/>
        <v>11.7</v>
      </c>
      <c r="Y13" s="9">
        <f t="shared" si="30"/>
        <v>58.119658119658126</v>
      </c>
      <c r="Z13" s="6">
        <f t="shared" si="31"/>
        <v>1.8571428571428574</v>
      </c>
      <c r="AA13" s="9">
        <f t="shared" si="32"/>
        <v>59.768637532133681</v>
      </c>
      <c r="AB13" s="6">
        <f t="shared" si="33"/>
        <v>1.1953727506426737</v>
      </c>
      <c r="AC13" s="6">
        <f t="shared" si="34"/>
        <v>1.0966981132075473</v>
      </c>
      <c r="AD13" s="9">
        <f t="shared" si="35"/>
        <v>55.704697986577187</v>
      </c>
      <c r="AE13" s="4">
        <f>100*(AA13/TOTAL_BASIC!$C$81)</f>
        <v>103.60095692029022</v>
      </c>
      <c r="AF13" s="4">
        <f>100*AC13/TOTAL_BASIC!$C$82</f>
        <v>106.54285570402203</v>
      </c>
      <c r="AG13" s="4">
        <f>100*N13/TOTAL_BASIC!$C$87</f>
        <v>94.803426124197003</v>
      </c>
      <c r="AH13" s="4">
        <f>100*AD13/TOTAL_BASIC!$C$86</f>
        <v>107.2857106767829</v>
      </c>
      <c r="AI13" s="3">
        <f t="shared" si="36"/>
        <v>0.58064516129032262</v>
      </c>
      <c r="AJ13" s="9">
        <f t="shared" si="37"/>
        <v>8.2547169811320753</v>
      </c>
      <c r="AM13" s="4">
        <f t="shared" si="0"/>
        <v>81.2</v>
      </c>
      <c r="AN13" s="4">
        <f t="shared" si="1"/>
        <v>79.100000000000009</v>
      </c>
      <c r="AO13" s="4">
        <f t="shared" si="2"/>
        <v>85.399999999999991</v>
      </c>
      <c r="AP13" s="4">
        <f t="shared" si="3"/>
        <v>79.100000000000009</v>
      </c>
      <c r="AQ13" s="4">
        <f t="shared" si="4"/>
        <v>81.2</v>
      </c>
      <c r="AR13" s="4">
        <f t="shared" si="5"/>
        <v>58.3</v>
      </c>
      <c r="AS13" s="4">
        <f t="shared" si="6"/>
        <v>54.1</v>
      </c>
      <c r="AT13" s="4">
        <f t="shared" si="7"/>
        <v>56.2</v>
      </c>
      <c r="AU13" s="4">
        <f t="shared" si="8"/>
        <v>52</v>
      </c>
      <c r="AV13" s="4">
        <f t="shared" si="9"/>
        <v>54.1</v>
      </c>
      <c r="AW13" s="4">
        <f t="shared" si="10"/>
        <v>43.7</v>
      </c>
      <c r="AX13" s="4">
        <f t="shared" si="11"/>
        <v>93.7</v>
      </c>
      <c r="AY13" s="4">
        <f t="shared" si="12"/>
        <v>91.600000000000009</v>
      </c>
      <c r="AZ13" s="4">
        <f t="shared" si="13"/>
        <v>93.7</v>
      </c>
      <c r="BA13" s="4">
        <f t="shared" si="14"/>
        <v>62.5</v>
      </c>
      <c r="BB13" s="4">
        <f t="shared" si="15"/>
        <v>85.399999999999991</v>
      </c>
      <c r="BC13" s="4">
        <f t="shared" si="16"/>
        <v>100</v>
      </c>
      <c r="BD13" s="4">
        <f t="shared" si="17"/>
        <v>39.6</v>
      </c>
      <c r="BE13" s="4">
        <f t="shared" si="18"/>
        <v>20.899999999999991</v>
      </c>
      <c r="BF13" s="4">
        <f t="shared" si="19"/>
        <v>93.7</v>
      </c>
      <c r="BG13" s="4">
        <f t="shared" si="20"/>
        <v>91.600000000000009</v>
      </c>
      <c r="BH13" s="4">
        <f t="shared" si="21"/>
        <v>68.7</v>
      </c>
      <c r="BI13" s="4">
        <f t="shared" si="22"/>
        <v>54.300000000000004</v>
      </c>
      <c r="BJ13" s="4">
        <f t="shared" si="23"/>
        <v>77</v>
      </c>
      <c r="BK13" s="4">
        <f t="shared" si="24"/>
        <v>77</v>
      </c>
      <c r="BL13" s="4">
        <f t="shared" si="25"/>
        <v>79.100000000000009</v>
      </c>
      <c r="BM13" s="4">
        <f t="shared" si="26"/>
        <v>77</v>
      </c>
      <c r="BN13" s="4">
        <f t="shared" si="27"/>
        <v>97.899999999999991</v>
      </c>
      <c r="BO13" s="4">
        <f t="shared" si="38"/>
        <v>70.900000000000006</v>
      </c>
    </row>
    <row r="14" spans="1:67" x14ac:dyDescent="0.25">
      <c r="A14" s="2">
        <v>12</v>
      </c>
      <c r="B14" s="5" t="s">
        <v>80</v>
      </c>
      <c r="C14" s="2">
        <v>10</v>
      </c>
      <c r="D14" s="9">
        <v>17.899999999999999</v>
      </c>
      <c r="E14" s="9">
        <v>17.399999999999999</v>
      </c>
      <c r="F14" s="9">
        <v>7.4</v>
      </c>
      <c r="G14" s="9">
        <v>14.3</v>
      </c>
      <c r="H14" s="9">
        <v>51.7</v>
      </c>
      <c r="I14" s="9">
        <v>1.8</v>
      </c>
      <c r="J14" s="9">
        <v>4.8</v>
      </c>
      <c r="K14" s="9">
        <v>37.5</v>
      </c>
      <c r="L14" s="9">
        <v>0.5</v>
      </c>
      <c r="M14" s="9">
        <v>0.9</v>
      </c>
      <c r="N14" s="9">
        <v>55.6</v>
      </c>
      <c r="O14" s="9">
        <v>0.6</v>
      </c>
      <c r="P14" s="9">
        <v>2.4</v>
      </c>
      <c r="Q14" s="9">
        <v>3</v>
      </c>
      <c r="R14" s="9">
        <v>2.1</v>
      </c>
      <c r="S14" s="9">
        <v>1</v>
      </c>
      <c r="T14" s="9">
        <v>0.2</v>
      </c>
      <c r="U14" s="9">
        <v>1</v>
      </c>
      <c r="V14" s="9">
        <v>2.5</v>
      </c>
      <c r="W14" s="9">
        <f t="shared" si="28"/>
        <v>5.6000000000000005</v>
      </c>
      <c r="X14" s="9">
        <f t="shared" si="29"/>
        <v>9.5</v>
      </c>
      <c r="Y14" s="9">
        <f t="shared" si="30"/>
        <v>58.947368421052637</v>
      </c>
      <c r="Z14" s="6">
        <f t="shared" si="31"/>
        <v>2.1</v>
      </c>
      <c r="AA14" s="9">
        <f t="shared" si="32"/>
        <v>59.199782253674456</v>
      </c>
      <c r="AB14" s="6">
        <f t="shared" si="33"/>
        <v>1.1839956450734892</v>
      </c>
      <c r="AC14" s="6">
        <f t="shared" si="34"/>
        <v>1.1085626911314983</v>
      </c>
      <c r="AD14" s="9">
        <f t="shared" si="35"/>
        <v>58.041958041958047</v>
      </c>
      <c r="AE14" s="4">
        <f>100*(AA14/TOTAL_BASIC!$C$81)</f>
        <v>102.61492220993146</v>
      </c>
      <c r="AF14" s="4">
        <f>100*AC14/TOTAL_BASIC!$C$82</f>
        <v>107.69548467138985</v>
      </c>
      <c r="AG14" s="4">
        <f>100*N14/TOTAL_BASIC!$C$87</f>
        <v>71.910920770877937</v>
      </c>
      <c r="AH14" s="4">
        <f>100*AD14/TOTAL_BASIC!$C$86</f>
        <v>111.78720902685772</v>
      </c>
      <c r="AI14" s="3">
        <f t="shared" si="36"/>
        <v>0.08</v>
      </c>
      <c r="AJ14" s="9">
        <f t="shared" si="37"/>
        <v>6.3710499490316002</v>
      </c>
      <c r="AM14" s="4">
        <f t="shared" si="0"/>
        <v>83.3</v>
      </c>
      <c r="AN14" s="4">
        <f t="shared" si="1"/>
        <v>77</v>
      </c>
      <c r="AO14" s="4">
        <f t="shared" si="2"/>
        <v>81.2</v>
      </c>
      <c r="AP14" s="4">
        <f t="shared" si="3"/>
        <v>75</v>
      </c>
      <c r="AQ14" s="4">
        <f t="shared" si="4"/>
        <v>79.100000000000009</v>
      </c>
      <c r="AR14" s="4">
        <f t="shared" si="5"/>
        <v>85.399999999999991</v>
      </c>
      <c r="AS14" s="4">
        <f t="shared" si="6"/>
        <v>77</v>
      </c>
      <c r="AT14" s="4">
        <f t="shared" si="7"/>
        <v>79.100000000000009</v>
      </c>
      <c r="AU14" s="4">
        <f t="shared" si="8"/>
        <v>29.099999999999998</v>
      </c>
      <c r="AV14" s="4">
        <f t="shared" si="9"/>
        <v>33.300000000000004</v>
      </c>
      <c r="AW14" s="4">
        <f t="shared" si="10"/>
        <v>18.7</v>
      </c>
      <c r="AX14" s="4">
        <f t="shared" si="11"/>
        <v>22.900000000000002</v>
      </c>
      <c r="AY14" s="4">
        <f t="shared" si="12"/>
        <v>25</v>
      </c>
      <c r="AZ14" s="4">
        <f t="shared" si="13"/>
        <v>16.600000000000001</v>
      </c>
      <c r="BA14" s="4">
        <f t="shared" si="14"/>
        <v>58.3</v>
      </c>
      <c r="BB14" s="4">
        <f t="shared" si="15"/>
        <v>77</v>
      </c>
      <c r="BC14" s="4">
        <f t="shared" si="16"/>
        <v>25</v>
      </c>
      <c r="BD14" s="4">
        <f t="shared" si="17"/>
        <v>70.900000000000006</v>
      </c>
      <c r="BE14" s="4">
        <f t="shared" si="18"/>
        <v>41.7</v>
      </c>
      <c r="BF14" s="4">
        <f t="shared" si="19"/>
        <v>79.100000000000009</v>
      </c>
      <c r="BG14" s="4">
        <f t="shared" si="20"/>
        <v>70.8</v>
      </c>
      <c r="BH14" s="4">
        <f t="shared" si="21"/>
        <v>75</v>
      </c>
      <c r="BI14" s="4">
        <f t="shared" si="22"/>
        <v>60.8</v>
      </c>
      <c r="BJ14" s="4">
        <f t="shared" si="23"/>
        <v>66.600000000000009</v>
      </c>
      <c r="BK14" s="4">
        <f t="shared" si="24"/>
        <v>66.600000000000009</v>
      </c>
      <c r="BL14" s="4">
        <f t="shared" si="25"/>
        <v>81.2</v>
      </c>
      <c r="BM14" s="4">
        <f t="shared" si="26"/>
        <v>87.5</v>
      </c>
      <c r="BN14" s="4">
        <f t="shared" si="27"/>
        <v>27</v>
      </c>
      <c r="BO14" s="4">
        <f t="shared" si="38"/>
        <v>85.5</v>
      </c>
    </row>
    <row r="15" spans="1:67" x14ac:dyDescent="0.25">
      <c r="A15" s="2">
        <v>13</v>
      </c>
      <c r="B15" s="5" t="s">
        <v>79</v>
      </c>
      <c r="C15" s="2">
        <v>10</v>
      </c>
      <c r="D15" s="9">
        <v>20.399999999999999</v>
      </c>
      <c r="E15" s="9">
        <v>17</v>
      </c>
      <c r="F15" s="9">
        <v>5.8</v>
      </c>
      <c r="G15" s="9">
        <v>14.9</v>
      </c>
      <c r="H15" s="9">
        <v>38.9</v>
      </c>
      <c r="I15" s="9">
        <v>2.9</v>
      </c>
      <c r="J15" s="9">
        <v>8.1</v>
      </c>
      <c r="K15" s="9">
        <v>35.799999999999997</v>
      </c>
      <c r="L15" s="9">
        <v>1.5</v>
      </c>
      <c r="M15" s="9">
        <v>1.8</v>
      </c>
      <c r="N15" s="9">
        <v>83.3</v>
      </c>
      <c r="O15" s="9">
        <v>0.6</v>
      </c>
      <c r="P15" s="9">
        <v>4</v>
      </c>
      <c r="Q15" s="9">
        <v>4.5999999999999996</v>
      </c>
      <c r="R15" s="9">
        <v>3</v>
      </c>
      <c r="S15" s="9">
        <v>1.3</v>
      </c>
      <c r="T15" s="9">
        <v>0.7</v>
      </c>
      <c r="U15" s="9">
        <v>1.2</v>
      </c>
      <c r="V15" s="9">
        <v>2.2999999999999998</v>
      </c>
      <c r="W15" s="9">
        <f t="shared" si="28"/>
        <v>2.9</v>
      </c>
      <c r="X15" s="9">
        <f t="shared" si="29"/>
        <v>6.8000000000000007</v>
      </c>
      <c r="Y15" s="9">
        <f t="shared" si="30"/>
        <v>42.647058823529406</v>
      </c>
      <c r="Z15" s="6">
        <f t="shared" si="31"/>
        <v>2.5</v>
      </c>
      <c r="AA15" s="9">
        <f t="shared" si="32"/>
        <v>54.167728778995667</v>
      </c>
      <c r="AB15" s="6">
        <f t="shared" si="33"/>
        <v>1.0833545755799134</v>
      </c>
      <c r="AC15" s="6">
        <f t="shared" si="34"/>
        <v>1.0063935590812219</v>
      </c>
      <c r="AD15" s="9">
        <f t="shared" si="35"/>
        <v>48.65771812080537</v>
      </c>
      <c r="AE15" s="4">
        <f>100*(AA15/TOTAL_BASIC!$C$81)</f>
        <v>93.892529048961194</v>
      </c>
      <c r="AF15" s="4">
        <f>100*AC15/TOTAL_BASIC!$C$82</f>
        <v>97.769880749631525</v>
      </c>
      <c r="AG15" s="4">
        <f>100*N15/TOTAL_BASIC!$C$87</f>
        <v>107.73704496788008</v>
      </c>
      <c r="AH15" s="4">
        <f>100*AD15/TOTAL_BASIC!$C$86</f>
        <v>93.713421976707949</v>
      </c>
      <c r="AI15" s="3">
        <f t="shared" si="36"/>
        <v>0.30434782608695654</v>
      </c>
      <c r="AJ15" s="9">
        <f t="shared" si="37"/>
        <v>7.1039545346909785</v>
      </c>
      <c r="AM15" s="4">
        <f t="shared" si="0"/>
        <v>93.7</v>
      </c>
      <c r="AN15" s="4">
        <f t="shared" si="1"/>
        <v>75</v>
      </c>
      <c r="AO15" s="4">
        <f t="shared" si="2"/>
        <v>66.600000000000009</v>
      </c>
      <c r="AP15" s="4">
        <f t="shared" si="3"/>
        <v>79.100000000000009</v>
      </c>
      <c r="AQ15" s="4">
        <f t="shared" si="4"/>
        <v>18.7</v>
      </c>
      <c r="AR15" s="4">
        <f t="shared" si="5"/>
        <v>95.8</v>
      </c>
      <c r="AS15" s="4">
        <f t="shared" si="6"/>
        <v>97.899999999999991</v>
      </c>
      <c r="AT15" s="4">
        <f t="shared" si="7"/>
        <v>77</v>
      </c>
      <c r="AU15" s="4">
        <f t="shared" si="8"/>
        <v>70.8</v>
      </c>
      <c r="AV15" s="4">
        <f t="shared" si="9"/>
        <v>68.7</v>
      </c>
      <c r="AW15" s="4">
        <f t="shared" si="10"/>
        <v>60.4</v>
      </c>
      <c r="AX15" s="4">
        <f t="shared" si="11"/>
        <v>22.900000000000002</v>
      </c>
      <c r="AY15" s="4">
        <f t="shared" si="12"/>
        <v>58.3</v>
      </c>
      <c r="AZ15" s="4">
        <f t="shared" si="13"/>
        <v>52</v>
      </c>
      <c r="BA15" s="4">
        <f t="shared" si="14"/>
        <v>70.8</v>
      </c>
      <c r="BB15" s="4">
        <f t="shared" si="15"/>
        <v>89.5</v>
      </c>
      <c r="BC15" s="4">
        <f t="shared" si="16"/>
        <v>75</v>
      </c>
      <c r="BD15" s="4">
        <f t="shared" si="17"/>
        <v>54.199999999999996</v>
      </c>
      <c r="BE15" s="4">
        <f t="shared" si="18"/>
        <v>54.199999999999996</v>
      </c>
      <c r="BF15" s="4">
        <f t="shared" si="19"/>
        <v>39.5</v>
      </c>
      <c r="BG15" s="4">
        <f t="shared" si="20"/>
        <v>50</v>
      </c>
      <c r="BH15" s="4">
        <f t="shared" si="21"/>
        <v>16.600000000000001</v>
      </c>
      <c r="BI15" s="4">
        <f t="shared" si="22"/>
        <v>76</v>
      </c>
      <c r="BJ15" s="4">
        <f t="shared" si="23"/>
        <v>35.4</v>
      </c>
      <c r="BK15" s="4">
        <f t="shared" si="24"/>
        <v>35.4</v>
      </c>
      <c r="BL15" s="4">
        <f t="shared" si="25"/>
        <v>52</v>
      </c>
      <c r="BM15" s="4">
        <f t="shared" si="26"/>
        <v>33.300000000000004</v>
      </c>
      <c r="BN15" s="4">
        <f t="shared" si="27"/>
        <v>75</v>
      </c>
      <c r="BO15" s="4">
        <f t="shared" si="38"/>
        <v>81.3</v>
      </c>
    </row>
    <row r="16" spans="1:67" x14ac:dyDescent="0.25">
      <c r="A16" s="2">
        <v>14</v>
      </c>
      <c r="B16" s="5" t="s">
        <v>82</v>
      </c>
      <c r="C16" s="2">
        <v>10</v>
      </c>
      <c r="D16" s="9">
        <v>17.3</v>
      </c>
      <c r="E16" s="9">
        <v>16.600000000000001</v>
      </c>
      <c r="F16" s="9">
        <v>6.6</v>
      </c>
      <c r="G16" s="9">
        <v>13.9</v>
      </c>
      <c r="H16" s="9">
        <v>47.5</v>
      </c>
      <c r="I16" s="9">
        <v>1.1000000000000001</v>
      </c>
      <c r="J16" s="9">
        <v>4.7</v>
      </c>
      <c r="K16" s="9">
        <v>23.4</v>
      </c>
      <c r="L16" s="9">
        <v>1.2</v>
      </c>
      <c r="M16" s="9">
        <v>1.4</v>
      </c>
      <c r="N16" s="9">
        <v>85.7</v>
      </c>
      <c r="O16" s="9">
        <v>0.3</v>
      </c>
      <c r="P16" s="9">
        <v>4</v>
      </c>
      <c r="Q16" s="9">
        <v>4.3</v>
      </c>
      <c r="R16" s="9">
        <v>3</v>
      </c>
      <c r="S16" s="9">
        <v>0.8</v>
      </c>
      <c r="T16" s="9">
        <v>1.2</v>
      </c>
      <c r="U16" s="9">
        <v>1.3</v>
      </c>
      <c r="V16" s="9">
        <v>3</v>
      </c>
      <c r="W16" s="9">
        <f t="shared" si="28"/>
        <v>5.5</v>
      </c>
      <c r="X16" s="9">
        <f t="shared" si="29"/>
        <v>9.1999999999999993</v>
      </c>
      <c r="Y16" s="9">
        <f t="shared" si="30"/>
        <v>59.782608695652186</v>
      </c>
      <c r="Z16" s="6">
        <f t="shared" si="31"/>
        <v>2.3076923076923075</v>
      </c>
      <c r="AA16" s="9">
        <f t="shared" si="32"/>
        <v>57.178286029209154</v>
      </c>
      <c r="AB16" s="6">
        <f t="shared" si="33"/>
        <v>1.1435657205841832</v>
      </c>
      <c r="AC16" s="6">
        <f t="shared" si="34"/>
        <v>1.0495700556398584</v>
      </c>
      <c r="AD16" s="9">
        <f t="shared" si="35"/>
        <v>51.438848920863308</v>
      </c>
      <c r="AE16" s="4">
        <f>100*(AA16/TOTAL_BASIC!$C$81)</f>
        <v>99.110928277448679</v>
      </c>
      <c r="AF16" s="4">
        <f>100*AC16/TOTAL_BASIC!$C$82</f>
        <v>101.96442361174864</v>
      </c>
      <c r="AG16" s="4">
        <f>100*N16/TOTAL_BASIC!$C$87</f>
        <v>110.84111349036402</v>
      </c>
      <c r="AH16" s="4">
        <f>100*AD16/TOTAL_BASIC!$C$86</f>
        <v>99.069803128638867</v>
      </c>
      <c r="AI16" s="3">
        <f t="shared" si="36"/>
        <v>0.39999999999999997</v>
      </c>
      <c r="AJ16" s="9">
        <f t="shared" si="37"/>
        <v>8.2195245321193724</v>
      </c>
      <c r="AM16" s="4">
        <f t="shared" si="0"/>
        <v>79.100000000000009</v>
      </c>
      <c r="AN16" s="4">
        <f t="shared" si="1"/>
        <v>72.899999999999991</v>
      </c>
      <c r="AO16" s="4">
        <f t="shared" si="2"/>
        <v>75</v>
      </c>
      <c r="AP16" s="4">
        <f t="shared" si="3"/>
        <v>70.8</v>
      </c>
      <c r="AQ16" s="4">
        <f t="shared" si="4"/>
        <v>58.3</v>
      </c>
      <c r="AR16" s="4">
        <f t="shared" si="5"/>
        <v>66.600000000000009</v>
      </c>
      <c r="AS16" s="4">
        <f t="shared" si="6"/>
        <v>75</v>
      </c>
      <c r="AT16" s="4">
        <f t="shared" si="7"/>
        <v>31.2</v>
      </c>
      <c r="AU16" s="4">
        <f t="shared" si="8"/>
        <v>60.4</v>
      </c>
      <c r="AV16" s="4">
        <f t="shared" si="9"/>
        <v>50</v>
      </c>
      <c r="AW16" s="4">
        <f t="shared" si="10"/>
        <v>75</v>
      </c>
      <c r="AX16" s="4">
        <f t="shared" si="11"/>
        <v>4.1000000000000005</v>
      </c>
      <c r="AY16" s="4">
        <f t="shared" si="12"/>
        <v>58.3</v>
      </c>
      <c r="AZ16" s="4">
        <f t="shared" si="13"/>
        <v>43.7</v>
      </c>
      <c r="BA16" s="4">
        <f t="shared" si="14"/>
        <v>70.8</v>
      </c>
      <c r="BB16" s="4">
        <f t="shared" si="15"/>
        <v>56.2</v>
      </c>
      <c r="BC16" s="4">
        <f t="shared" si="16"/>
        <v>93.7</v>
      </c>
      <c r="BD16" s="4">
        <f t="shared" si="17"/>
        <v>45.9</v>
      </c>
      <c r="BE16" s="4">
        <f t="shared" si="18"/>
        <v>23</v>
      </c>
      <c r="BF16" s="4">
        <f t="shared" si="19"/>
        <v>77</v>
      </c>
      <c r="BG16" s="4">
        <f t="shared" si="20"/>
        <v>66.600000000000009</v>
      </c>
      <c r="BH16" s="4">
        <f t="shared" si="21"/>
        <v>81.2</v>
      </c>
      <c r="BI16" s="4">
        <f t="shared" si="22"/>
        <v>71.7</v>
      </c>
      <c r="BJ16" s="4">
        <f t="shared" si="23"/>
        <v>50</v>
      </c>
      <c r="BK16" s="4">
        <f t="shared" si="24"/>
        <v>50</v>
      </c>
      <c r="BL16" s="4">
        <f t="shared" si="25"/>
        <v>64.5</v>
      </c>
      <c r="BM16" s="4">
        <f t="shared" si="26"/>
        <v>50</v>
      </c>
      <c r="BN16" s="4">
        <f t="shared" si="27"/>
        <v>87.5</v>
      </c>
      <c r="BO16" s="4">
        <f t="shared" si="38"/>
        <v>73</v>
      </c>
    </row>
    <row r="17" spans="1:67" x14ac:dyDescent="0.25">
      <c r="A17" s="2">
        <v>15</v>
      </c>
      <c r="B17" s="5" t="s">
        <v>81</v>
      </c>
      <c r="C17" s="2">
        <v>10</v>
      </c>
      <c r="D17" s="9">
        <v>15.1</v>
      </c>
      <c r="E17" s="9">
        <v>16.399999999999999</v>
      </c>
      <c r="F17" s="9">
        <v>6</v>
      </c>
      <c r="G17" s="9">
        <v>13.1</v>
      </c>
      <c r="H17" s="9">
        <v>45.8</v>
      </c>
      <c r="I17" s="9">
        <v>1.7</v>
      </c>
      <c r="J17" s="9">
        <v>5</v>
      </c>
      <c r="K17" s="9">
        <v>34</v>
      </c>
      <c r="L17" s="9">
        <v>1.6</v>
      </c>
      <c r="M17" s="9">
        <v>1.7</v>
      </c>
      <c r="N17" s="9">
        <v>94.1</v>
      </c>
      <c r="O17" s="9">
        <v>0.9</v>
      </c>
      <c r="P17" s="9">
        <v>2.9</v>
      </c>
      <c r="Q17" s="9">
        <v>3.8</v>
      </c>
      <c r="R17" s="9">
        <v>3.9</v>
      </c>
      <c r="S17" s="9">
        <v>0.8</v>
      </c>
      <c r="T17" s="9">
        <v>0.2</v>
      </c>
      <c r="U17" s="9">
        <v>1.7</v>
      </c>
      <c r="V17" s="9">
        <v>2.1</v>
      </c>
      <c r="W17" s="9">
        <f t="shared" si="28"/>
        <v>4.3</v>
      </c>
      <c r="X17" s="9">
        <f t="shared" si="29"/>
        <v>8.1</v>
      </c>
      <c r="Y17" s="9">
        <f t="shared" si="30"/>
        <v>53.086419753086425</v>
      </c>
      <c r="Z17" s="6">
        <f t="shared" si="31"/>
        <v>2.2941176470588234</v>
      </c>
      <c r="AA17" s="9">
        <f t="shared" si="32"/>
        <v>59.214326978625067</v>
      </c>
      <c r="AB17" s="6">
        <f t="shared" si="33"/>
        <v>1.1842865395725013</v>
      </c>
      <c r="AC17" s="6">
        <f t="shared" si="34"/>
        <v>1.0547980447645999</v>
      </c>
      <c r="AD17" s="9">
        <f t="shared" si="35"/>
        <v>52.290076335877863</v>
      </c>
      <c r="AE17" s="4">
        <f>100*(AA17/TOTAL_BASIC!$C$81)</f>
        <v>102.64013354961132</v>
      </c>
      <c r="AF17" s="4">
        <f>100*AC17/TOTAL_BASIC!$C$82</f>
        <v>102.47231624348704</v>
      </c>
      <c r="AG17" s="4">
        <f>100*N17/TOTAL_BASIC!$C$87</f>
        <v>121.70535331905781</v>
      </c>
      <c r="AH17" s="4">
        <f>100*AD17/TOTAL_BASIC!$C$86</f>
        <v>100.70924363308974</v>
      </c>
      <c r="AI17" s="3">
        <f t="shared" si="36"/>
        <v>9.5238095238095233E-2</v>
      </c>
      <c r="AJ17" s="9">
        <f t="shared" si="37"/>
        <v>10.933882171340366</v>
      </c>
      <c r="AM17" s="4">
        <f t="shared" si="0"/>
        <v>62.5</v>
      </c>
      <c r="AN17" s="4">
        <f t="shared" si="1"/>
        <v>70.8</v>
      </c>
      <c r="AO17" s="4">
        <f t="shared" si="2"/>
        <v>68.7</v>
      </c>
      <c r="AP17" s="4">
        <f t="shared" si="3"/>
        <v>66.600000000000009</v>
      </c>
      <c r="AQ17" s="4">
        <f t="shared" si="4"/>
        <v>50</v>
      </c>
      <c r="AR17" s="4">
        <f t="shared" si="5"/>
        <v>79.100000000000009</v>
      </c>
      <c r="AS17" s="4">
        <f t="shared" si="6"/>
        <v>83.3</v>
      </c>
      <c r="AT17" s="4">
        <f t="shared" si="7"/>
        <v>66.600000000000009</v>
      </c>
      <c r="AU17" s="4">
        <f t="shared" si="8"/>
        <v>72.899999999999991</v>
      </c>
      <c r="AV17" s="4">
        <f t="shared" si="9"/>
        <v>64.5</v>
      </c>
      <c r="AW17" s="4">
        <f t="shared" si="10"/>
        <v>85.399999999999991</v>
      </c>
      <c r="AX17" s="4">
        <f t="shared" si="11"/>
        <v>45.800000000000004</v>
      </c>
      <c r="AY17" s="4">
        <f t="shared" si="12"/>
        <v>35.4</v>
      </c>
      <c r="AZ17" s="4">
        <f t="shared" si="13"/>
        <v>37.5</v>
      </c>
      <c r="BA17" s="4">
        <f t="shared" si="14"/>
        <v>87.5</v>
      </c>
      <c r="BB17" s="4">
        <f t="shared" si="15"/>
        <v>56.2</v>
      </c>
      <c r="BC17" s="4">
        <f t="shared" si="16"/>
        <v>25</v>
      </c>
      <c r="BD17" s="4">
        <f t="shared" si="17"/>
        <v>25</v>
      </c>
      <c r="BE17" s="4">
        <f t="shared" si="18"/>
        <v>64.599999999999994</v>
      </c>
      <c r="BF17" s="4">
        <f t="shared" si="19"/>
        <v>58.3</v>
      </c>
      <c r="BG17" s="4">
        <f t="shared" si="20"/>
        <v>60.4</v>
      </c>
      <c r="BH17" s="4">
        <f t="shared" si="21"/>
        <v>50</v>
      </c>
      <c r="BI17" s="4">
        <f t="shared" si="22"/>
        <v>69.5</v>
      </c>
      <c r="BJ17" s="4">
        <f t="shared" si="23"/>
        <v>68.7</v>
      </c>
      <c r="BK17" s="4">
        <f t="shared" si="24"/>
        <v>68.7</v>
      </c>
      <c r="BL17" s="4">
        <f t="shared" si="25"/>
        <v>66.600000000000009</v>
      </c>
      <c r="BM17" s="4">
        <f t="shared" si="26"/>
        <v>58.3</v>
      </c>
      <c r="BN17" s="4">
        <f t="shared" si="27"/>
        <v>33.300000000000004</v>
      </c>
      <c r="BO17" s="4">
        <f t="shared" si="38"/>
        <v>48</v>
      </c>
    </row>
    <row r="18" spans="1:67" x14ac:dyDescent="0.25">
      <c r="A18" s="2">
        <v>16</v>
      </c>
      <c r="B18" s="5" t="s">
        <v>85</v>
      </c>
      <c r="C18" s="2">
        <v>10</v>
      </c>
      <c r="D18" s="9">
        <v>15.9</v>
      </c>
      <c r="E18" s="9">
        <v>16.2</v>
      </c>
      <c r="F18" s="9">
        <v>6.4</v>
      </c>
      <c r="G18" s="9">
        <v>11.3</v>
      </c>
      <c r="H18" s="9">
        <v>56.6</v>
      </c>
      <c r="I18" s="9">
        <v>0</v>
      </c>
      <c r="J18" s="9">
        <v>0.5</v>
      </c>
      <c r="K18" s="9">
        <v>0</v>
      </c>
      <c r="L18" s="9">
        <v>2</v>
      </c>
      <c r="M18" s="9">
        <v>3.1</v>
      </c>
      <c r="N18" s="9">
        <v>64.5</v>
      </c>
      <c r="O18" s="9">
        <v>1.4</v>
      </c>
      <c r="P18" s="9">
        <v>7.1</v>
      </c>
      <c r="Q18" s="9">
        <v>8.5</v>
      </c>
      <c r="R18" s="9">
        <v>1.2</v>
      </c>
      <c r="S18" s="9">
        <v>0.3</v>
      </c>
      <c r="T18" s="9">
        <v>1</v>
      </c>
      <c r="U18" s="9">
        <v>1.8</v>
      </c>
      <c r="V18" s="9">
        <v>2.6</v>
      </c>
      <c r="W18" s="9">
        <f t="shared" si="28"/>
        <v>6.4</v>
      </c>
      <c r="X18" s="9">
        <f t="shared" si="29"/>
        <v>10.8</v>
      </c>
      <c r="Y18" s="9">
        <f t="shared" si="30"/>
        <v>59.259259259259252</v>
      </c>
      <c r="Z18" s="6">
        <f t="shared" si="31"/>
        <v>0.66666666666666663</v>
      </c>
      <c r="AA18" s="9">
        <f t="shared" si="32"/>
        <v>63.960833859759944</v>
      </c>
      <c r="AB18" s="6">
        <f t="shared" si="33"/>
        <v>1.2792166771951989</v>
      </c>
      <c r="AC18" s="6">
        <f t="shared" si="34"/>
        <v>1.1200221238938051</v>
      </c>
      <c r="AD18" s="9">
        <f t="shared" si="35"/>
        <v>56.637168141592916</v>
      </c>
      <c r="AE18" s="4">
        <f>100*(AA18/TOTAL_BASIC!$C$81)</f>
        <v>110.86756979742505</v>
      </c>
      <c r="AF18" s="4">
        <f>100*AC18/TOTAL_BASIC!$C$82</f>
        <v>108.80875429093311</v>
      </c>
      <c r="AG18" s="4">
        <f>100*N18/TOTAL_BASIC!$C$87</f>
        <v>83.421841541755882</v>
      </c>
      <c r="AH18" s="4">
        <f>100*AD18/TOTAL_BASIC!$C$86</f>
        <v>109.08162245589099</v>
      </c>
      <c r="AI18" s="3">
        <f t="shared" si="36"/>
        <v>0.38461538461538458</v>
      </c>
      <c r="AJ18" s="9">
        <f t="shared" si="37"/>
        <v>12.444690265486724</v>
      </c>
      <c r="AM18" s="4">
        <f t="shared" ref="AM18:BA18" si="39">(PERCENTRANK(D$3:D$78,D18))*100</f>
        <v>70.8</v>
      </c>
      <c r="AN18" s="4">
        <f t="shared" si="39"/>
        <v>68.7</v>
      </c>
      <c r="AO18" s="4">
        <f t="shared" si="39"/>
        <v>70.8</v>
      </c>
      <c r="AP18" s="4">
        <f t="shared" si="39"/>
        <v>58.3</v>
      </c>
      <c r="AQ18" s="4">
        <f t="shared" si="39"/>
        <v>93.7</v>
      </c>
      <c r="AR18" s="4">
        <f t="shared" si="39"/>
        <v>0</v>
      </c>
      <c r="AS18" s="4">
        <f t="shared" si="39"/>
        <v>8.3000000000000007</v>
      </c>
      <c r="AT18" s="4">
        <f t="shared" si="39"/>
        <v>0</v>
      </c>
      <c r="AU18" s="4">
        <f t="shared" si="39"/>
        <v>85.399999999999991</v>
      </c>
      <c r="AV18" s="4">
        <f t="shared" si="39"/>
        <v>100</v>
      </c>
      <c r="AW18" s="4">
        <f t="shared" si="39"/>
        <v>31.2</v>
      </c>
      <c r="AX18" s="4">
        <f t="shared" si="39"/>
        <v>77</v>
      </c>
      <c r="AY18" s="4">
        <f t="shared" si="39"/>
        <v>89.5</v>
      </c>
      <c r="AZ18" s="4">
        <f t="shared" si="39"/>
        <v>89.5</v>
      </c>
      <c r="BA18" s="4">
        <f t="shared" si="39"/>
        <v>37.5</v>
      </c>
      <c r="BB18" s="4">
        <f t="shared" ref="BB18:BB51" si="40">(PERCENTRANK(S$3:S$78,S18))*100</f>
        <v>20.8</v>
      </c>
      <c r="BC18" s="4">
        <f t="shared" ref="BC18:BC51" si="41">(PERCENTRANK(T$3:T$78,T18))*100</f>
        <v>87.5</v>
      </c>
      <c r="BD18" s="4">
        <f t="shared" si="17"/>
        <v>18.799999999999997</v>
      </c>
      <c r="BE18" s="4">
        <f t="shared" si="18"/>
        <v>33.399999999999991</v>
      </c>
      <c r="BF18" s="4">
        <f t="shared" si="19"/>
        <v>89.5</v>
      </c>
      <c r="BG18" s="4">
        <f t="shared" si="20"/>
        <v>85.399999999999991</v>
      </c>
      <c r="BH18" s="4">
        <f t="shared" si="21"/>
        <v>79.100000000000009</v>
      </c>
      <c r="BI18" s="4">
        <f t="shared" si="22"/>
        <v>23.9</v>
      </c>
      <c r="BJ18" s="4">
        <f t="shared" si="23"/>
        <v>89.5</v>
      </c>
      <c r="BK18" s="4">
        <f t="shared" si="24"/>
        <v>89.5</v>
      </c>
      <c r="BL18" s="4">
        <f t="shared" si="25"/>
        <v>83.3</v>
      </c>
      <c r="BM18" s="4">
        <f t="shared" si="26"/>
        <v>81.2</v>
      </c>
      <c r="BN18" s="4">
        <f t="shared" si="27"/>
        <v>85.399999999999991</v>
      </c>
      <c r="BO18" s="4">
        <f t="shared" si="38"/>
        <v>31.299999999999997</v>
      </c>
    </row>
    <row r="19" spans="1:67" x14ac:dyDescent="0.25">
      <c r="A19" s="2">
        <v>17</v>
      </c>
      <c r="B19" s="5" t="s">
        <v>84</v>
      </c>
      <c r="C19" s="2">
        <v>9</v>
      </c>
      <c r="D19" s="9">
        <v>19.399999999999999</v>
      </c>
      <c r="E19" s="9">
        <v>15.6</v>
      </c>
      <c r="F19" s="9">
        <v>5.7</v>
      </c>
      <c r="G19" s="9">
        <v>14</v>
      </c>
      <c r="H19" s="9">
        <v>40.5</v>
      </c>
      <c r="I19" s="9">
        <v>1.2</v>
      </c>
      <c r="J19" s="9">
        <v>3.7</v>
      </c>
      <c r="K19" s="9">
        <v>33.299999999999997</v>
      </c>
      <c r="L19" s="9">
        <v>1.6</v>
      </c>
      <c r="M19" s="9">
        <v>1.9</v>
      </c>
      <c r="N19" s="9">
        <v>82.4</v>
      </c>
      <c r="O19" s="9">
        <v>0.9</v>
      </c>
      <c r="P19" s="9">
        <v>5.7</v>
      </c>
      <c r="Q19" s="9">
        <v>6.6</v>
      </c>
      <c r="R19" s="9">
        <v>3.2</v>
      </c>
      <c r="S19" s="9">
        <v>0.6</v>
      </c>
      <c r="T19" s="9">
        <v>0.3</v>
      </c>
      <c r="U19" s="9">
        <v>1.7</v>
      </c>
      <c r="V19" s="9">
        <v>2.2000000000000002</v>
      </c>
      <c r="W19" s="9">
        <f t="shared" si="28"/>
        <v>4.5</v>
      </c>
      <c r="X19" s="9">
        <f t="shared" si="29"/>
        <v>10.3</v>
      </c>
      <c r="Y19" s="9">
        <f t="shared" si="30"/>
        <v>43.689320388349515</v>
      </c>
      <c r="Z19" s="6">
        <f t="shared" si="31"/>
        <v>1.8823529411764708</v>
      </c>
      <c r="AA19" s="9">
        <f t="shared" si="32"/>
        <v>52.574818010245345</v>
      </c>
      <c r="AB19" s="6">
        <f t="shared" si="33"/>
        <v>1.051496360204907</v>
      </c>
      <c r="AC19" s="6">
        <f t="shared" si="34"/>
        <v>0.94339622641509424</v>
      </c>
      <c r="AD19" s="9">
        <f t="shared" si="35"/>
        <v>45</v>
      </c>
      <c r="AE19" s="4">
        <f>100*(AA19/TOTAL_BASIC!$C$81)</f>
        <v>91.131430808392395</v>
      </c>
      <c r="AF19" s="4">
        <f>100*AC19/TOTAL_BASIC!$C$82</f>
        <v>91.649768347545816</v>
      </c>
      <c r="AG19" s="4">
        <f>100*N19/TOTAL_BASIC!$C$87</f>
        <v>106.5730192719486</v>
      </c>
      <c r="AH19" s="4">
        <f>100*AD19/TOTAL_BASIC!$C$86</f>
        <v>86.668757841907151</v>
      </c>
      <c r="AI19" s="3">
        <f t="shared" si="36"/>
        <v>0.13636363636363635</v>
      </c>
      <c r="AJ19" s="9">
        <f t="shared" si="37"/>
        <v>10.280599903241411</v>
      </c>
      <c r="AM19" s="4">
        <f t="shared" ref="AM19:AM41" si="42">(PERCENTRANK(D$3:D$78,D19))*100</f>
        <v>89.5</v>
      </c>
      <c r="AN19" s="4">
        <f t="shared" ref="AN19:AN41" si="43">(PERCENTRANK(E$3:E$78,E19))*100</f>
        <v>66.600000000000009</v>
      </c>
      <c r="AO19" s="4">
        <f t="shared" ref="AO19:AO41" si="44">(PERCENTRANK(F$3:F$78,F19))*100</f>
        <v>64.5</v>
      </c>
      <c r="AP19" s="4">
        <f t="shared" ref="AP19:AP41" si="45">(PERCENTRANK(G$3:G$78,G19))*100</f>
        <v>72.899999999999991</v>
      </c>
      <c r="AQ19" s="4">
        <f t="shared" ref="AQ19:AQ41" si="46">(PERCENTRANK(H$3:H$78,H19))*100</f>
        <v>27</v>
      </c>
      <c r="AR19" s="4">
        <f t="shared" ref="AR19:AR41" si="47">(PERCENTRANK(I$3:I$78,I19))*100</f>
        <v>70.8</v>
      </c>
      <c r="AS19" s="4">
        <f t="shared" ref="AS19:AS41" si="48">(PERCENTRANK(J$3:J$78,J19))*100</f>
        <v>62.5</v>
      </c>
      <c r="AT19" s="4">
        <f t="shared" ref="AT19:AT41" si="49">(PERCENTRANK(K$3:K$78,K19))*100</f>
        <v>62.5</v>
      </c>
      <c r="AU19" s="4">
        <f t="shared" ref="AU19:BA50" si="50">(PERCENTRANK(L$3:L$78,L19))*100</f>
        <v>72.899999999999991</v>
      </c>
      <c r="AV19" s="4">
        <f t="shared" si="50"/>
        <v>70.8</v>
      </c>
      <c r="AW19" s="4">
        <f t="shared" si="50"/>
        <v>58.3</v>
      </c>
      <c r="AX19" s="4">
        <f t="shared" si="50"/>
        <v>45.800000000000004</v>
      </c>
      <c r="AY19" s="4">
        <f t="shared" si="50"/>
        <v>79.100000000000009</v>
      </c>
      <c r="AZ19" s="4">
        <f t="shared" si="50"/>
        <v>79.100000000000009</v>
      </c>
      <c r="BA19" s="4">
        <f t="shared" si="50"/>
        <v>79.100000000000009</v>
      </c>
      <c r="BB19" s="4">
        <f t="shared" si="40"/>
        <v>43.7</v>
      </c>
      <c r="BC19" s="4">
        <f t="shared" si="41"/>
        <v>37.5</v>
      </c>
      <c r="BD19" s="4">
        <f t="shared" si="17"/>
        <v>25</v>
      </c>
      <c r="BE19" s="4">
        <f t="shared" si="18"/>
        <v>56.3</v>
      </c>
      <c r="BF19" s="4">
        <f t="shared" si="19"/>
        <v>62.5</v>
      </c>
      <c r="BG19" s="4">
        <f t="shared" si="20"/>
        <v>77</v>
      </c>
      <c r="BH19" s="4">
        <f t="shared" si="21"/>
        <v>18.7</v>
      </c>
      <c r="BI19" s="4">
        <f t="shared" si="22"/>
        <v>58.599999999999994</v>
      </c>
      <c r="BJ19" s="4">
        <f t="shared" si="23"/>
        <v>31.2</v>
      </c>
      <c r="BK19" s="4">
        <f t="shared" si="24"/>
        <v>31.2</v>
      </c>
      <c r="BL19" s="4">
        <f t="shared" si="25"/>
        <v>29.099999999999998</v>
      </c>
      <c r="BM19" s="4">
        <f t="shared" si="26"/>
        <v>22.900000000000002</v>
      </c>
      <c r="BN19" s="4">
        <f t="shared" si="27"/>
        <v>45.800000000000004</v>
      </c>
      <c r="BO19" s="4">
        <f t="shared" si="38"/>
        <v>56.3</v>
      </c>
    </row>
    <row r="20" spans="1:67" x14ac:dyDescent="0.25">
      <c r="A20" s="2">
        <v>18</v>
      </c>
      <c r="B20" s="5" t="s">
        <v>86</v>
      </c>
      <c r="C20" s="2">
        <v>7</v>
      </c>
      <c r="D20" s="9">
        <v>16.100000000000001</v>
      </c>
      <c r="E20" s="9">
        <v>15.4</v>
      </c>
      <c r="F20" s="9">
        <v>5.4</v>
      </c>
      <c r="G20" s="9">
        <v>15.1</v>
      </c>
      <c r="H20" s="9">
        <v>35.799999999999997</v>
      </c>
      <c r="I20" s="9">
        <v>0.9</v>
      </c>
      <c r="J20" s="9">
        <v>4.9000000000000004</v>
      </c>
      <c r="K20" s="9">
        <v>17.600000000000001</v>
      </c>
      <c r="L20" s="9">
        <v>2.1</v>
      </c>
      <c r="M20" s="9">
        <v>2.6</v>
      </c>
      <c r="N20" s="9">
        <v>83.3</v>
      </c>
      <c r="O20" s="9">
        <v>1.3</v>
      </c>
      <c r="P20" s="9">
        <v>2.1</v>
      </c>
      <c r="Q20" s="9">
        <v>3.4</v>
      </c>
      <c r="R20" s="9">
        <v>3.6</v>
      </c>
      <c r="S20" s="9">
        <v>0.9</v>
      </c>
      <c r="T20" s="9">
        <v>1.1000000000000001</v>
      </c>
      <c r="U20" s="9">
        <v>1.7</v>
      </c>
      <c r="V20" s="9">
        <v>3.4</v>
      </c>
      <c r="W20" s="9">
        <f t="shared" si="28"/>
        <v>4.5</v>
      </c>
      <c r="X20" s="9">
        <f t="shared" si="29"/>
        <v>10.199999999999999</v>
      </c>
      <c r="Y20" s="9">
        <f t="shared" si="30"/>
        <v>44.117647058823536</v>
      </c>
      <c r="Z20" s="6">
        <f t="shared" si="31"/>
        <v>2.1176470588235294</v>
      </c>
      <c r="AA20" s="9">
        <f t="shared" si="32"/>
        <v>47.402117704998773</v>
      </c>
      <c r="AB20" s="6">
        <f t="shared" si="33"/>
        <v>0.9480423540999755</v>
      </c>
      <c r="AC20" s="6">
        <f t="shared" si="34"/>
        <v>0.85822559072670535</v>
      </c>
      <c r="AD20" s="9">
        <f t="shared" si="35"/>
        <v>38.741721854304636</v>
      </c>
      <c r="AE20" s="4">
        <f>100*(AA20/TOTAL_BASIC!$C$81)</f>
        <v>82.165245136227696</v>
      </c>
      <c r="AF20" s="4">
        <f>100*AC20/TOTAL_BASIC!$C$82</f>
        <v>83.375547174840506</v>
      </c>
      <c r="AG20" s="4">
        <f>100*N20/TOTAL_BASIC!$C$87</f>
        <v>107.73704496788008</v>
      </c>
      <c r="AH20" s="4">
        <f>100*AD20/TOTAL_BASIC!$C$86</f>
        <v>74.615486883761122</v>
      </c>
      <c r="AI20" s="3">
        <f t="shared" si="36"/>
        <v>0.3235294117647059</v>
      </c>
      <c r="AJ20" s="9">
        <f t="shared" si="37"/>
        <v>9.4739188586714231</v>
      </c>
      <c r="AM20" s="4">
        <f t="shared" si="42"/>
        <v>72.899999999999991</v>
      </c>
      <c r="AN20" s="4">
        <f t="shared" si="43"/>
        <v>62.5</v>
      </c>
      <c r="AO20" s="4">
        <f t="shared" si="44"/>
        <v>60.4</v>
      </c>
      <c r="AP20" s="4">
        <f t="shared" si="45"/>
        <v>83.3</v>
      </c>
      <c r="AQ20" s="4">
        <f t="shared" si="46"/>
        <v>14.499999999999998</v>
      </c>
      <c r="AR20" s="4">
        <f t="shared" si="47"/>
        <v>50</v>
      </c>
      <c r="AS20" s="4">
        <f t="shared" si="48"/>
        <v>81.2</v>
      </c>
      <c r="AT20" s="4">
        <f t="shared" si="49"/>
        <v>16.600000000000001</v>
      </c>
      <c r="AU20" s="4">
        <f t="shared" si="50"/>
        <v>87.5</v>
      </c>
      <c r="AV20" s="4">
        <f t="shared" si="50"/>
        <v>85.399999999999991</v>
      </c>
      <c r="AW20" s="4">
        <f t="shared" si="50"/>
        <v>60.4</v>
      </c>
      <c r="AX20" s="4">
        <f t="shared" si="50"/>
        <v>75</v>
      </c>
      <c r="AY20" s="4">
        <f t="shared" si="50"/>
        <v>14.499999999999998</v>
      </c>
      <c r="AZ20" s="4">
        <f t="shared" si="50"/>
        <v>29.099999999999998</v>
      </c>
      <c r="BA20" s="4">
        <f t="shared" si="50"/>
        <v>83.3</v>
      </c>
      <c r="BB20" s="4">
        <f t="shared" si="40"/>
        <v>64.5</v>
      </c>
      <c r="BC20" s="4">
        <f t="shared" si="41"/>
        <v>91.600000000000009</v>
      </c>
      <c r="BD20" s="4">
        <f t="shared" si="17"/>
        <v>25</v>
      </c>
      <c r="BE20" s="4">
        <f t="shared" si="18"/>
        <v>8.3999999999999915</v>
      </c>
      <c r="BF20" s="4">
        <f t="shared" si="19"/>
        <v>62.5</v>
      </c>
      <c r="BG20" s="4">
        <f t="shared" si="20"/>
        <v>75</v>
      </c>
      <c r="BH20" s="4">
        <f t="shared" si="21"/>
        <v>20.8</v>
      </c>
      <c r="BI20" s="4">
        <f t="shared" si="22"/>
        <v>65.2</v>
      </c>
      <c r="BJ20" s="4">
        <f t="shared" si="23"/>
        <v>16.600000000000001</v>
      </c>
      <c r="BK20" s="4">
        <f t="shared" si="24"/>
        <v>16.600000000000001</v>
      </c>
      <c r="BL20" s="4">
        <f t="shared" si="25"/>
        <v>16.600000000000001</v>
      </c>
      <c r="BM20" s="4">
        <f t="shared" si="26"/>
        <v>8.3000000000000007</v>
      </c>
      <c r="BN20" s="4">
        <f t="shared" si="27"/>
        <v>81.2</v>
      </c>
      <c r="BO20" s="4">
        <f t="shared" si="38"/>
        <v>64.599999999999994</v>
      </c>
    </row>
    <row r="21" spans="1:67" x14ac:dyDescent="0.25">
      <c r="A21" s="2">
        <v>19</v>
      </c>
      <c r="B21" s="5" t="s">
        <v>83</v>
      </c>
      <c r="C21" s="2">
        <v>10</v>
      </c>
      <c r="D21" s="9">
        <v>14.6</v>
      </c>
      <c r="E21" s="9">
        <v>15.4</v>
      </c>
      <c r="F21" s="9">
        <v>6.5</v>
      </c>
      <c r="G21" s="9">
        <v>12.4</v>
      </c>
      <c r="H21" s="9">
        <v>52.4</v>
      </c>
      <c r="I21" s="9">
        <v>0.4</v>
      </c>
      <c r="J21" s="9">
        <v>1.5</v>
      </c>
      <c r="K21" s="9">
        <v>26.7</v>
      </c>
      <c r="L21" s="9">
        <v>1.1000000000000001</v>
      </c>
      <c r="M21" s="9">
        <v>1.4</v>
      </c>
      <c r="N21" s="9">
        <v>78.599999999999994</v>
      </c>
      <c r="O21" s="9">
        <v>2.4</v>
      </c>
      <c r="P21" s="9">
        <v>8.1999999999999993</v>
      </c>
      <c r="Q21" s="9">
        <v>10.6</v>
      </c>
      <c r="R21" s="9">
        <v>0.8</v>
      </c>
      <c r="S21" s="9">
        <v>0.4</v>
      </c>
      <c r="T21" s="9">
        <v>0.9</v>
      </c>
      <c r="U21" s="9">
        <v>2.4</v>
      </c>
      <c r="V21" s="9">
        <v>2.5</v>
      </c>
      <c r="W21" s="9">
        <f t="shared" si="28"/>
        <v>6.1</v>
      </c>
      <c r="X21" s="9">
        <f t="shared" si="29"/>
        <v>10.9</v>
      </c>
      <c r="Y21" s="9">
        <f t="shared" si="30"/>
        <v>55.963302752293572</v>
      </c>
      <c r="Z21" s="6">
        <f t="shared" si="31"/>
        <v>0.33333333333333337</v>
      </c>
      <c r="AA21" s="9">
        <f t="shared" si="32"/>
        <v>59.1579594345421</v>
      </c>
      <c r="AB21" s="6">
        <f t="shared" si="33"/>
        <v>1.1831591886908419</v>
      </c>
      <c r="AC21" s="6">
        <f t="shared" si="34"/>
        <v>0.99896211728074724</v>
      </c>
      <c r="AD21" s="9">
        <f t="shared" si="35"/>
        <v>54.032258064516128</v>
      </c>
      <c r="AE21" s="4">
        <f>100*(AA21/TOTAL_BASIC!$C$81)</f>
        <v>102.54242793430259</v>
      </c>
      <c r="AF21" s="4">
        <f>100*AC21/TOTAL_BASIC!$C$82</f>
        <v>97.047925434959652</v>
      </c>
      <c r="AG21" s="4">
        <f>100*N21/TOTAL_BASIC!$C$87</f>
        <v>101.65824411134902</v>
      </c>
      <c r="AH21" s="4">
        <f>100*AD21/TOTAL_BASIC!$C$86</f>
        <v>104.06463755211072</v>
      </c>
      <c r="AI21" s="3">
        <f t="shared" si="36"/>
        <v>0.36</v>
      </c>
      <c r="AJ21" s="9">
        <f t="shared" si="37"/>
        <v>15.568240788790867</v>
      </c>
      <c r="AM21" s="4">
        <f t="shared" si="42"/>
        <v>58.3</v>
      </c>
      <c r="AN21" s="4">
        <f t="shared" si="43"/>
        <v>62.5</v>
      </c>
      <c r="AO21" s="4">
        <f t="shared" si="44"/>
        <v>72.899999999999991</v>
      </c>
      <c r="AP21" s="4">
        <f t="shared" si="45"/>
        <v>64.5</v>
      </c>
      <c r="AQ21" s="4">
        <f t="shared" si="46"/>
        <v>83.3</v>
      </c>
      <c r="AR21" s="4">
        <f t="shared" si="47"/>
        <v>27</v>
      </c>
      <c r="AS21" s="4">
        <f t="shared" si="48"/>
        <v>27</v>
      </c>
      <c r="AT21" s="4">
        <f t="shared" si="49"/>
        <v>45.800000000000004</v>
      </c>
      <c r="AU21" s="4">
        <f t="shared" si="50"/>
        <v>52</v>
      </c>
      <c r="AV21" s="4">
        <f t="shared" si="50"/>
        <v>50</v>
      </c>
      <c r="AW21" s="4">
        <f t="shared" si="50"/>
        <v>56.2</v>
      </c>
      <c r="AX21" s="4">
        <f t="shared" si="50"/>
        <v>97.899999999999991</v>
      </c>
      <c r="AY21" s="4">
        <f t="shared" si="50"/>
        <v>95.8</v>
      </c>
      <c r="AZ21" s="4">
        <f t="shared" si="50"/>
        <v>95.8</v>
      </c>
      <c r="BA21" s="4">
        <f t="shared" si="50"/>
        <v>22.900000000000002</v>
      </c>
      <c r="BB21" s="4">
        <f t="shared" si="40"/>
        <v>31.2</v>
      </c>
      <c r="BC21" s="4">
        <f t="shared" si="41"/>
        <v>83.3</v>
      </c>
      <c r="BD21" s="4">
        <f t="shared" si="17"/>
        <v>6.2999999999999972</v>
      </c>
      <c r="BE21" s="4">
        <f t="shared" si="18"/>
        <v>41.7</v>
      </c>
      <c r="BF21" s="4">
        <f t="shared" si="19"/>
        <v>87.5</v>
      </c>
      <c r="BG21" s="4">
        <f t="shared" si="20"/>
        <v>87.5</v>
      </c>
      <c r="BH21" s="4">
        <f t="shared" si="21"/>
        <v>60.4</v>
      </c>
      <c r="BI21" s="4">
        <f t="shared" si="22"/>
        <v>6.5</v>
      </c>
      <c r="BJ21" s="4">
        <f t="shared" si="23"/>
        <v>64.5</v>
      </c>
      <c r="BK21" s="4">
        <f t="shared" si="24"/>
        <v>64.5</v>
      </c>
      <c r="BL21" s="4">
        <f t="shared" si="25"/>
        <v>45.800000000000004</v>
      </c>
      <c r="BM21" s="4">
        <f t="shared" si="26"/>
        <v>62.5</v>
      </c>
      <c r="BN21" s="4">
        <f t="shared" si="27"/>
        <v>83.3</v>
      </c>
      <c r="BO21" s="4">
        <f t="shared" si="38"/>
        <v>12.5</v>
      </c>
    </row>
    <row r="22" spans="1:67" x14ac:dyDescent="0.25">
      <c r="A22" s="2">
        <v>20</v>
      </c>
      <c r="B22" s="5" t="s">
        <v>87</v>
      </c>
      <c r="C22" s="2">
        <v>10</v>
      </c>
      <c r="D22" s="9">
        <v>13.9</v>
      </c>
      <c r="E22" s="9">
        <v>14.5</v>
      </c>
      <c r="F22" s="9">
        <v>5.5</v>
      </c>
      <c r="G22" s="9">
        <v>11.9</v>
      </c>
      <c r="H22" s="9">
        <v>46.2</v>
      </c>
      <c r="I22" s="9">
        <v>0.4</v>
      </c>
      <c r="J22" s="9">
        <v>1.5</v>
      </c>
      <c r="K22" s="9">
        <v>26.7</v>
      </c>
      <c r="L22" s="9">
        <v>1.7</v>
      </c>
      <c r="M22" s="9">
        <v>2</v>
      </c>
      <c r="N22" s="9">
        <v>85</v>
      </c>
      <c r="O22" s="9">
        <v>2.2999999999999998</v>
      </c>
      <c r="P22" s="9">
        <v>8.6</v>
      </c>
      <c r="Q22" s="9">
        <v>10.9</v>
      </c>
      <c r="R22" s="9">
        <v>1.1000000000000001</v>
      </c>
      <c r="S22" s="9">
        <v>0.9</v>
      </c>
      <c r="T22" s="9">
        <v>0.5</v>
      </c>
      <c r="U22" s="9">
        <v>1.8</v>
      </c>
      <c r="V22" s="9">
        <v>2.5</v>
      </c>
      <c r="W22" s="9">
        <f t="shared" si="28"/>
        <v>5.0999999999999996</v>
      </c>
      <c r="X22" s="9">
        <f t="shared" si="29"/>
        <v>10.4</v>
      </c>
      <c r="Y22" s="9">
        <f t="shared" si="30"/>
        <v>49.038461538461533</v>
      </c>
      <c r="Z22" s="6">
        <f t="shared" si="31"/>
        <v>0.61111111111111116</v>
      </c>
      <c r="AA22" s="9">
        <f t="shared" si="32"/>
        <v>56.729264475743342</v>
      </c>
      <c r="AB22" s="6">
        <f t="shared" si="33"/>
        <v>1.1345852895148669</v>
      </c>
      <c r="AC22" s="6">
        <f t="shared" si="34"/>
        <v>0.99451303155006843</v>
      </c>
      <c r="AD22" s="9">
        <f t="shared" si="35"/>
        <v>47.899159663865547</v>
      </c>
      <c r="AE22" s="4">
        <f>100*(AA22/TOTAL_BASIC!$C$81)</f>
        <v>98.332609337320875</v>
      </c>
      <c r="AF22" s="4">
        <f>100*AC22/TOTAL_BASIC!$C$82</f>
        <v>96.615702297790065</v>
      </c>
      <c r="AG22" s="4">
        <f>100*N22/TOTAL_BASIC!$C$87</f>
        <v>109.9357601713062</v>
      </c>
      <c r="AH22" s="4">
        <f>100*AD22/TOTAL_BASIC!$C$86</f>
        <v>92.252459327520214</v>
      </c>
      <c r="AI22" s="3">
        <f t="shared" si="36"/>
        <v>0.2</v>
      </c>
      <c r="AJ22" s="9">
        <f t="shared" si="37"/>
        <v>12.345679012345677</v>
      </c>
      <c r="AM22" s="4">
        <f t="shared" si="42"/>
        <v>54.1</v>
      </c>
      <c r="AN22" s="4">
        <f t="shared" si="43"/>
        <v>60.4</v>
      </c>
      <c r="AO22" s="4">
        <f t="shared" si="44"/>
        <v>62.5</v>
      </c>
      <c r="AP22" s="4">
        <f t="shared" si="45"/>
        <v>60.4</v>
      </c>
      <c r="AQ22" s="4">
        <f t="shared" si="46"/>
        <v>52</v>
      </c>
      <c r="AR22" s="4">
        <f t="shared" si="47"/>
        <v>27</v>
      </c>
      <c r="AS22" s="4">
        <f t="shared" si="48"/>
        <v>27</v>
      </c>
      <c r="AT22" s="4">
        <f t="shared" si="49"/>
        <v>45.800000000000004</v>
      </c>
      <c r="AU22" s="4">
        <f t="shared" si="50"/>
        <v>81.2</v>
      </c>
      <c r="AV22" s="4">
        <f t="shared" si="50"/>
        <v>75</v>
      </c>
      <c r="AW22" s="4">
        <f t="shared" si="50"/>
        <v>70.8</v>
      </c>
      <c r="AX22" s="4">
        <f t="shared" si="50"/>
        <v>95.8</v>
      </c>
      <c r="AY22" s="4">
        <f t="shared" si="50"/>
        <v>97.899999999999991</v>
      </c>
      <c r="AZ22" s="4">
        <f t="shared" si="50"/>
        <v>97.899999999999991</v>
      </c>
      <c r="BA22" s="4">
        <f t="shared" si="50"/>
        <v>33.300000000000004</v>
      </c>
      <c r="BB22" s="4">
        <f t="shared" si="40"/>
        <v>64.5</v>
      </c>
      <c r="BC22" s="4">
        <f t="shared" si="41"/>
        <v>60.4</v>
      </c>
      <c r="BD22" s="4">
        <f t="shared" si="17"/>
        <v>18.799999999999997</v>
      </c>
      <c r="BE22" s="4">
        <f t="shared" si="18"/>
        <v>41.7</v>
      </c>
      <c r="BF22" s="4">
        <f t="shared" si="19"/>
        <v>70.8</v>
      </c>
      <c r="BG22" s="4">
        <f t="shared" si="20"/>
        <v>79.100000000000009</v>
      </c>
      <c r="BH22" s="4">
        <f t="shared" si="21"/>
        <v>35.4</v>
      </c>
      <c r="BI22" s="4">
        <f t="shared" si="22"/>
        <v>21.7</v>
      </c>
      <c r="BJ22" s="4">
        <f t="shared" si="23"/>
        <v>47.9</v>
      </c>
      <c r="BK22" s="4">
        <f t="shared" si="24"/>
        <v>47.9</v>
      </c>
      <c r="BL22" s="4">
        <f t="shared" si="25"/>
        <v>43.7</v>
      </c>
      <c r="BM22" s="4">
        <f t="shared" si="26"/>
        <v>27</v>
      </c>
      <c r="BN22" s="4">
        <f t="shared" si="27"/>
        <v>56.2</v>
      </c>
      <c r="BO22" s="4">
        <f t="shared" si="38"/>
        <v>37.5</v>
      </c>
    </row>
    <row r="23" spans="1:67" x14ac:dyDescent="0.25">
      <c r="A23" s="2">
        <v>21</v>
      </c>
      <c r="B23" s="5" t="s">
        <v>88</v>
      </c>
      <c r="C23" s="2">
        <v>10</v>
      </c>
      <c r="D23" s="9">
        <v>12.8</v>
      </c>
      <c r="E23" s="9">
        <v>13</v>
      </c>
      <c r="F23" s="9">
        <v>4.9000000000000004</v>
      </c>
      <c r="G23" s="9">
        <v>11.9</v>
      </c>
      <c r="H23" s="9">
        <v>41.2</v>
      </c>
      <c r="I23" s="9">
        <v>1.7</v>
      </c>
      <c r="J23" s="9">
        <v>4.8</v>
      </c>
      <c r="K23" s="9">
        <v>35.4</v>
      </c>
      <c r="L23" s="9">
        <v>0.8</v>
      </c>
      <c r="M23" s="9">
        <v>1.1000000000000001</v>
      </c>
      <c r="N23" s="9">
        <v>72.7</v>
      </c>
      <c r="O23" s="9">
        <v>0.8</v>
      </c>
      <c r="P23" s="9">
        <v>2.1</v>
      </c>
      <c r="Q23" s="9">
        <v>2.9</v>
      </c>
      <c r="R23" s="9">
        <v>2.1</v>
      </c>
      <c r="S23" s="9">
        <v>1.3</v>
      </c>
      <c r="T23" s="9">
        <v>0.1</v>
      </c>
      <c r="U23" s="9">
        <v>1.5</v>
      </c>
      <c r="V23" s="9">
        <v>2.1</v>
      </c>
      <c r="W23" s="9">
        <f t="shared" si="28"/>
        <v>3.2</v>
      </c>
      <c r="X23" s="9">
        <f t="shared" si="29"/>
        <v>7.1000000000000005</v>
      </c>
      <c r="Y23" s="9">
        <f t="shared" si="30"/>
        <v>45.070422535211272</v>
      </c>
      <c r="Z23" s="6">
        <f t="shared" si="31"/>
        <v>1.4000000000000001</v>
      </c>
      <c r="AA23" s="9">
        <f t="shared" si="32"/>
        <v>52.487080103359169</v>
      </c>
      <c r="AB23" s="6">
        <f t="shared" si="33"/>
        <v>1.0497416020671835</v>
      </c>
      <c r="AC23" s="6">
        <f t="shared" si="34"/>
        <v>0.93632958801498123</v>
      </c>
      <c r="AD23" s="9">
        <f t="shared" si="35"/>
        <v>48.319327731092436</v>
      </c>
      <c r="AE23" s="4">
        <f>100*(AA23/TOTAL_BASIC!$C$81)</f>
        <v>90.97934885560062</v>
      </c>
      <c r="AF23" s="4">
        <f>100*AC23/TOTAL_BASIC!$C$82</f>
        <v>90.963253228837615</v>
      </c>
      <c r="AG23" s="4">
        <f>100*N23/TOTAL_BASIC!$C$87</f>
        <v>94.027408993576017</v>
      </c>
      <c r="AH23" s="4">
        <f>100*AD23/TOTAL_BASIC!$C$86</f>
        <v>93.061691426884423</v>
      </c>
      <c r="AI23" s="3">
        <f t="shared" si="36"/>
        <v>4.7619047619047616E-2</v>
      </c>
      <c r="AJ23" s="9">
        <f t="shared" si="37"/>
        <v>10.8038029386344</v>
      </c>
      <c r="AM23" s="4">
        <f t="shared" si="42"/>
        <v>50</v>
      </c>
      <c r="AN23" s="4">
        <f t="shared" si="43"/>
        <v>58.3</v>
      </c>
      <c r="AO23" s="4">
        <f t="shared" si="44"/>
        <v>56.2</v>
      </c>
      <c r="AP23" s="4">
        <f t="shared" si="45"/>
        <v>60.4</v>
      </c>
      <c r="AQ23" s="4">
        <f t="shared" si="46"/>
        <v>29.099999999999998</v>
      </c>
      <c r="AR23" s="4">
        <f t="shared" si="47"/>
        <v>79.100000000000009</v>
      </c>
      <c r="AS23" s="4">
        <f t="shared" si="48"/>
        <v>77</v>
      </c>
      <c r="AT23" s="4">
        <f t="shared" si="49"/>
        <v>72.899999999999991</v>
      </c>
      <c r="AU23" s="4">
        <f t="shared" si="50"/>
        <v>39.5</v>
      </c>
      <c r="AV23" s="4">
        <f t="shared" si="50"/>
        <v>43.7</v>
      </c>
      <c r="AW23" s="4">
        <f t="shared" si="50"/>
        <v>41.6</v>
      </c>
      <c r="AX23" s="4">
        <f t="shared" si="50"/>
        <v>39.5</v>
      </c>
      <c r="AY23" s="4">
        <f t="shared" si="50"/>
        <v>14.499999999999998</v>
      </c>
      <c r="AZ23" s="4">
        <f t="shared" si="50"/>
        <v>12.5</v>
      </c>
      <c r="BA23" s="4">
        <f t="shared" si="50"/>
        <v>58.3</v>
      </c>
      <c r="BB23" s="4">
        <f t="shared" si="40"/>
        <v>89.5</v>
      </c>
      <c r="BC23" s="4">
        <f t="shared" si="41"/>
        <v>14.499999999999998</v>
      </c>
      <c r="BD23" s="4">
        <f t="shared" si="17"/>
        <v>31.299999999999997</v>
      </c>
      <c r="BE23" s="4">
        <f t="shared" si="18"/>
        <v>64.599999999999994</v>
      </c>
      <c r="BF23" s="4">
        <f t="shared" si="19"/>
        <v>52</v>
      </c>
      <c r="BG23" s="4">
        <f t="shared" si="20"/>
        <v>56.2</v>
      </c>
      <c r="BH23" s="4">
        <f t="shared" si="21"/>
        <v>22.900000000000002</v>
      </c>
      <c r="BI23" s="4">
        <f t="shared" si="22"/>
        <v>47.8</v>
      </c>
      <c r="BJ23" s="4">
        <f t="shared" si="23"/>
        <v>29.099999999999998</v>
      </c>
      <c r="BK23" s="4">
        <f t="shared" si="24"/>
        <v>29.099999999999998</v>
      </c>
      <c r="BL23" s="4">
        <f t="shared" si="25"/>
        <v>25</v>
      </c>
      <c r="BM23" s="4">
        <f t="shared" si="26"/>
        <v>31.2</v>
      </c>
      <c r="BN23" s="4">
        <f t="shared" si="27"/>
        <v>18.7</v>
      </c>
      <c r="BO23" s="4">
        <f t="shared" si="38"/>
        <v>52.1</v>
      </c>
    </row>
    <row r="24" spans="1:67" x14ac:dyDescent="0.25">
      <c r="A24" s="2">
        <v>22</v>
      </c>
      <c r="B24" s="5" t="s">
        <v>92</v>
      </c>
      <c r="C24" s="2">
        <v>10</v>
      </c>
      <c r="D24" s="9">
        <v>10.1</v>
      </c>
      <c r="E24" s="9">
        <v>11.9</v>
      </c>
      <c r="F24" s="9">
        <v>4.5999999999999996</v>
      </c>
      <c r="G24" s="9">
        <v>9.8000000000000007</v>
      </c>
      <c r="H24" s="9">
        <v>46.9</v>
      </c>
      <c r="I24" s="9">
        <v>0.2</v>
      </c>
      <c r="J24" s="9">
        <v>1.1000000000000001</v>
      </c>
      <c r="K24" s="9">
        <v>18.2</v>
      </c>
      <c r="L24" s="9">
        <v>1.3</v>
      </c>
      <c r="M24" s="9">
        <v>2.2000000000000002</v>
      </c>
      <c r="N24" s="9">
        <v>59.1</v>
      </c>
      <c r="O24" s="9">
        <v>1.7</v>
      </c>
      <c r="P24" s="9">
        <v>3.1</v>
      </c>
      <c r="Q24" s="9">
        <v>4.8</v>
      </c>
      <c r="R24" s="9">
        <v>0.7</v>
      </c>
      <c r="S24" s="9">
        <v>0.5</v>
      </c>
      <c r="T24" s="9">
        <v>0.1</v>
      </c>
      <c r="U24" s="9">
        <v>1.2</v>
      </c>
      <c r="V24" s="9">
        <v>2.9</v>
      </c>
      <c r="W24" s="9">
        <f t="shared" si="28"/>
        <v>4.3999999999999995</v>
      </c>
      <c r="X24" s="9">
        <f t="shared" si="29"/>
        <v>8.7000000000000011</v>
      </c>
      <c r="Y24" s="9">
        <f t="shared" si="30"/>
        <v>50.57471264367814</v>
      </c>
      <c r="Z24" s="6">
        <f t="shared" si="31"/>
        <v>0.58333333333333337</v>
      </c>
      <c r="AA24" s="9">
        <f t="shared" si="32"/>
        <v>55.256315007429414</v>
      </c>
      <c r="AB24" s="6">
        <f t="shared" si="33"/>
        <v>1.1051263001485883</v>
      </c>
      <c r="AC24" s="6">
        <f t="shared" si="34"/>
        <v>0.99431818181818188</v>
      </c>
      <c r="AD24" s="9">
        <f t="shared" si="35"/>
        <v>47.959183673469376</v>
      </c>
      <c r="AE24" s="4">
        <f>100*(AA24/TOTAL_BASIC!$C$81)</f>
        <v>95.779448001988214</v>
      </c>
      <c r="AF24" s="4">
        <f>100*AC24/TOTAL_BASIC!$C$82</f>
        <v>96.596772889032678</v>
      </c>
      <c r="AG24" s="4">
        <f>100*N24/TOTAL_BASIC!$C$87</f>
        <v>76.437687366167012</v>
      </c>
      <c r="AH24" s="4">
        <f>100*AD24/TOTAL_BASIC!$C$86</f>
        <v>92.368063913143658</v>
      </c>
      <c r="AI24" s="3">
        <f t="shared" si="36"/>
        <v>3.4482758620689655E-2</v>
      </c>
      <c r="AJ24" s="9">
        <f t="shared" si="37"/>
        <v>10.026737967914439</v>
      </c>
      <c r="AM24" s="4">
        <f t="shared" si="42"/>
        <v>29.099999999999998</v>
      </c>
      <c r="AN24" s="4">
        <f t="shared" si="43"/>
        <v>56.2</v>
      </c>
      <c r="AO24" s="4">
        <f t="shared" si="44"/>
        <v>54.1</v>
      </c>
      <c r="AP24" s="4">
        <f t="shared" si="45"/>
        <v>56.2</v>
      </c>
      <c r="AQ24" s="4">
        <f t="shared" si="46"/>
        <v>54.1</v>
      </c>
      <c r="AR24" s="4">
        <f t="shared" si="47"/>
        <v>14.499999999999998</v>
      </c>
      <c r="AS24" s="4">
        <f t="shared" si="48"/>
        <v>14.499999999999998</v>
      </c>
      <c r="AT24" s="4">
        <f t="shared" si="49"/>
        <v>20.8</v>
      </c>
      <c r="AU24" s="4">
        <f t="shared" si="50"/>
        <v>62.5</v>
      </c>
      <c r="AV24" s="4">
        <f t="shared" si="50"/>
        <v>79.100000000000009</v>
      </c>
      <c r="AW24" s="4">
        <f t="shared" si="50"/>
        <v>22.900000000000002</v>
      </c>
      <c r="AX24" s="4">
        <f t="shared" si="50"/>
        <v>85.399999999999991</v>
      </c>
      <c r="AY24" s="4">
        <f t="shared" si="50"/>
        <v>39.5</v>
      </c>
      <c r="AZ24" s="4">
        <f t="shared" si="50"/>
        <v>58.3</v>
      </c>
      <c r="BA24" s="4">
        <f t="shared" si="50"/>
        <v>20.8</v>
      </c>
      <c r="BB24" s="4">
        <f t="shared" si="40"/>
        <v>41.6</v>
      </c>
      <c r="BC24" s="4">
        <f t="shared" si="41"/>
        <v>14.499999999999998</v>
      </c>
      <c r="BD24" s="4">
        <f t="shared" si="17"/>
        <v>54.199999999999996</v>
      </c>
      <c r="BE24" s="4">
        <f t="shared" si="18"/>
        <v>29.200000000000003</v>
      </c>
      <c r="BF24" s="4">
        <f t="shared" si="19"/>
        <v>60.4</v>
      </c>
      <c r="BG24" s="4">
        <f t="shared" si="20"/>
        <v>62.5</v>
      </c>
      <c r="BH24" s="4">
        <f t="shared" si="21"/>
        <v>45.800000000000004</v>
      </c>
      <c r="BI24" s="4">
        <f t="shared" si="22"/>
        <v>17.299999999999997</v>
      </c>
      <c r="BJ24" s="4">
        <f t="shared" si="23"/>
        <v>39.5</v>
      </c>
      <c r="BK24" s="4">
        <f t="shared" si="24"/>
        <v>39.5</v>
      </c>
      <c r="BL24" s="4">
        <f t="shared" si="25"/>
        <v>41.6</v>
      </c>
      <c r="BM24" s="4">
        <f t="shared" si="26"/>
        <v>29.099999999999998</v>
      </c>
      <c r="BN24" s="4">
        <f t="shared" si="27"/>
        <v>16.600000000000001</v>
      </c>
      <c r="BO24" s="4">
        <f t="shared" si="38"/>
        <v>60.5</v>
      </c>
    </row>
    <row r="25" spans="1:67" x14ac:dyDescent="0.25">
      <c r="A25" s="2">
        <v>23</v>
      </c>
      <c r="B25" s="5" t="s">
        <v>89</v>
      </c>
      <c r="C25" s="2">
        <v>9</v>
      </c>
      <c r="D25" s="9">
        <v>11.8</v>
      </c>
      <c r="E25" s="9">
        <v>11.8</v>
      </c>
      <c r="F25" s="9">
        <v>4.0999999999999996</v>
      </c>
      <c r="G25" s="9">
        <v>9</v>
      </c>
      <c r="H25" s="9">
        <v>45.7</v>
      </c>
      <c r="I25" s="9">
        <v>1.6</v>
      </c>
      <c r="J25" s="9">
        <v>4.4000000000000004</v>
      </c>
      <c r="K25" s="9">
        <v>35</v>
      </c>
      <c r="L25" s="9">
        <v>1.1000000000000001</v>
      </c>
      <c r="M25" s="9">
        <v>1.1000000000000001</v>
      </c>
      <c r="N25" s="9">
        <v>100</v>
      </c>
      <c r="O25" s="9">
        <v>0.8</v>
      </c>
      <c r="P25" s="9">
        <v>2.2999999999999998</v>
      </c>
      <c r="Q25" s="9">
        <v>3.1</v>
      </c>
      <c r="R25" s="9">
        <v>2.6</v>
      </c>
      <c r="S25" s="9">
        <v>1</v>
      </c>
      <c r="T25" s="9">
        <v>0.3</v>
      </c>
      <c r="U25" s="9">
        <v>0.7</v>
      </c>
      <c r="V25" s="9">
        <v>2.7</v>
      </c>
      <c r="W25" s="9">
        <f t="shared" si="28"/>
        <v>2.4999999999999996</v>
      </c>
      <c r="X25" s="9">
        <f t="shared" si="29"/>
        <v>4.5999999999999996</v>
      </c>
      <c r="Y25" s="9">
        <f t="shared" si="30"/>
        <v>54.347826086956516</v>
      </c>
      <c r="Z25" s="6">
        <f t="shared" si="31"/>
        <v>3.7142857142857149</v>
      </c>
      <c r="AA25" s="9">
        <f t="shared" si="32"/>
        <v>62.210037958667229</v>
      </c>
      <c r="AB25" s="6">
        <f t="shared" si="33"/>
        <v>1.2442007591733446</v>
      </c>
      <c r="AC25" s="6">
        <f t="shared" si="34"/>
        <v>1.1586802827965437</v>
      </c>
      <c r="AD25" s="9">
        <f t="shared" si="35"/>
        <v>54.444444444444436</v>
      </c>
      <c r="AE25" s="4">
        <f>100*(AA25/TOTAL_BASIC!$C$81)</f>
        <v>107.83279875002066</v>
      </c>
      <c r="AF25" s="4">
        <f>100*AC25/TOTAL_BASIC!$C$82</f>
        <v>112.56434627760244</v>
      </c>
      <c r="AG25" s="4">
        <f>100*N25/TOTAL_BASIC!$C$87</f>
        <v>129.33618843683084</v>
      </c>
      <c r="AH25" s="4">
        <f>100*AD25/TOTAL_BASIC!$C$86</f>
        <v>104.85849714206047</v>
      </c>
      <c r="AI25" s="3">
        <f t="shared" si="36"/>
        <v>0.1111111111111111</v>
      </c>
      <c r="AJ25" s="9">
        <f t="shared" si="37"/>
        <v>6.8735271013354282</v>
      </c>
      <c r="AM25" s="4">
        <f t="shared" si="42"/>
        <v>45.800000000000004</v>
      </c>
      <c r="AN25" s="4">
        <f t="shared" si="43"/>
        <v>54.1</v>
      </c>
      <c r="AO25" s="4">
        <f t="shared" si="44"/>
        <v>50</v>
      </c>
      <c r="AP25" s="4">
        <f t="shared" si="45"/>
        <v>52</v>
      </c>
      <c r="AQ25" s="4">
        <f t="shared" si="46"/>
        <v>47.9</v>
      </c>
      <c r="AR25" s="4">
        <f t="shared" si="47"/>
        <v>77</v>
      </c>
      <c r="AS25" s="4">
        <f t="shared" si="48"/>
        <v>72.899999999999991</v>
      </c>
      <c r="AT25" s="4">
        <f t="shared" si="49"/>
        <v>68.7</v>
      </c>
      <c r="AU25" s="4">
        <f t="shared" si="50"/>
        <v>52</v>
      </c>
      <c r="AV25" s="4">
        <f t="shared" si="50"/>
        <v>43.7</v>
      </c>
      <c r="AW25" s="4">
        <f t="shared" si="50"/>
        <v>89.5</v>
      </c>
      <c r="AX25" s="4">
        <f t="shared" si="50"/>
        <v>39.5</v>
      </c>
      <c r="AY25" s="4">
        <f t="shared" si="50"/>
        <v>20.8</v>
      </c>
      <c r="AZ25" s="4">
        <f t="shared" si="50"/>
        <v>22.900000000000002</v>
      </c>
      <c r="BA25" s="4">
        <f t="shared" si="50"/>
        <v>62.5</v>
      </c>
      <c r="BB25" s="4">
        <f t="shared" si="40"/>
        <v>77</v>
      </c>
      <c r="BC25" s="4">
        <f t="shared" si="41"/>
        <v>37.5</v>
      </c>
      <c r="BD25" s="4">
        <f t="shared" si="17"/>
        <v>81.3</v>
      </c>
      <c r="BE25" s="4">
        <f t="shared" si="18"/>
        <v>31.299999999999997</v>
      </c>
      <c r="BF25" s="4">
        <f t="shared" si="19"/>
        <v>35.4</v>
      </c>
      <c r="BG25" s="4">
        <f t="shared" si="20"/>
        <v>31.2</v>
      </c>
      <c r="BH25" s="4">
        <f t="shared" si="21"/>
        <v>54.1</v>
      </c>
      <c r="BI25" s="4">
        <f t="shared" si="22"/>
        <v>91.3</v>
      </c>
      <c r="BJ25" s="4">
        <f t="shared" si="23"/>
        <v>83.3</v>
      </c>
      <c r="BK25" s="4">
        <f t="shared" si="24"/>
        <v>83.3</v>
      </c>
      <c r="BL25" s="4">
        <f t="shared" si="25"/>
        <v>89.5</v>
      </c>
      <c r="BM25" s="4">
        <f t="shared" si="26"/>
        <v>68.7</v>
      </c>
      <c r="BN25" s="4">
        <f t="shared" si="27"/>
        <v>41.6</v>
      </c>
      <c r="BO25" s="4">
        <f t="shared" si="38"/>
        <v>83.4</v>
      </c>
    </row>
    <row r="26" spans="1:67" x14ac:dyDescent="0.25">
      <c r="A26" s="2">
        <v>24</v>
      </c>
      <c r="B26" s="5" t="s">
        <v>90</v>
      </c>
      <c r="C26" s="2">
        <v>10</v>
      </c>
      <c r="D26" s="9">
        <v>14</v>
      </c>
      <c r="E26" s="9">
        <v>11.6</v>
      </c>
      <c r="F26" s="9">
        <v>5.2</v>
      </c>
      <c r="G26" s="9">
        <v>7.9</v>
      </c>
      <c r="H26" s="9">
        <v>65.8</v>
      </c>
      <c r="I26" s="9">
        <v>0</v>
      </c>
      <c r="J26" s="9">
        <v>0</v>
      </c>
      <c r="K26" s="9">
        <v>0</v>
      </c>
      <c r="L26" s="9">
        <v>0.7</v>
      </c>
      <c r="M26" s="9">
        <v>0.9</v>
      </c>
      <c r="N26" s="9">
        <v>77.8</v>
      </c>
      <c r="O26" s="9">
        <v>1</v>
      </c>
      <c r="P26" s="9">
        <v>6.6</v>
      </c>
      <c r="Q26" s="9">
        <v>7.6</v>
      </c>
      <c r="R26" s="9">
        <v>3.1</v>
      </c>
      <c r="S26" s="9">
        <v>0.8</v>
      </c>
      <c r="T26" s="9">
        <v>0.3</v>
      </c>
      <c r="U26" s="9">
        <v>1.3</v>
      </c>
      <c r="V26" s="9">
        <v>1.6</v>
      </c>
      <c r="W26" s="9">
        <f t="shared" si="28"/>
        <v>5.2</v>
      </c>
      <c r="X26" s="9">
        <f t="shared" si="29"/>
        <v>7.9</v>
      </c>
      <c r="Y26" s="9">
        <f t="shared" si="30"/>
        <v>65.822784810126578</v>
      </c>
      <c r="Z26" s="6">
        <f t="shared" si="31"/>
        <v>2.3846153846153846</v>
      </c>
      <c r="AA26" s="9">
        <f t="shared" si="32"/>
        <v>69.913211186113784</v>
      </c>
      <c r="AB26" s="6">
        <f t="shared" si="33"/>
        <v>1.3982642237222758</v>
      </c>
      <c r="AC26" s="6">
        <f t="shared" si="34"/>
        <v>1.2088370154230927</v>
      </c>
      <c r="AD26" s="9">
        <f t="shared" si="35"/>
        <v>65.822784810126578</v>
      </c>
      <c r="AE26" s="4">
        <f>100*(AA26/TOTAL_BASIC!$C$81)</f>
        <v>121.18522153625466</v>
      </c>
      <c r="AF26" s="4">
        <f>100*AC26/TOTAL_BASIC!$C$82</f>
        <v>117.43701037947304</v>
      </c>
      <c r="AG26" s="4">
        <f>100*N26/TOTAL_BASIC!$C$87</f>
        <v>100.62355460385439</v>
      </c>
      <c r="AH26" s="4">
        <f>100*AD26/TOTAL_BASIC!$C$86</f>
        <v>126.7728666041961</v>
      </c>
      <c r="AI26" s="3">
        <f t="shared" si="36"/>
        <v>0.18749999999999997</v>
      </c>
      <c r="AJ26" s="9">
        <f t="shared" si="37"/>
        <v>13.547311379741556</v>
      </c>
      <c r="AM26" s="4">
        <f t="shared" si="42"/>
        <v>56.2</v>
      </c>
      <c r="AN26" s="4">
        <f t="shared" si="43"/>
        <v>52</v>
      </c>
      <c r="AO26" s="4">
        <f t="shared" si="44"/>
        <v>58.3</v>
      </c>
      <c r="AP26" s="4">
        <f t="shared" si="45"/>
        <v>39.5</v>
      </c>
      <c r="AQ26" s="4">
        <f t="shared" si="46"/>
        <v>97.899999999999991</v>
      </c>
      <c r="AR26" s="4">
        <f t="shared" si="47"/>
        <v>0</v>
      </c>
      <c r="AS26" s="4">
        <f t="shared" si="48"/>
        <v>0</v>
      </c>
      <c r="AT26" s="4">
        <f t="shared" si="49"/>
        <v>0</v>
      </c>
      <c r="AU26" s="4">
        <f t="shared" si="50"/>
        <v>37.5</v>
      </c>
      <c r="AV26" s="4">
        <f t="shared" si="50"/>
        <v>33.300000000000004</v>
      </c>
      <c r="AW26" s="4">
        <f t="shared" si="50"/>
        <v>52</v>
      </c>
      <c r="AX26" s="4">
        <f t="shared" si="50"/>
        <v>60.4</v>
      </c>
      <c r="AY26" s="4">
        <f t="shared" si="50"/>
        <v>85.399999999999991</v>
      </c>
      <c r="AZ26" s="4">
        <f t="shared" si="50"/>
        <v>85.399999999999991</v>
      </c>
      <c r="BA26" s="4">
        <f t="shared" si="50"/>
        <v>77</v>
      </c>
      <c r="BB26" s="4">
        <f t="shared" si="40"/>
        <v>56.2</v>
      </c>
      <c r="BC26" s="4">
        <f t="shared" si="41"/>
        <v>37.5</v>
      </c>
      <c r="BD26" s="4">
        <f t="shared" si="17"/>
        <v>45.9</v>
      </c>
      <c r="BE26" s="4">
        <f t="shared" si="18"/>
        <v>89.6</v>
      </c>
      <c r="BF26" s="4">
        <f t="shared" si="19"/>
        <v>72.899999999999991</v>
      </c>
      <c r="BG26" s="4">
        <f t="shared" si="20"/>
        <v>58.3</v>
      </c>
      <c r="BH26" s="4">
        <f t="shared" si="21"/>
        <v>95.8</v>
      </c>
      <c r="BI26" s="4">
        <f t="shared" si="22"/>
        <v>73.900000000000006</v>
      </c>
      <c r="BJ26" s="4">
        <f t="shared" si="23"/>
        <v>97.899999999999991</v>
      </c>
      <c r="BK26" s="4">
        <f t="shared" si="24"/>
        <v>97.899999999999991</v>
      </c>
      <c r="BL26" s="4">
        <f t="shared" si="25"/>
        <v>95.8</v>
      </c>
      <c r="BM26" s="4">
        <f t="shared" si="26"/>
        <v>97.899999999999991</v>
      </c>
      <c r="BN26" s="4">
        <f t="shared" si="27"/>
        <v>52</v>
      </c>
      <c r="BO26" s="4">
        <f t="shared" si="38"/>
        <v>16.700000000000003</v>
      </c>
    </row>
    <row r="27" spans="1:67" x14ac:dyDescent="0.25">
      <c r="A27" s="2">
        <v>25</v>
      </c>
      <c r="B27" s="5" t="s">
        <v>91</v>
      </c>
      <c r="C27" s="2">
        <v>9</v>
      </c>
      <c r="D27" s="9">
        <v>11.2</v>
      </c>
      <c r="E27" s="9">
        <v>10.8</v>
      </c>
      <c r="F27" s="9">
        <v>3.8</v>
      </c>
      <c r="G27" s="9">
        <v>7.8</v>
      </c>
      <c r="H27" s="9">
        <v>48.6</v>
      </c>
      <c r="I27" s="9">
        <v>0.6</v>
      </c>
      <c r="J27" s="9">
        <v>2.1</v>
      </c>
      <c r="K27" s="9">
        <v>26.3</v>
      </c>
      <c r="L27" s="9">
        <v>1.3</v>
      </c>
      <c r="M27" s="9">
        <v>1.9</v>
      </c>
      <c r="N27" s="9">
        <v>70.599999999999994</v>
      </c>
      <c r="O27" s="9">
        <v>1.4</v>
      </c>
      <c r="P27" s="9">
        <v>4.4000000000000004</v>
      </c>
      <c r="Q27" s="9">
        <v>5.9</v>
      </c>
      <c r="R27" s="9">
        <v>1</v>
      </c>
      <c r="S27" s="9">
        <v>0.1</v>
      </c>
      <c r="T27" s="9">
        <v>1.6</v>
      </c>
      <c r="U27" s="9">
        <v>1.8</v>
      </c>
      <c r="V27" s="9">
        <v>3.4</v>
      </c>
      <c r="W27" s="9">
        <f t="shared" si="28"/>
        <v>3.1999999999999997</v>
      </c>
      <c r="X27" s="9">
        <f t="shared" si="29"/>
        <v>5.6999999999999993</v>
      </c>
      <c r="Y27" s="9">
        <f t="shared" si="30"/>
        <v>56.140350877192979</v>
      </c>
      <c r="Z27" s="6">
        <f t="shared" si="31"/>
        <v>0.55555555555555558</v>
      </c>
      <c r="AA27" s="9">
        <f t="shared" si="32"/>
        <v>62.528948587308946</v>
      </c>
      <c r="AB27" s="6">
        <f t="shared" si="33"/>
        <v>1.2505789717461788</v>
      </c>
      <c r="AC27" s="6">
        <f t="shared" si="34"/>
        <v>1.0348792640858566</v>
      </c>
      <c r="AD27" s="9">
        <f t="shared" si="35"/>
        <v>52.564102564102555</v>
      </c>
      <c r="AE27" s="4">
        <f>100*(AA27/TOTAL_BASIC!$C$81)</f>
        <v>108.38558776552347</v>
      </c>
      <c r="AF27" s="4">
        <f>100*AC27/TOTAL_BASIC!$C$82</f>
        <v>100.53723151041631</v>
      </c>
      <c r="AG27" s="4">
        <f>100*N27/TOTAL_BASIC!$C$87</f>
        <v>91.311349036402547</v>
      </c>
      <c r="AH27" s="4">
        <f>100*AD27/TOTAL_BASIC!$C$86</f>
        <v>101.23701058456389</v>
      </c>
      <c r="AI27" s="3">
        <f t="shared" si="36"/>
        <v>0.4705882352941177</v>
      </c>
      <c r="AJ27" s="9">
        <f t="shared" si="37"/>
        <v>17.247987734764276</v>
      </c>
      <c r="AM27" s="4">
        <f t="shared" si="42"/>
        <v>39.5</v>
      </c>
      <c r="AN27" s="4">
        <f t="shared" si="43"/>
        <v>50</v>
      </c>
      <c r="AO27" s="4">
        <f t="shared" si="44"/>
        <v>43.7</v>
      </c>
      <c r="AP27" s="4">
        <f t="shared" si="45"/>
        <v>33.300000000000004</v>
      </c>
      <c r="AQ27" s="4">
        <f t="shared" si="46"/>
        <v>66.600000000000009</v>
      </c>
      <c r="AR27" s="4">
        <f t="shared" si="47"/>
        <v>35.4</v>
      </c>
      <c r="AS27" s="4">
        <f t="shared" si="48"/>
        <v>31.2</v>
      </c>
      <c r="AT27" s="4">
        <f t="shared" si="49"/>
        <v>43.7</v>
      </c>
      <c r="AU27" s="4">
        <f t="shared" si="50"/>
        <v>62.5</v>
      </c>
      <c r="AV27" s="4">
        <f t="shared" si="50"/>
        <v>70.8</v>
      </c>
      <c r="AW27" s="4">
        <f t="shared" si="50"/>
        <v>37.5</v>
      </c>
      <c r="AX27" s="4">
        <f t="shared" si="50"/>
        <v>77</v>
      </c>
      <c r="AY27" s="4">
        <f t="shared" si="50"/>
        <v>64.5</v>
      </c>
      <c r="AZ27" s="4">
        <f t="shared" si="50"/>
        <v>70.8</v>
      </c>
      <c r="BA27" s="4">
        <f t="shared" si="50"/>
        <v>31.2</v>
      </c>
      <c r="BB27" s="4">
        <f t="shared" si="40"/>
        <v>6.2</v>
      </c>
      <c r="BC27" s="4">
        <f t="shared" si="41"/>
        <v>97.899999999999991</v>
      </c>
      <c r="BD27" s="4">
        <f t="shared" si="17"/>
        <v>18.799999999999997</v>
      </c>
      <c r="BE27" s="4">
        <f t="shared" si="18"/>
        <v>8.3999999999999915</v>
      </c>
      <c r="BF27" s="4">
        <f t="shared" si="19"/>
        <v>50</v>
      </c>
      <c r="BG27" s="4">
        <f t="shared" si="20"/>
        <v>41.6</v>
      </c>
      <c r="BH27" s="4">
        <f t="shared" si="21"/>
        <v>62.5</v>
      </c>
      <c r="BI27" s="4">
        <f t="shared" si="22"/>
        <v>13</v>
      </c>
      <c r="BJ27" s="4">
        <f t="shared" si="23"/>
        <v>85.399999999999991</v>
      </c>
      <c r="BK27" s="4">
        <f t="shared" si="24"/>
        <v>85.399999999999991</v>
      </c>
      <c r="BL27" s="4">
        <f t="shared" si="25"/>
        <v>60.4</v>
      </c>
      <c r="BM27" s="4">
        <f t="shared" si="26"/>
        <v>60.4</v>
      </c>
      <c r="BN27" s="4">
        <f t="shared" si="27"/>
        <v>91.600000000000009</v>
      </c>
      <c r="BO27" s="4">
        <f t="shared" si="38"/>
        <v>8.3999999999999915</v>
      </c>
    </row>
    <row r="28" spans="1:67" x14ac:dyDescent="0.25">
      <c r="A28" s="2">
        <v>26</v>
      </c>
      <c r="B28" s="5" t="s">
        <v>93</v>
      </c>
      <c r="C28" s="2">
        <v>10</v>
      </c>
      <c r="D28" s="9">
        <v>16.399999999999999</v>
      </c>
      <c r="E28" s="9">
        <v>9.9</v>
      </c>
      <c r="F28" s="9">
        <v>3.6</v>
      </c>
      <c r="G28" s="9">
        <v>8.1999999999999993</v>
      </c>
      <c r="H28" s="9">
        <v>43.9</v>
      </c>
      <c r="I28" s="9">
        <v>1.7</v>
      </c>
      <c r="J28" s="9">
        <v>4.0999999999999996</v>
      </c>
      <c r="K28" s="9">
        <v>41.5</v>
      </c>
      <c r="L28" s="9">
        <v>0.5</v>
      </c>
      <c r="M28" s="9">
        <v>0.6</v>
      </c>
      <c r="N28" s="9">
        <v>83.3</v>
      </c>
      <c r="O28" s="9">
        <v>0.4</v>
      </c>
      <c r="P28" s="9">
        <v>3.9</v>
      </c>
      <c r="Q28" s="9">
        <v>4.3</v>
      </c>
      <c r="R28" s="9">
        <v>3.9</v>
      </c>
      <c r="S28" s="9">
        <v>0.4</v>
      </c>
      <c r="T28" s="9">
        <v>0.3</v>
      </c>
      <c r="U28" s="9">
        <v>1.2</v>
      </c>
      <c r="V28" s="9">
        <v>2.9</v>
      </c>
      <c r="W28" s="9">
        <f t="shared" si="28"/>
        <v>1.9000000000000001</v>
      </c>
      <c r="X28" s="9">
        <f t="shared" si="29"/>
        <v>4.0999999999999996</v>
      </c>
      <c r="Y28" s="9">
        <f t="shared" si="30"/>
        <v>46.341463414634156</v>
      </c>
      <c r="Z28" s="6">
        <f t="shared" si="31"/>
        <v>3.25</v>
      </c>
      <c r="AA28" s="9">
        <f t="shared" si="32"/>
        <v>58.482986767485833</v>
      </c>
      <c r="AB28" s="6">
        <f t="shared" si="33"/>
        <v>1.1696597353497167</v>
      </c>
      <c r="AC28" s="6">
        <f t="shared" si="34"/>
        <v>1.0244205298013247</v>
      </c>
      <c r="AD28" s="9">
        <f t="shared" si="35"/>
        <v>54.268292682926834</v>
      </c>
      <c r="AE28" s="4">
        <f>100*(AA28/TOTAL_BASIC!$C$81)</f>
        <v>101.3724528923841</v>
      </c>
      <c r="AF28" s="4">
        <f>100*AC28/TOTAL_BASIC!$C$82</f>
        <v>99.521178501567277</v>
      </c>
      <c r="AG28" s="4">
        <f>100*N28/TOTAL_BASIC!$C$87</f>
        <v>107.73704496788008</v>
      </c>
      <c r="AH28" s="4">
        <f>100*AD28/TOTAL_BASIC!$C$86</f>
        <v>104.51923371178505</v>
      </c>
      <c r="AI28" s="3">
        <f t="shared" si="36"/>
        <v>0.10344827586206896</v>
      </c>
      <c r="AJ28" s="9">
        <f t="shared" si="37"/>
        <v>12.41721854304636</v>
      </c>
      <c r="AM28" s="4">
        <f t="shared" si="42"/>
        <v>75</v>
      </c>
      <c r="AN28" s="4">
        <f t="shared" si="43"/>
        <v>45.800000000000004</v>
      </c>
      <c r="AO28" s="4">
        <f t="shared" si="44"/>
        <v>41.6</v>
      </c>
      <c r="AP28" s="4">
        <f t="shared" si="45"/>
        <v>41.6</v>
      </c>
      <c r="AQ28" s="4">
        <f t="shared" si="46"/>
        <v>43.7</v>
      </c>
      <c r="AR28" s="4">
        <f t="shared" si="47"/>
        <v>79.100000000000009</v>
      </c>
      <c r="AS28" s="4">
        <f t="shared" si="48"/>
        <v>70.8</v>
      </c>
      <c r="AT28" s="4">
        <f t="shared" si="49"/>
        <v>93.7</v>
      </c>
      <c r="AU28" s="4">
        <f t="shared" si="50"/>
        <v>29.099999999999998</v>
      </c>
      <c r="AV28" s="4">
        <f t="shared" si="50"/>
        <v>25</v>
      </c>
      <c r="AW28" s="4">
        <f t="shared" si="50"/>
        <v>60.4</v>
      </c>
      <c r="AX28" s="4">
        <f t="shared" si="50"/>
        <v>8.3000000000000007</v>
      </c>
      <c r="AY28" s="4">
        <f t="shared" si="50"/>
        <v>56.2</v>
      </c>
      <c r="AZ28" s="4">
        <f t="shared" si="50"/>
        <v>43.7</v>
      </c>
      <c r="BA28" s="4">
        <f t="shared" si="50"/>
        <v>87.5</v>
      </c>
      <c r="BB28" s="4">
        <f t="shared" si="40"/>
        <v>31.2</v>
      </c>
      <c r="BC28" s="4">
        <f t="shared" si="41"/>
        <v>37.5</v>
      </c>
      <c r="BD28" s="4">
        <f t="shared" si="17"/>
        <v>54.199999999999996</v>
      </c>
      <c r="BE28" s="4">
        <f t="shared" si="18"/>
        <v>29.200000000000003</v>
      </c>
      <c r="BF28" s="4">
        <f t="shared" si="19"/>
        <v>18.7</v>
      </c>
      <c r="BG28" s="4">
        <f t="shared" si="20"/>
        <v>25</v>
      </c>
      <c r="BH28" s="4">
        <f t="shared" si="21"/>
        <v>29.099999999999998</v>
      </c>
      <c r="BI28" s="4">
        <f t="shared" si="22"/>
        <v>89.1</v>
      </c>
      <c r="BJ28" s="4">
        <f t="shared" si="23"/>
        <v>60.4</v>
      </c>
      <c r="BK28" s="4">
        <f t="shared" si="24"/>
        <v>60.4</v>
      </c>
      <c r="BL28" s="4">
        <f t="shared" si="25"/>
        <v>56.2</v>
      </c>
      <c r="BM28" s="4">
        <f t="shared" si="26"/>
        <v>66.600000000000009</v>
      </c>
      <c r="BN28" s="4">
        <f t="shared" si="27"/>
        <v>39.5</v>
      </c>
      <c r="BO28" s="4">
        <f t="shared" si="38"/>
        <v>33.399999999999991</v>
      </c>
    </row>
    <row r="29" spans="1:67" x14ac:dyDescent="0.25">
      <c r="A29" s="2">
        <v>27</v>
      </c>
      <c r="B29" s="5" t="s">
        <v>94</v>
      </c>
      <c r="C29" s="2">
        <v>8</v>
      </c>
      <c r="D29" s="9">
        <v>10.5</v>
      </c>
      <c r="E29" s="9">
        <v>9.9</v>
      </c>
      <c r="F29" s="9">
        <v>3.8</v>
      </c>
      <c r="G29" s="9">
        <v>9.6</v>
      </c>
      <c r="H29" s="9">
        <v>39</v>
      </c>
      <c r="I29" s="9">
        <v>0.9</v>
      </c>
      <c r="J29" s="9">
        <v>3.3</v>
      </c>
      <c r="K29" s="9">
        <v>26.9</v>
      </c>
      <c r="L29" s="9">
        <v>0.9</v>
      </c>
      <c r="M29" s="9">
        <v>0.9</v>
      </c>
      <c r="N29" s="9">
        <v>100</v>
      </c>
      <c r="O29" s="9">
        <v>1.8</v>
      </c>
      <c r="P29" s="9">
        <v>4.5</v>
      </c>
      <c r="Q29" s="9">
        <v>6.3</v>
      </c>
      <c r="R29" s="9">
        <v>1.5</v>
      </c>
      <c r="S29" s="9">
        <v>0.3</v>
      </c>
      <c r="T29" s="9">
        <v>0.4</v>
      </c>
      <c r="U29" s="9">
        <v>0.6</v>
      </c>
      <c r="V29" s="9">
        <v>1.5</v>
      </c>
      <c r="W29" s="9">
        <f t="shared" si="28"/>
        <v>2.9</v>
      </c>
      <c r="X29" s="9">
        <f t="shared" si="29"/>
        <v>6.3</v>
      </c>
      <c r="Y29" s="9">
        <f t="shared" si="30"/>
        <v>46.031746031746032</v>
      </c>
      <c r="Z29" s="6">
        <f t="shared" si="31"/>
        <v>2.5</v>
      </c>
      <c r="AA29" s="9">
        <f t="shared" si="32"/>
        <v>49.519807923169267</v>
      </c>
      <c r="AB29" s="6">
        <f t="shared" si="33"/>
        <v>0.99039615846338536</v>
      </c>
      <c r="AC29" s="6">
        <f t="shared" si="34"/>
        <v>0.93431483578708951</v>
      </c>
      <c r="AD29" s="9">
        <f t="shared" si="35"/>
        <v>44.270833333333336</v>
      </c>
      <c r="AE29" s="4">
        <f>100*(AA29/TOTAL_BASIC!$C$81)</f>
        <v>85.835978519521689</v>
      </c>
      <c r="AF29" s="4">
        <f>100*AC29/TOTAL_BASIC!$C$82</f>
        <v>90.767522559375792</v>
      </c>
      <c r="AG29" s="4">
        <f>100*N29/TOTAL_BASIC!$C$87</f>
        <v>129.33618843683084</v>
      </c>
      <c r="AH29" s="4">
        <f>100*AD29/TOTAL_BASIC!$C$86</f>
        <v>85.264402969468847</v>
      </c>
      <c r="AI29" s="3">
        <f t="shared" si="36"/>
        <v>0.26666666666666666</v>
      </c>
      <c r="AJ29" s="9">
        <f t="shared" si="37"/>
        <v>5.6625141562853907</v>
      </c>
      <c r="AM29" s="4">
        <f t="shared" si="42"/>
        <v>37.5</v>
      </c>
      <c r="AN29" s="4">
        <f t="shared" si="43"/>
        <v>45.800000000000004</v>
      </c>
      <c r="AO29" s="4">
        <f t="shared" si="44"/>
        <v>43.7</v>
      </c>
      <c r="AP29" s="4">
        <f t="shared" si="45"/>
        <v>54.1</v>
      </c>
      <c r="AQ29" s="4">
        <f t="shared" si="46"/>
        <v>20.8</v>
      </c>
      <c r="AR29" s="4">
        <f t="shared" si="47"/>
        <v>50</v>
      </c>
      <c r="AS29" s="4">
        <f t="shared" si="48"/>
        <v>58.3</v>
      </c>
      <c r="AT29" s="4">
        <f t="shared" si="49"/>
        <v>50</v>
      </c>
      <c r="AU29" s="4">
        <f t="shared" si="50"/>
        <v>41.6</v>
      </c>
      <c r="AV29" s="4">
        <f t="shared" si="50"/>
        <v>33.300000000000004</v>
      </c>
      <c r="AW29" s="4">
        <f t="shared" si="50"/>
        <v>89.5</v>
      </c>
      <c r="AX29" s="4">
        <f t="shared" si="50"/>
        <v>87.5</v>
      </c>
      <c r="AY29" s="4">
        <f t="shared" si="50"/>
        <v>68.7</v>
      </c>
      <c r="AZ29" s="4">
        <f t="shared" si="50"/>
        <v>72.899999999999991</v>
      </c>
      <c r="BA29" s="4">
        <f t="shared" si="50"/>
        <v>45.800000000000004</v>
      </c>
      <c r="BB29" s="4">
        <f t="shared" si="40"/>
        <v>20.8</v>
      </c>
      <c r="BC29" s="4">
        <f t="shared" si="41"/>
        <v>54.1</v>
      </c>
      <c r="BD29" s="4">
        <f t="shared" si="17"/>
        <v>89.6</v>
      </c>
      <c r="BE29" s="4">
        <f t="shared" si="18"/>
        <v>91.7</v>
      </c>
      <c r="BF29" s="4">
        <f t="shared" ref="BF29:BF48" si="51">(PERCENTRANK(W$3:W$78,W29))*100</f>
        <v>39.5</v>
      </c>
      <c r="BG29" s="4">
        <f t="shared" ref="BG29:BG51" si="52">(PERCENTRANK(X$3:X$78,X29))*100</f>
        <v>47.9</v>
      </c>
      <c r="BH29" s="4">
        <f t="shared" ref="BH29:BH51" si="53">(PERCENTRANK(Y$3:Y$78,Y29))*100</f>
        <v>25</v>
      </c>
      <c r="BI29" s="4">
        <f t="shared" ref="BI29:BI51" si="54">(PERCENTRANK(Z$3:Z$78,Z29))*100</f>
        <v>76</v>
      </c>
      <c r="BJ29" s="4">
        <f t="shared" ref="BJ29:BJ51" si="55">(PERCENTRANK(AA$3:AA$78,AA29))*100</f>
        <v>18.7</v>
      </c>
      <c r="BK29" s="4">
        <f t="shared" ref="BK29:BK51" si="56">(PERCENTRANK(AB$3:AB$78,AB29))*100</f>
        <v>18.7</v>
      </c>
      <c r="BL29" s="4">
        <f t="shared" ref="BL29:BL51" si="57">(PERCENTRANK(AC$3:AC$78,AC29))*100</f>
        <v>22.900000000000002</v>
      </c>
      <c r="BM29" s="4">
        <f t="shared" ref="BM29:BM51" si="58">(PERCENTRANK(AD$3:AD$78,AD29))*100</f>
        <v>20.8</v>
      </c>
      <c r="BN29" s="4">
        <f t="shared" si="27"/>
        <v>70.8</v>
      </c>
      <c r="BO29" s="4">
        <f t="shared" si="38"/>
        <v>91.7</v>
      </c>
    </row>
    <row r="30" spans="1:67" x14ac:dyDescent="0.25">
      <c r="A30" s="2">
        <v>28</v>
      </c>
      <c r="B30" s="5" t="s">
        <v>98</v>
      </c>
      <c r="C30" s="2">
        <v>10</v>
      </c>
      <c r="D30" s="9">
        <v>12.8</v>
      </c>
      <c r="E30" s="9">
        <v>9.6999999999999993</v>
      </c>
      <c r="F30" s="9">
        <v>3.5</v>
      </c>
      <c r="G30" s="9">
        <v>7.7</v>
      </c>
      <c r="H30" s="9">
        <v>45.5</v>
      </c>
      <c r="I30" s="9">
        <v>1</v>
      </c>
      <c r="J30" s="9">
        <v>4</v>
      </c>
      <c r="K30" s="9">
        <v>25</v>
      </c>
      <c r="L30" s="9">
        <v>0.9</v>
      </c>
      <c r="M30" s="9">
        <v>1.6</v>
      </c>
      <c r="N30" s="9">
        <v>56.3</v>
      </c>
      <c r="O30" s="9">
        <v>1.8</v>
      </c>
      <c r="P30" s="9">
        <v>5.2</v>
      </c>
      <c r="Q30" s="9">
        <v>7</v>
      </c>
      <c r="R30" s="9">
        <v>0.9</v>
      </c>
      <c r="S30" s="9">
        <v>0.7</v>
      </c>
      <c r="T30" s="9">
        <v>0.4</v>
      </c>
      <c r="U30" s="9">
        <v>1.3</v>
      </c>
      <c r="V30" s="9">
        <v>1.7</v>
      </c>
      <c r="W30" s="9">
        <f t="shared" si="28"/>
        <v>2.5</v>
      </c>
      <c r="X30" s="9">
        <f t="shared" si="29"/>
        <v>3.7</v>
      </c>
      <c r="Y30" s="9">
        <f t="shared" si="30"/>
        <v>67.567567567567565</v>
      </c>
      <c r="Z30" s="6">
        <f t="shared" si="31"/>
        <v>0.69230769230769229</v>
      </c>
      <c r="AA30" s="9">
        <f t="shared" si="32"/>
        <v>57.710613993336501</v>
      </c>
      <c r="AB30" s="6">
        <f t="shared" si="33"/>
        <v>1.15421227986673</v>
      </c>
      <c r="AC30" s="6">
        <f t="shared" si="34"/>
        <v>0.99958779884583659</v>
      </c>
      <c r="AD30" s="9">
        <f t="shared" si="35"/>
        <v>51.948051948051948</v>
      </c>
      <c r="AE30" s="4">
        <f>100*(AA30/TOTAL_BASIC!$C$81)</f>
        <v>100.0336477630547</v>
      </c>
      <c r="AF30" s="4">
        <f>100*AC30/TOTAL_BASIC!$C$82</f>
        <v>97.108709619689407</v>
      </c>
      <c r="AG30" s="4">
        <f>100*N30/TOTAL_BASIC!$C$87</f>
        <v>72.81627408993576</v>
      </c>
      <c r="AH30" s="4">
        <f>100*AD30/TOTAL_BASIC!$C$86</f>
        <v>100.0505141032117</v>
      </c>
      <c r="AI30" s="3">
        <f t="shared" si="36"/>
        <v>0.23529411764705885</v>
      </c>
      <c r="AJ30" s="9">
        <f t="shared" si="37"/>
        <v>13.396537510305029</v>
      </c>
      <c r="AM30" s="4">
        <f t="shared" si="42"/>
        <v>50</v>
      </c>
      <c r="AN30" s="4">
        <f t="shared" si="43"/>
        <v>43.7</v>
      </c>
      <c r="AO30" s="4">
        <f t="shared" si="44"/>
        <v>39.5</v>
      </c>
      <c r="AP30" s="4">
        <f t="shared" si="45"/>
        <v>31.2</v>
      </c>
      <c r="AQ30" s="4">
        <f t="shared" si="46"/>
        <v>45.800000000000004</v>
      </c>
      <c r="AR30" s="4">
        <f t="shared" si="47"/>
        <v>58.3</v>
      </c>
      <c r="AS30" s="4">
        <f t="shared" si="48"/>
        <v>68.7</v>
      </c>
      <c r="AT30" s="4">
        <f t="shared" si="49"/>
        <v>37.5</v>
      </c>
      <c r="AU30" s="4">
        <f t="shared" si="50"/>
        <v>41.6</v>
      </c>
      <c r="AV30" s="4">
        <f t="shared" si="50"/>
        <v>58.3</v>
      </c>
      <c r="AW30" s="4">
        <f t="shared" si="50"/>
        <v>20.8</v>
      </c>
      <c r="AX30" s="4">
        <f t="shared" si="50"/>
        <v>87.5</v>
      </c>
      <c r="AY30" s="4">
        <f t="shared" si="50"/>
        <v>75</v>
      </c>
      <c r="AZ30" s="4">
        <f t="shared" si="50"/>
        <v>81.2</v>
      </c>
      <c r="BA30" s="4">
        <f t="shared" si="50"/>
        <v>27</v>
      </c>
      <c r="BB30" s="4">
        <f t="shared" si="40"/>
        <v>52</v>
      </c>
      <c r="BC30" s="4">
        <f t="shared" si="41"/>
        <v>54.1</v>
      </c>
      <c r="BD30" s="4">
        <f t="shared" si="17"/>
        <v>45.9</v>
      </c>
      <c r="BE30" s="4">
        <f t="shared" si="18"/>
        <v>85.5</v>
      </c>
      <c r="BF30" s="4">
        <f t="shared" si="51"/>
        <v>37.5</v>
      </c>
      <c r="BG30" s="4">
        <f t="shared" si="52"/>
        <v>20.8</v>
      </c>
      <c r="BH30" s="4">
        <f t="shared" si="53"/>
        <v>97.899999999999991</v>
      </c>
      <c r="BI30" s="4">
        <f t="shared" si="54"/>
        <v>28.199999999999996</v>
      </c>
      <c r="BJ30" s="4">
        <f t="shared" si="55"/>
        <v>56.2</v>
      </c>
      <c r="BK30" s="4">
        <f t="shared" si="56"/>
        <v>56.2</v>
      </c>
      <c r="BL30" s="4">
        <f t="shared" si="57"/>
        <v>47.9</v>
      </c>
      <c r="BM30" s="4">
        <f t="shared" si="58"/>
        <v>56.2</v>
      </c>
      <c r="BN30" s="4">
        <f t="shared" si="27"/>
        <v>66.600000000000009</v>
      </c>
      <c r="BO30" s="4">
        <f t="shared" si="38"/>
        <v>18.799999999999997</v>
      </c>
    </row>
    <row r="31" spans="1:67" x14ac:dyDescent="0.25">
      <c r="A31" s="2">
        <v>29</v>
      </c>
      <c r="B31" s="5" t="s">
        <v>97</v>
      </c>
      <c r="C31" s="2">
        <v>9</v>
      </c>
      <c r="D31" s="9">
        <v>9.3000000000000007</v>
      </c>
      <c r="E31" s="9">
        <v>9.3000000000000007</v>
      </c>
      <c r="F31" s="9">
        <v>3.9</v>
      </c>
      <c r="G31" s="9">
        <v>7.8</v>
      </c>
      <c r="H31" s="9">
        <v>50</v>
      </c>
      <c r="I31" s="9">
        <v>0.9</v>
      </c>
      <c r="J31" s="9">
        <v>2.7</v>
      </c>
      <c r="K31" s="9">
        <v>33.299999999999997</v>
      </c>
      <c r="L31" s="9">
        <v>0.3</v>
      </c>
      <c r="M31" s="9">
        <v>0.6</v>
      </c>
      <c r="N31" s="9">
        <v>60</v>
      </c>
      <c r="O31" s="9">
        <v>0.9</v>
      </c>
      <c r="P31" s="9">
        <v>2.7</v>
      </c>
      <c r="Q31" s="9">
        <v>3.6</v>
      </c>
      <c r="R31" s="9">
        <v>0.3</v>
      </c>
      <c r="S31" s="9">
        <v>0.4</v>
      </c>
      <c r="T31" s="9">
        <v>0</v>
      </c>
      <c r="U31" s="9">
        <v>0.9</v>
      </c>
      <c r="V31" s="9">
        <v>2</v>
      </c>
      <c r="W31" s="9">
        <f t="shared" si="28"/>
        <v>3</v>
      </c>
      <c r="X31" s="9">
        <f t="shared" si="29"/>
        <v>5.0999999999999996</v>
      </c>
      <c r="Y31" s="9">
        <f t="shared" si="30"/>
        <v>58.82352941176471</v>
      </c>
      <c r="Z31" s="6">
        <f t="shared" si="31"/>
        <v>0.33333333333333331</v>
      </c>
      <c r="AA31" s="9">
        <f t="shared" si="32"/>
        <v>57.663690476190482</v>
      </c>
      <c r="AB31" s="6">
        <f t="shared" si="33"/>
        <v>1.1532738095238095</v>
      </c>
      <c r="AC31" s="6">
        <f t="shared" si="34"/>
        <v>1.0374832663989291</v>
      </c>
      <c r="AD31" s="9">
        <f t="shared" si="35"/>
        <v>55.769230769230766</v>
      </c>
      <c r="AE31" s="4">
        <f>100*(AA31/TOTAL_BASIC!$C$81)</f>
        <v>99.952312108117283</v>
      </c>
      <c r="AF31" s="4">
        <f>100*AC31/TOTAL_BASIC!$C$82</f>
        <v>100.79020709171205</v>
      </c>
      <c r="AG31" s="4">
        <f>100*N31/TOTAL_BASIC!$C$87</f>
        <v>77.601713062098497</v>
      </c>
      <c r="AH31" s="4">
        <f>100*AD31/TOTAL_BASIC!$C$86</f>
        <v>107.40999903484217</v>
      </c>
      <c r="AI31" s="3">
        <f t="shared" si="36"/>
        <v>0</v>
      </c>
      <c r="AJ31" s="9">
        <f t="shared" si="37"/>
        <v>10.04016064257028</v>
      </c>
      <c r="AM31" s="4">
        <f t="shared" si="42"/>
        <v>20.8</v>
      </c>
      <c r="AN31" s="4">
        <f t="shared" si="43"/>
        <v>41.6</v>
      </c>
      <c r="AO31" s="4">
        <f t="shared" si="44"/>
        <v>47.9</v>
      </c>
      <c r="AP31" s="4">
        <f t="shared" si="45"/>
        <v>33.300000000000004</v>
      </c>
      <c r="AQ31" s="4">
        <f t="shared" si="46"/>
        <v>70.8</v>
      </c>
      <c r="AR31" s="4">
        <f t="shared" si="47"/>
        <v>50</v>
      </c>
      <c r="AS31" s="4">
        <f t="shared" si="48"/>
        <v>41.6</v>
      </c>
      <c r="AT31" s="4">
        <f t="shared" si="49"/>
        <v>62.5</v>
      </c>
      <c r="AU31" s="4">
        <f t="shared" si="50"/>
        <v>16.600000000000001</v>
      </c>
      <c r="AV31" s="4">
        <f t="shared" si="50"/>
        <v>25</v>
      </c>
      <c r="AW31" s="4">
        <f t="shared" si="50"/>
        <v>25</v>
      </c>
      <c r="AX31" s="4">
        <f t="shared" si="50"/>
        <v>45.800000000000004</v>
      </c>
      <c r="AY31" s="4">
        <f t="shared" si="50"/>
        <v>31.2</v>
      </c>
      <c r="AZ31" s="4">
        <f t="shared" si="50"/>
        <v>33.300000000000004</v>
      </c>
      <c r="BA31" s="4">
        <f t="shared" si="50"/>
        <v>8.3000000000000007</v>
      </c>
      <c r="BB31" s="4">
        <f t="shared" si="40"/>
        <v>31.2</v>
      </c>
      <c r="BC31" s="4">
        <f t="shared" si="41"/>
        <v>0</v>
      </c>
      <c r="BD31" s="4">
        <f t="shared" si="17"/>
        <v>77.099999999999994</v>
      </c>
      <c r="BE31" s="4">
        <f t="shared" si="18"/>
        <v>75</v>
      </c>
      <c r="BF31" s="4">
        <f t="shared" si="51"/>
        <v>45.800000000000004</v>
      </c>
      <c r="BG31" s="4">
        <f t="shared" si="52"/>
        <v>37.5</v>
      </c>
      <c r="BH31" s="4">
        <f t="shared" si="53"/>
        <v>72.899999999999991</v>
      </c>
      <c r="BI31" s="4">
        <f t="shared" si="54"/>
        <v>4.3</v>
      </c>
      <c r="BJ31" s="4">
        <f t="shared" si="55"/>
        <v>54.1</v>
      </c>
      <c r="BK31" s="4">
        <f t="shared" si="56"/>
        <v>54.1</v>
      </c>
      <c r="BL31" s="4">
        <f t="shared" si="57"/>
        <v>62.5</v>
      </c>
      <c r="BM31" s="4">
        <f t="shared" si="58"/>
        <v>79.100000000000009</v>
      </c>
      <c r="BN31" s="4">
        <f t="shared" si="27"/>
        <v>0</v>
      </c>
      <c r="BO31" s="4">
        <f t="shared" si="38"/>
        <v>58.4</v>
      </c>
    </row>
    <row r="32" spans="1:67" x14ac:dyDescent="0.25">
      <c r="A32" s="2">
        <v>30</v>
      </c>
      <c r="B32" s="5" t="s">
        <v>96</v>
      </c>
      <c r="C32" s="2">
        <v>7</v>
      </c>
      <c r="D32" s="9">
        <v>11.6</v>
      </c>
      <c r="E32" s="9">
        <v>9.1</v>
      </c>
      <c r="F32" s="9">
        <v>4.3</v>
      </c>
      <c r="G32" s="9">
        <v>8.4</v>
      </c>
      <c r="H32" s="9">
        <v>50.8</v>
      </c>
      <c r="I32" s="9">
        <v>0.1</v>
      </c>
      <c r="J32" s="9">
        <v>1.4</v>
      </c>
      <c r="K32" s="9">
        <v>10</v>
      </c>
      <c r="L32" s="9">
        <v>0.3</v>
      </c>
      <c r="M32" s="9">
        <v>0.4</v>
      </c>
      <c r="N32" s="9">
        <v>66.7</v>
      </c>
      <c r="O32" s="9">
        <v>0.7</v>
      </c>
      <c r="P32" s="9">
        <v>5.6</v>
      </c>
      <c r="Q32" s="9">
        <v>6.3</v>
      </c>
      <c r="R32" s="9">
        <v>1.1000000000000001</v>
      </c>
      <c r="S32" s="9">
        <v>0.6</v>
      </c>
      <c r="T32" s="9">
        <v>1</v>
      </c>
      <c r="U32" s="9">
        <v>1.1000000000000001</v>
      </c>
      <c r="V32" s="9">
        <v>3.1</v>
      </c>
      <c r="W32" s="9">
        <f t="shared" si="28"/>
        <v>4.2</v>
      </c>
      <c r="X32" s="9">
        <f t="shared" si="29"/>
        <v>7</v>
      </c>
      <c r="Y32" s="9">
        <f t="shared" si="30"/>
        <v>60</v>
      </c>
      <c r="Z32" s="6">
        <f t="shared" si="31"/>
        <v>1</v>
      </c>
      <c r="AA32" s="9">
        <f t="shared" si="32"/>
        <v>53.055037313432834</v>
      </c>
      <c r="AB32" s="6">
        <f t="shared" si="33"/>
        <v>1.0611007462686566</v>
      </c>
      <c r="AC32" s="6">
        <f t="shared" si="34"/>
        <v>0.94047126911947077</v>
      </c>
      <c r="AD32" s="9">
        <f t="shared" si="35"/>
        <v>51.785714285714278</v>
      </c>
      <c r="AE32" s="4">
        <f>100*(AA32/TOTAL_BASIC!$C$81)</f>
        <v>91.963826884261962</v>
      </c>
      <c r="AF32" s="4">
        <f>100*AC32/TOTAL_BASIC!$C$82</f>
        <v>91.365612389461234</v>
      </c>
      <c r="AG32" s="4">
        <f>100*N32/TOTAL_BASIC!$C$87</f>
        <v>86.267237687366162</v>
      </c>
      <c r="AH32" s="4">
        <f>100*AD32/TOTAL_BASIC!$C$86</f>
        <v>99.737856246639154</v>
      </c>
      <c r="AI32" s="3">
        <f t="shared" si="36"/>
        <v>0.32258064516129031</v>
      </c>
      <c r="AJ32" s="9">
        <f t="shared" si="37"/>
        <v>11.368334022323275</v>
      </c>
      <c r="AM32" s="4">
        <f t="shared" si="42"/>
        <v>43.7</v>
      </c>
      <c r="AN32" s="4">
        <f t="shared" si="43"/>
        <v>37.5</v>
      </c>
      <c r="AO32" s="4">
        <f t="shared" si="44"/>
        <v>52</v>
      </c>
      <c r="AP32" s="4">
        <f t="shared" si="45"/>
        <v>45.800000000000004</v>
      </c>
      <c r="AQ32" s="4">
        <f t="shared" si="46"/>
        <v>75</v>
      </c>
      <c r="AR32" s="4">
        <f t="shared" si="47"/>
        <v>10.4</v>
      </c>
      <c r="AS32" s="4">
        <f t="shared" si="48"/>
        <v>18.7</v>
      </c>
      <c r="AT32" s="4">
        <f t="shared" si="49"/>
        <v>10.4</v>
      </c>
      <c r="AU32" s="4">
        <f t="shared" si="50"/>
        <v>16.600000000000001</v>
      </c>
      <c r="AV32" s="4">
        <f t="shared" si="50"/>
        <v>14.499999999999998</v>
      </c>
      <c r="AW32" s="4">
        <f t="shared" si="50"/>
        <v>33.300000000000004</v>
      </c>
      <c r="AX32" s="4">
        <f t="shared" si="50"/>
        <v>29.099999999999998</v>
      </c>
      <c r="AY32" s="4">
        <f t="shared" si="50"/>
        <v>77</v>
      </c>
      <c r="AZ32" s="4">
        <f t="shared" si="50"/>
        <v>72.899999999999991</v>
      </c>
      <c r="BA32" s="4">
        <f t="shared" si="50"/>
        <v>33.300000000000004</v>
      </c>
      <c r="BB32" s="4">
        <f t="shared" si="40"/>
        <v>43.7</v>
      </c>
      <c r="BC32" s="4">
        <f t="shared" si="41"/>
        <v>87.5</v>
      </c>
      <c r="BD32" s="4">
        <f t="shared" si="17"/>
        <v>58.4</v>
      </c>
      <c r="BE32" s="4">
        <f t="shared" si="18"/>
        <v>20.899999999999991</v>
      </c>
      <c r="BF32" s="4">
        <f t="shared" si="51"/>
        <v>56.2</v>
      </c>
      <c r="BG32" s="4">
        <f t="shared" si="52"/>
        <v>52</v>
      </c>
      <c r="BH32" s="4">
        <f t="shared" si="53"/>
        <v>83.3</v>
      </c>
      <c r="BI32" s="4">
        <f t="shared" si="54"/>
        <v>39.1</v>
      </c>
      <c r="BJ32" s="4">
        <f t="shared" si="55"/>
        <v>33.300000000000004</v>
      </c>
      <c r="BK32" s="4">
        <f t="shared" si="56"/>
        <v>33.300000000000004</v>
      </c>
      <c r="BL32" s="4">
        <f t="shared" si="57"/>
        <v>27</v>
      </c>
      <c r="BM32" s="4">
        <f t="shared" si="58"/>
        <v>54.1</v>
      </c>
      <c r="BN32" s="4">
        <f t="shared" si="27"/>
        <v>79.100000000000009</v>
      </c>
      <c r="BO32" s="4">
        <f t="shared" si="38"/>
        <v>45.9</v>
      </c>
    </row>
    <row r="33" spans="1:67" x14ac:dyDescent="0.25">
      <c r="A33" s="2">
        <v>31</v>
      </c>
      <c r="B33" s="5" t="s">
        <v>101</v>
      </c>
      <c r="C33" s="2">
        <v>10</v>
      </c>
      <c r="D33" s="9">
        <v>14.8</v>
      </c>
      <c r="E33" s="9">
        <v>9.1</v>
      </c>
      <c r="F33" s="9">
        <v>3.2</v>
      </c>
      <c r="G33" s="9">
        <v>8.3000000000000007</v>
      </c>
      <c r="H33" s="9">
        <v>38.6</v>
      </c>
      <c r="I33" s="9">
        <v>0.8</v>
      </c>
      <c r="J33" s="9">
        <v>3.3</v>
      </c>
      <c r="K33" s="9">
        <v>24.2</v>
      </c>
      <c r="L33" s="9">
        <v>1.1000000000000001</v>
      </c>
      <c r="M33" s="9">
        <v>1.5</v>
      </c>
      <c r="N33" s="9">
        <v>73.3</v>
      </c>
      <c r="O33" s="9">
        <v>1.6</v>
      </c>
      <c r="P33" s="9">
        <v>3.3</v>
      </c>
      <c r="Q33" s="9">
        <v>4.9000000000000004</v>
      </c>
      <c r="R33" s="9">
        <v>3.5</v>
      </c>
      <c r="S33" s="9">
        <v>1.8</v>
      </c>
      <c r="T33" s="9">
        <v>0.5</v>
      </c>
      <c r="U33" s="9">
        <v>0.6</v>
      </c>
      <c r="V33" s="9">
        <v>2.4</v>
      </c>
      <c r="W33" s="9">
        <f t="shared" si="28"/>
        <v>2.4000000000000004</v>
      </c>
      <c r="X33" s="9">
        <f t="shared" si="29"/>
        <v>5.0000000000000009</v>
      </c>
      <c r="Y33" s="9">
        <f t="shared" si="30"/>
        <v>48</v>
      </c>
      <c r="Z33" s="6">
        <f t="shared" si="31"/>
        <v>5.8333333333333339</v>
      </c>
      <c r="AA33" s="9">
        <f t="shared" si="32"/>
        <v>50.781249999999993</v>
      </c>
      <c r="AB33" s="6">
        <f t="shared" si="33"/>
        <v>1.0156249999999998</v>
      </c>
      <c r="AC33" s="6">
        <f t="shared" si="34"/>
        <v>0.95188284518828448</v>
      </c>
      <c r="AD33" s="9">
        <f t="shared" si="35"/>
        <v>43.373493975903614</v>
      </c>
      <c r="AE33" s="4">
        <f>100*(AA33/TOTAL_BASIC!$C$81)</f>
        <v>88.022520017793582</v>
      </c>
      <c r="AF33" s="4">
        <f>100*AC33/TOTAL_BASIC!$C$82</f>
        <v>92.47423279083965</v>
      </c>
      <c r="AG33" s="4">
        <f>100*N33/TOTAL_BASIC!$C$87</f>
        <v>94.803426124197003</v>
      </c>
      <c r="AH33" s="4">
        <f>100*AD33/TOTAL_BASIC!$C$86</f>
        <v>83.536152136777972</v>
      </c>
      <c r="AI33" s="3">
        <f t="shared" si="36"/>
        <v>0.20833333333333334</v>
      </c>
      <c r="AJ33" s="9">
        <f t="shared" si="37"/>
        <v>6.2761506276150625</v>
      </c>
      <c r="AM33" s="4">
        <f t="shared" si="42"/>
        <v>60.4</v>
      </c>
      <c r="AN33" s="4">
        <f t="shared" si="43"/>
        <v>37.5</v>
      </c>
      <c r="AO33" s="4">
        <f t="shared" si="44"/>
        <v>29.099999999999998</v>
      </c>
      <c r="AP33" s="4">
        <f t="shared" si="45"/>
        <v>43.7</v>
      </c>
      <c r="AQ33" s="4">
        <f t="shared" si="46"/>
        <v>16.600000000000001</v>
      </c>
      <c r="AR33" s="4">
        <f t="shared" si="47"/>
        <v>39.5</v>
      </c>
      <c r="AS33" s="4">
        <f t="shared" si="48"/>
        <v>58.3</v>
      </c>
      <c r="AT33" s="4">
        <f t="shared" si="49"/>
        <v>33.300000000000004</v>
      </c>
      <c r="AU33" s="4">
        <f t="shared" si="50"/>
        <v>52</v>
      </c>
      <c r="AV33" s="4">
        <f t="shared" si="50"/>
        <v>54.1</v>
      </c>
      <c r="AW33" s="4">
        <f t="shared" si="50"/>
        <v>43.7</v>
      </c>
      <c r="AX33" s="4">
        <f t="shared" si="50"/>
        <v>83.3</v>
      </c>
      <c r="AY33" s="4">
        <f t="shared" si="50"/>
        <v>43.7</v>
      </c>
      <c r="AZ33" s="4">
        <f t="shared" si="50"/>
        <v>60.4</v>
      </c>
      <c r="BA33" s="4">
        <f t="shared" si="50"/>
        <v>81.2</v>
      </c>
      <c r="BB33" s="4">
        <f t="shared" si="40"/>
        <v>100</v>
      </c>
      <c r="BC33" s="4">
        <f t="shared" si="41"/>
        <v>60.4</v>
      </c>
      <c r="BD33" s="4">
        <f t="shared" si="17"/>
        <v>89.6</v>
      </c>
      <c r="BE33" s="4">
        <f t="shared" si="18"/>
        <v>45.9</v>
      </c>
      <c r="BF33" s="4">
        <f t="shared" si="51"/>
        <v>31.2</v>
      </c>
      <c r="BG33" s="4">
        <f t="shared" si="52"/>
        <v>35.4</v>
      </c>
      <c r="BH33" s="4">
        <f t="shared" si="53"/>
        <v>33.300000000000004</v>
      </c>
      <c r="BI33" s="4">
        <f t="shared" si="54"/>
        <v>100</v>
      </c>
      <c r="BJ33" s="4">
        <f t="shared" si="55"/>
        <v>25</v>
      </c>
      <c r="BK33" s="4">
        <f t="shared" si="56"/>
        <v>25</v>
      </c>
      <c r="BL33" s="4">
        <f t="shared" si="57"/>
        <v>31.2</v>
      </c>
      <c r="BM33" s="4">
        <f t="shared" si="58"/>
        <v>16.600000000000001</v>
      </c>
      <c r="BN33" s="4">
        <f t="shared" si="27"/>
        <v>60.4</v>
      </c>
      <c r="BO33" s="4">
        <f t="shared" si="38"/>
        <v>87.5</v>
      </c>
    </row>
    <row r="34" spans="1:67" x14ac:dyDescent="0.25">
      <c r="A34" s="2">
        <v>32</v>
      </c>
      <c r="B34" s="5" t="s">
        <v>95</v>
      </c>
      <c r="C34" s="2">
        <v>10</v>
      </c>
      <c r="D34" s="9">
        <v>10.1</v>
      </c>
      <c r="E34" s="9">
        <v>8.9</v>
      </c>
      <c r="F34" s="9">
        <v>3.2</v>
      </c>
      <c r="G34" s="9">
        <v>7.3</v>
      </c>
      <c r="H34" s="9">
        <v>43.8</v>
      </c>
      <c r="I34" s="9">
        <v>0.8</v>
      </c>
      <c r="J34" s="9">
        <v>2.1</v>
      </c>
      <c r="K34" s="9">
        <v>38.1</v>
      </c>
      <c r="L34" s="9">
        <v>0.9</v>
      </c>
      <c r="M34" s="9">
        <v>1</v>
      </c>
      <c r="N34" s="9">
        <v>90</v>
      </c>
      <c r="O34" s="9">
        <v>0.7</v>
      </c>
      <c r="P34" s="9">
        <v>2.2999999999999998</v>
      </c>
      <c r="Q34" s="9">
        <v>3</v>
      </c>
      <c r="R34" s="9">
        <v>1.9</v>
      </c>
      <c r="S34" s="9">
        <v>1.3</v>
      </c>
      <c r="T34" s="9">
        <v>0.3</v>
      </c>
      <c r="U34" s="9">
        <v>0.9</v>
      </c>
      <c r="V34" s="9">
        <v>1.3</v>
      </c>
      <c r="W34" s="9">
        <f t="shared" si="28"/>
        <v>2.4000000000000004</v>
      </c>
      <c r="X34" s="9">
        <f t="shared" si="29"/>
        <v>5.1999999999999993</v>
      </c>
      <c r="Y34" s="9">
        <f t="shared" si="30"/>
        <v>46.153846153846168</v>
      </c>
      <c r="Z34" s="6">
        <f t="shared" si="31"/>
        <v>2.1111111111111112</v>
      </c>
      <c r="AA34" s="9">
        <f t="shared" si="32"/>
        <v>57.493540051679588</v>
      </c>
      <c r="AB34" s="6">
        <f t="shared" si="33"/>
        <v>1.1498708010335918</v>
      </c>
      <c r="AC34" s="6">
        <f t="shared" si="34"/>
        <v>1.0300925925925926</v>
      </c>
      <c r="AD34" s="9">
        <f t="shared" si="35"/>
        <v>49.315068493150683</v>
      </c>
      <c r="AE34" s="4">
        <f>100*(AA34/TOTAL_BASIC!$C$81)</f>
        <v>99.657379054134836</v>
      </c>
      <c r="AF34" s="4">
        <f>100*AC34/TOTAL_BASIC!$C$82</f>
        <v>100.07221233689205</v>
      </c>
      <c r="AG34" s="4">
        <f>100*N34/TOTAL_BASIC!$C$87</f>
        <v>116.40256959314775</v>
      </c>
      <c r="AH34" s="4">
        <f>100*AD34/TOTAL_BASIC!$C$86</f>
        <v>94.979460648665366</v>
      </c>
      <c r="AI34" s="3">
        <f t="shared" si="36"/>
        <v>0.23076923076923075</v>
      </c>
      <c r="AJ34" s="9">
        <f t="shared" si="37"/>
        <v>10.416666666666666</v>
      </c>
      <c r="AM34" s="4">
        <f t="shared" si="42"/>
        <v>29.099999999999998</v>
      </c>
      <c r="AN34" s="4">
        <f t="shared" si="43"/>
        <v>35.4</v>
      </c>
      <c r="AO34" s="4">
        <f t="shared" si="44"/>
        <v>29.099999999999998</v>
      </c>
      <c r="AP34" s="4">
        <f t="shared" si="45"/>
        <v>27</v>
      </c>
      <c r="AQ34" s="4">
        <f t="shared" si="46"/>
        <v>39.5</v>
      </c>
      <c r="AR34" s="4">
        <f t="shared" si="47"/>
        <v>39.5</v>
      </c>
      <c r="AS34" s="4">
        <f t="shared" si="48"/>
        <v>31.2</v>
      </c>
      <c r="AT34" s="4">
        <f t="shared" si="49"/>
        <v>83.3</v>
      </c>
      <c r="AU34" s="4">
        <f t="shared" si="50"/>
        <v>41.6</v>
      </c>
      <c r="AV34" s="4">
        <f t="shared" si="50"/>
        <v>41.6</v>
      </c>
      <c r="AW34" s="4">
        <f t="shared" si="50"/>
        <v>81.2</v>
      </c>
      <c r="AX34" s="4">
        <f t="shared" si="50"/>
        <v>29.099999999999998</v>
      </c>
      <c r="AY34" s="4">
        <f t="shared" si="50"/>
        <v>20.8</v>
      </c>
      <c r="AZ34" s="4">
        <f t="shared" si="50"/>
        <v>16.600000000000001</v>
      </c>
      <c r="BA34" s="4">
        <f t="shared" si="50"/>
        <v>54.1</v>
      </c>
      <c r="BB34" s="4">
        <f t="shared" si="40"/>
        <v>89.5</v>
      </c>
      <c r="BC34" s="4">
        <f t="shared" si="41"/>
        <v>37.5</v>
      </c>
      <c r="BD34" s="4">
        <f t="shared" si="17"/>
        <v>77.099999999999994</v>
      </c>
      <c r="BE34" s="4">
        <f t="shared" si="18"/>
        <v>95.9</v>
      </c>
      <c r="BF34" s="4">
        <f t="shared" si="51"/>
        <v>31.2</v>
      </c>
      <c r="BG34" s="4">
        <f t="shared" si="52"/>
        <v>39.5</v>
      </c>
      <c r="BH34" s="4">
        <f t="shared" si="53"/>
        <v>27</v>
      </c>
      <c r="BI34" s="4">
        <f t="shared" si="54"/>
        <v>63</v>
      </c>
      <c r="BJ34" s="4">
        <f t="shared" si="55"/>
        <v>52</v>
      </c>
      <c r="BK34" s="4">
        <f t="shared" si="56"/>
        <v>52</v>
      </c>
      <c r="BL34" s="4">
        <f t="shared" si="57"/>
        <v>58.3</v>
      </c>
      <c r="BM34" s="4">
        <f t="shared" si="58"/>
        <v>37.5</v>
      </c>
      <c r="BN34" s="4">
        <f t="shared" si="27"/>
        <v>64.5</v>
      </c>
      <c r="BO34" s="4">
        <f t="shared" si="38"/>
        <v>54.199999999999996</v>
      </c>
    </row>
    <row r="35" spans="1:67" x14ac:dyDescent="0.25">
      <c r="A35" s="2">
        <v>33</v>
      </c>
      <c r="B35" s="5" t="s">
        <v>99</v>
      </c>
      <c r="C35" s="2">
        <v>9</v>
      </c>
      <c r="D35" s="9">
        <v>6.8</v>
      </c>
      <c r="E35" s="9">
        <v>8.8000000000000007</v>
      </c>
      <c r="F35" s="9">
        <v>3.2</v>
      </c>
      <c r="G35" s="9">
        <v>4.7</v>
      </c>
      <c r="H35" s="9">
        <v>69</v>
      </c>
      <c r="I35" s="9">
        <v>0</v>
      </c>
      <c r="J35" s="9">
        <v>0.1</v>
      </c>
      <c r="K35" s="9">
        <v>0</v>
      </c>
      <c r="L35" s="9">
        <v>1.3</v>
      </c>
      <c r="M35" s="9">
        <v>1.6</v>
      </c>
      <c r="N35" s="9">
        <v>85.7</v>
      </c>
      <c r="O35" s="9">
        <v>0.9</v>
      </c>
      <c r="P35" s="9">
        <v>3.1</v>
      </c>
      <c r="Q35" s="9">
        <v>4</v>
      </c>
      <c r="R35" s="9">
        <v>0</v>
      </c>
      <c r="S35" s="9">
        <v>0.1</v>
      </c>
      <c r="T35" s="9">
        <v>0.8</v>
      </c>
      <c r="U35" s="9">
        <v>1.4</v>
      </c>
      <c r="V35" s="9">
        <v>1.7</v>
      </c>
      <c r="W35" s="9">
        <f t="shared" si="28"/>
        <v>3.2</v>
      </c>
      <c r="X35" s="9">
        <f t="shared" si="29"/>
        <v>4.6000000000000005</v>
      </c>
      <c r="Y35" s="9">
        <f t="shared" si="30"/>
        <v>69.565217391304344</v>
      </c>
      <c r="Z35" s="6">
        <f t="shared" si="31"/>
        <v>0</v>
      </c>
      <c r="AA35" s="9">
        <f t="shared" si="32"/>
        <v>81.421169504071074</v>
      </c>
      <c r="AB35" s="6">
        <f t="shared" si="33"/>
        <v>1.6284233900814216</v>
      </c>
      <c r="AC35" s="6">
        <f t="shared" si="34"/>
        <v>1.2933568489124045</v>
      </c>
      <c r="AD35" s="9">
        <f t="shared" si="35"/>
        <v>68.085106382978722</v>
      </c>
      <c r="AE35" s="4">
        <f>100*(AA35/TOTAL_BASIC!$C$81)</f>
        <v>141.13273152087163</v>
      </c>
      <c r="AF35" s="4">
        <f>100*AC35/TOTAL_BASIC!$C$82</f>
        <v>125.64800692914572</v>
      </c>
      <c r="AG35" s="4">
        <f>100*N35/TOTAL_BASIC!$C$87</f>
        <v>110.84111349036402</v>
      </c>
      <c r="AH35" s="4">
        <f>100*AD35/TOTAL_BASIC!$C$86</f>
        <v>131.13003550548598</v>
      </c>
      <c r="AI35" s="3">
        <f t="shared" si="36"/>
        <v>0.4705882352941177</v>
      </c>
      <c r="AJ35" s="9">
        <f t="shared" si="37"/>
        <v>20.576131687242796</v>
      </c>
      <c r="AM35" s="4">
        <f t="shared" si="42"/>
        <v>8.3000000000000007</v>
      </c>
      <c r="AN35" s="4">
        <f t="shared" si="43"/>
        <v>33.300000000000004</v>
      </c>
      <c r="AO35" s="4">
        <f t="shared" si="44"/>
        <v>29.099999999999998</v>
      </c>
      <c r="AP35" s="4">
        <f t="shared" si="45"/>
        <v>8.3000000000000007</v>
      </c>
      <c r="AQ35" s="4">
        <f t="shared" si="46"/>
        <v>100</v>
      </c>
      <c r="AR35" s="4">
        <f t="shared" si="47"/>
        <v>0</v>
      </c>
      <c r="AS35" s="4">
        <f t="shared" si="48"/>
        <v>4.1000000000000005</v>
      </c>
      <c r="AT35" s="4">
        <f t="shared" si="49"/>
        <v>0</v>
      </c>
      <c r="AU35" s="4">
        <f t="shared" si="50"/>
        <v>62.5</v>
      </c>
      <c r="AV35" s="4">
        <f t="shared" si="50"/>
        <v>58.3</v>
      </c>
      <c r="AW35" s="4">
        <f t="shared" si="50"/>
        <v>75</v>
      </c>
      <c r="AX35" s="4">
        <f t="shared" si="50"/>
        <v>45.800000000000004</v>
      </c>
      <c r="AY35" s="4">
        <f t="shared" si="50"/>
        <v>39.5</v>
      </c>
      <c r="AZ35" s="4">
        <f t="shared" si="50"/>
        <v>41.6</v>
      </c>
      <c r="BA35" s="4">
        <f t="shared" si="50"/>
        <v>0</v>
      </c>
      <c r="BB35" s="4">
        <f t="shared" si="40"/>
        <v>6.2</v>
      </c>
      <c r="BC35" s="4">
        <f t="shared" si="41"/>
        <v>79.100000000000009</v>
      </c>
      <c r="BD35" s="4">
        <f t="shared" si="17"/>
        <v>39.6</v>
      </c>
      <c r="BE35" s="4">
        <f t="shared" si="18"/>
        <v>85.5</v>
      </c>
      <c r="BF35" s="4">
        <f t="shared" si="51"/>
        <v>52</v>
      </c>
      <c r="BG35" s="4">
        <f t="shared" si="52"/>
        <v>33.300000000000004</v>
      </c>
      <c r="BH35" s="4">
        <f t="shared" si="53"/>
        <v>100</v>
      </c>
      <c r="BI35" s="4">
        <f t="shared" si="54"/>
        <v>0</v>
      </c>
      <c r="BJ35" s="4">
        <f t="shared" si="55"/>
        <v>100</v>
      </c>
      <c r="BK35" s="4">
        <f t="shared" si="56"/>
        <v>100</v>
      </c>
      <c r="BL35" s="4">
        <f t="shared" si="57"/>
        <v>100</v>
      </c>
      <c r="BM35" s="4">
        <f t="shared" si="58"/>
        <v>100</v>
      </c>
      <c r="BN35" s="4">
        <f t="shared" si="27"/>
        <v>91.600000000000009</v>
      </c>
      <c r="BO35" s="4">
        <f t="shared" si="38"/>
        <v>2.1000000000000085</v>
      </c>
    </row>
    <row r="36" spans="1:67" x14ac:dyDescent="0.25">
      <c r="A36" s="2">
        <v>34</v>
      </c>
      <c r="B36" s="5" t="s">
        <v>100</v>
      </c>
      <c r="C36" s="2">
        <v>8</v>
      </c>
      <c r="D36" s="9">
        <v>9.9</v>
      </c>
      <c r="E36" s="9">
        <v>8.6</v>
      </c>
      <c r="F36" s="9">
        <v>3.1</v>
      </c>
      <c r="G36" s="9">
        <v>8.8000000000000007</v>
      </c>
      <c r="H36" s="9">
        <v>35.700000000000003</v>
      </c>
      <c r="I36" s="9">
        <v>0.8</v>
      </c>
      <c r="J36" s="9">
        <v>2.9</v>
      </c>
      <c r="K36" s="9">
        <v>26.1</v>
      </c>
      <c r="L36" s="9">
        <v>0.9</v>
      </c>
      <c r="M36" s="9">
        <v>1.1000000000000001</v>
      </c>
      <c r="N36" s="9">
        <v>77.8</v>
      </c>
      <c r="O36" s="9">
        <v>0.4</v>
      </c>
      <c r="P36" s="9">
        <v>4.0999999999999996</v>
      </c>
      <c r="Q36" s="9">
        <v>4.5</v>
      </c>
      <c r="R36" s="9">
        <v>3.6</v>
      </c>
      <c r="S36" s="9">
        <v>0.9</v>
      </c>
      <c r="T36" s="9">
        <v>0.3</v>
      </c>
      <c r="U36" s="9">
        <v>0.8</v>
      </c>
      <c r="V36" s="9">
        <v>2.5</v>
      </c>
      <c r="W36" s="9">
        <f t="shared" si="28"/>
        <v>2.2999999999999998</v>
      </c>
      <c r="X36" s="9">
        <f t="shared" si="29"/>
        <v>5.9</v>
      </c>
      <c r="Y36" s="9">
        <f t="shared" si="30"/>
        <v>38.983050847457626</v>
      </c>
      <c r="Z36" s="6">
        <f t="shared" si="31"/>
        <v>4.5</v>
      </c>
      <c r="AA36" s="9">
        <f t="shared" si="32"/>
        <v>46.316242998707452</v>
      </c>
      <c r="AB36" s="6">
        <f t="shared" si="33"/>
        <v>0.92632485997414904</v>
      </c>
      <c r="AC36" s="6">
        <f t="shared" si="34"/>
        <v>0.85283617612058693</v>
      </c>
      <c r="AD36" s="9">
        <f t="shared" si="35"/>
        <v>39.772727272727266</v>
      </c>
      <c r="AE36" s="4">
        <f>100*(AA36/TOTAL_BASIC!$C$81)</f>
        <v>80.283026244976625</v>
      </c>
      <c r="AF36" s="4">
        <f>100*AC36/TOTAL_BASIC!$C$82</f>
        <v>82.851972258650093</v>
      </c>
      <c r="AG36" s="4">
        <f>100*N36/TOTAL_BASIC!$C$87</f>
        <v>100.62355460385439</v>
      </c>
      <c r="AH36" s="4">
        <f>100*AD36/TOTAL_BASIC!$C$86</f>
        <v>76.601174860271456</v>
      </c>
      <c r="AI36" s="3">
        <f t="shared" si="36"/>
        <v>0.12</v>
      </c>
      <c r="AJ36" s="9">
        <f t="shared" si="37"/>
        <v>7.9333597778659248</v>
      </c>
      <c r="AM36" s="4">
        <f t="shared" si="42"/>
        <v>25</v>
      </c>
      <c r="AN36" s="4">
        <f t="shared" si="43"/>
        <v>31.2</v>
      </c>
      <c r="AO36" s="4">
        <f t="shared" si="44"/>
        <v>25</v>
      </c>
      <c r="AP36" s="4">
        <f t="shared" si="45"/>
        <v>50</v>
      </c>
      <c r="AQ36" s="4">
        <f t="shared" si="46"/>
        <v>12.5</v>
      </c>
      <c r="AR36" s="4">
        <f t="shared" si="47"/>
        <v>39.5</v>
      </c>
      <c r="AS36" s="4">
        <f t="shared" si="48"/>
        <v>50</v>
      </c>
      <c r="AT36" s="4">
        <f t="shared" si="49"/>
        <v>39.5</v>
      </c>
      <c r="AU36" s="4">
        <f t="shared" si="50"/>
        <v>41.6</v>
      </c>
      <c r="AV36" s="4">
        <f t="shared" si="50"/>
        <v>43.7</v>
      </c>
      <c r="AW36" s="4">
        <f t="shared" si="50"/>
        <v>52</v>
      </c>
      <c r="AX36" s="4">
        <f t="shared" si="50"/>
        <v>8.3000000000000007</v>
      </c>
      <c r="AY36" s="4">
        <f t="shared" si="50"/>
        <v>62.5</v>
      </c>
      <c r="AZ36" s="4">
        <f t="shared" si="50"/>
        <v>50</v>
      </c>
      <c r="BA36" s="4">
        <f t="shared" si="50"/>
        <v>83.3</v>
      </c>
      <c r="BB36" s="4">
        <f t="shared" si="40"/>
        <v>64.5</v>
      </c>
      <c r="BC36" s="4">
        <f t="shared" si="41"/>
        <v>37.5</v>
      </c>
      <c r="BD36" s="4">
        <f t="shared" si="17"/>
        <v>79.2</v>
      </c>
      <c r="BE36" s="4">
        <f t="shared" si="18"/>
        <v>41.7</v>
      </c>
      <c r="BF36" s="4">
        <f t="shared" si="51"/>
        <v>27</v>
      </c>
      <c r="BG36" s="4">
        <f t="shared" si="52"/>
        <v>45.800000000000004</v>
      </c>
      <c r="BH36" s="4">
        <f t="shared" si="53"/>
        <v>12.5</v>
      </c>
      <c r="BI36" s="4">
        <f t="shared" si="54"/>
        <v>95.6</v>
      </c>
      <c r="BJ36" s="4">
        <f t="shared" si="55"/>
        <v>14.499999999999998</v>
      </c>
      <c r="BK36" s="4">
        <f t="shared" si="56"/>
        <v>14.499999999999998</v>
      </c>
      <c r="BL36" s="4">
        <f t="shared" si="57"/>
        <v>14.499999999999998</v>
      </c>
      <c r="BM36" s="4">
        <f t="shared" si="58"/>
        <v>10.4</v>
      </c>
      <c r="BN36" s="4">
        <f t="shared" si="27"/>
        <v>43.7</v>
      </c>
      <c r="BO36" s="4">
        <f t="shared" si="38"/>
        <v>77.099999999999994</v>
      </c>
    </row>
    <row r="37" spans="1:67" x14ac:dyDescent="0.25">
      <c r="A37" s="2">
        <v>35</v>
      </c>
      <c r="B37" s="5" t="s">
        <v>103</v>
      </c>
      <c r="C37" s="2">
        <v>10</v>
      </c>
      <c r="D37" s="9">
        <v>10.4</v>
      </c>
      <c r="E37" s="9">
        <v>8.4</v>
      </c>
      <c r="F37" s="9">
        <v>3.2</v>
      </c>
      <c r="G37" s="9">
        <v>7.3</v>
      </c>
      <c r="H37" s="9">
        <v>43.8</v>
      </c>
      <c r="I37" s="9">
        <v>1.1000000000000001</v>
      </c>
      <c r="J37" s="9">
        <v>2.8</v>
      </c>
      <c r="K37" s="9">
        <v>39.299999999999997</v>
      </c>
      <c r="L37" s="9">
        <v>0.5</v>
      </c>
      <c r="M37" s="9">
        <v>0.6</v>
      </c>
      <c r="N37" s="9">
        <v>83.3</v>
      </c>
      <c r="O37" s="9">
        <v>0.6</v>
      </c>
      <c r="P37" s="9">
        <v>2.5</v>
      </c>
      <c r="Q37" s="9">
        <v>3.1</v>
      </c>
      <c r="R37" s="9">
        <v>2.7</v>
      </c>
      <c r="S37" s="9">
        <v>0.6</v>
      </c>
      <c r="T37" s="9">
        <v>0</v>
      </c>
      <c r="U37" s="9">
        <v>1</v>
      </c>
      <c r="V37" s="9">
        <v>1.6</v>
      </c>
      <c r="W37" s="9">
        <f t="shared" si="28"/>
        <v>2.1</v>
      </c>
      <c r="X37" s="9">
        <f t="shared" si="29"/>
        <v>4.5</v>
      </c>
      <c r="Y37" s="9">
        <f t="shared" si="30"/>
        <v>46.666666666666664</v>
      </c>
      <c r="Z37" s="6">
        <f t="shared" si="31"/>
        <v>2.7</v>
      </c>
      <c r="AA37" s="9">
        <f t="shared" si="32"/>
        <v>55.526176626123743</v>
      </c>
      <c r="AB37" s="6">
        <f t="shared" si="33"/>
        <v>1.1105235325224749</v>
      </c>
      <c r="AC37" s="6">
        <f t="shared" si="34"/>
        <v>0.98085007006071934</v>
      </c>
      <c r="AD37" s="9">
        <f t="shared" si="35"/>
        <v>51.369863013698634</v>
      </c>
      <c r="AE37" s="4">
        <f>100*(AA37/TOTAL_BASIC!$C$81)</f>
        <v>96.247217104433631</v>
      </c>
      <c r="AF37" s="4">
        <f>100*AC37/TOTAL_BASIC!$C$82</f>
        <v>95.288362607023359</v>
      </c>
      <c r="AG37" s="4">
        <f>100*N37/TOTAL_BASIC!$C$87</f>
        <v>107.73704496788008</v>
      </c>
      <c r="AH37" s="4">
        <f>100*AD37/TOTAL_BASIC!$C$86</f>
        <v>98.936938175693086</v>
      </c>
      <c r="AI37" s="3">
        <f t="shared" si="36"/>
        <v>0</v>
      </c>
      <c r="AJ37" s="9">
        <f t="shared" si="37"/>
        <v>11.676786548341896</v>
      </c>
      <c r="AM37" s="4">
        <f t="shared" si="42"/>
        <v>35.4</v>
      </c>
      <c r="AN37" s="4">
        <f t="shared" si="43"/>
        <v>29.099999999999998</v>
      </c>
      <c r="AO37" s="4">
        <f t="shared" si="44"/>
        <v>29.099999999999998</v>
      </c>
      <c r="AP37" s="4">
        <f t="shared" si="45"/>
        <v>27</v>
      </c>
      <c r="AQ37" s="4">
        <f t="shared" si="46"/>
        <v>39.5</v>
      </c>
      <c r="AR37" s="4">
        <f t="shared" si="47"/>
        <v>66.600000000000009</v>
      </c>
      <c r="AS37" s="4">
        <f t="shared" si="48"/>
        <v>43.7</v>
      </c>
      <c r="AT37" s="4">
        <f t="shared" si="49"/>
        <v>85.399999999999991</v>
      </c>
      <c r="AU37" s="4">
        <f t="shared" si="50"/>
        <v>29.099999999999998</v>
      </c>
      <c r="AV37" s="4">
        <f t="shared" si="50"/>
        <v>25</v>
      </c>
      <c r="AW37" s="4">
        <f t="shared" si="50"/>
        <v>60.4</v>
      </c>
      <c r="AX37" s="4">
        <f t="shared" si="50"/>
        <v>22.900000000000002</v>
      </c>
      <c r="AY37" s="4">
        <f t="shared" si="50"/>
        <v>29.099999999999998</v>
      </c>
      <c r="AZ37" s="4">
        <f t="shared" si="50"/>
        <v>22.900000000000002</v>
      </c>
      <c r="BA37" s="4">
        <f t="shared" si="50"/>
        <v>68.7</v>
      </c>
      <c r="BB37" s="4">
        <f t="shared" si="40"/>
        <v>43.7</v>
      </c>
      <c r="BC37" s="4">
        <f t="shared" si="41"/>
        <v>0</v>
      </c>
      <c r="BD37" s="4">
        <f t="shared" si="17"/>
        <v>70.900000000000006</v>
      </c>
      <c r="BE37" s="4">
        <f t="shared" si="18"/>
        <v>89.6</v>
      </c>
      <c r="BF37" s="4">
        <f t="shared" si="51"/>
        <v>22.900000000000002</v>
      </c>
      <c r="BG37" s="4">
        <f t="shared" si="52"/>
        <v>27</v>
      </c>
      <c r="BH37" s="4">
        <f t="shared" si="53"/>
        <v>31.2</v>
      </c>
      <c r="BI37" s="4">
        <f t="shared" si="54"/>
        <v>80.400000000000006</v>
      </c>
      <c r="BJ37" s="4">
        <f t="shared" si="55"/>
        <v>41.6</v>
      </c>
      <c r="BK37" s="4">
        <f t="shared" si="56"/>
        <v>41.6</v>
      </c>
      <c r="BL37" s="4">
        <f t="shared" si="57"/>
        <v>35.4</v>
      </c>
      <c r="BM37" s="4">
        <f t="shared" si="58"/>
        <v>47.9</v>
      </c>
      <c r="BN37" s="4">
        <f t="shared" si="27"/>
        <v>0</v>
      </c>
      <c r="BO37" s="4">
        <f t="shared" si="38"/>
        <v>39.6</v>
      </c>
    </row>
    <row r="38" spans="1:67" x14ac:dyDescent="0.25">
      <c r="A38" s="2">
        <v>36</v>
      </c>
      <c r="B38" s="5" t="s">
        <v>102</v>
      </c>
      <c r="C38" s="2">
        <v>10</v>
      </c>
      <c r="D38" s="9">
        <v>11.5</v>
      </c>
      <c r="E38" s="9">
        <v>7.2</v>
      </c>
      <c r="F38" s="9">
        <v>3.4</v>
      </c>
      <c r="G38" s="9">
        <v>8.5</v>
      </c>
      <c r="H38" s="9">
        <v>40</v>
      </c>
      <c r="I38" s="9">
        <v>0.4</v>
      </c>
      <c r="J38" s="9">
        <v>1.4</v>
      </c>
      <c r="K38" s="9">
        <v>28.6</v>
      </c>
      <c r="L38" s="9">
        <v>0</v>
      </c>
      <c r="M38" s="9">
        <v>0.1</v>
      </c>
      <c r="N38" s="9">
        <v>0</v>
      </c>
      <c r="O38" s="9">
        <v>0.5</v>
      </c>
      <c r="P38" s="9">
        <v>4.4000000000000004</v>
      </c>
      <c r="Q38" s="9">
        <v>4.9000000000000004</v>
      </c>
      <c r="R38" s="9">
        <v>4</v>
      </c>
      <c r="S38" s="9">
        <v>0.3</v>
      </c>
      <c r="T38" s="9">
        <v>0.1</v>
      </c>
      <c r="U38" s="9">
        <v>1.4</v>
      </c>
      <c r="V38" s="9">
        <v>2.1</v>
      </c>
      <c r="W38" s="9">
        <f t="shared" si="28"/>
        <v>3</v>
      </c>
      <c r="X38" s="9">
        <f t="shared" si="29"/>
        <v>7.1</v>
      </c>
      <c r="Y38" s="9">
        <f t="shared" si="30"/>
        <v>42.253521126760567</v>
      </c>
      <c r="Z38" s="6">
        <f t="shared" si="31"/>
        <v>2.8571428571428572</v>
      </c>
      <c r="AA38" s="9">
        <f t="shared" si="32"/>
        <v>42.134831460674157</v>
      </c>
      <c r="AB38" s="6">
        <f t="shared" si="33"/>
        <v>0.84269662921348309</v>
      </c>
      <c r="AC38" s="6">
        <f t="shared" si="34"/>
        <v>0.72405470635559122</v>
      </c>
      <c r="AD38" s="9">
        <f t="shared" si="35"/>
        <v>42.352941176470587</v>
      </c>
      <c r="AE38" s="4">
        <f>100*(AA38/TOTAL_BASIC!$C$81)</f>
        <v>73.035107361349915</v>
      </c>
      <c r="AF38" s="4">
        <f>100*AC38/TOTAL_BASIC!$C$82</f>
        <v>70.341012874946671</v>
      </c>
      <c r="AG38" s="4">
        <f>100*N38/TOTAL_BASIC!$C$87</f>
        <v>0</v>
      </c>
      <c r="AH38" s="4">
        <f>100*AD38/TOTAL_BASIC!$C$86</f>
        <v>81.570595615912609</v>
      </c>
      <c r="AI38" s="3">
        <f t="shared" si="36"/>
        <v>4.7619047619047616E-2</v>
      </c>
      <c r="AJ38" s="9">
        <f t="shared" si="37"/>
        <v>14.078841512469831</v>
      </c>
      <c r="AM38" s="4">
        <f t="shared" si="42"/>
        <v>41.6</v>
      </c>
      <c r="AN38" s="4">
        <f t="shared" si="43"/>
        <v>27</v>
      </c>
      <c r="AO38" s="4">
        <f t="shared" si="44"/>
        <v>37.5</v>
      </c>
      <c r="AP38" s="4">
        <f t="shared" si="45"/>
        <v>47.9</v>
      </c>
      <c r="AQ38" s="4">
        <f t="shared" si="46"/>
        <v>22.900000000000002</v>
      </c>
      <c r="AR38" s="4">
        <f t="shared" si="47"/>
        <v>27</v>
      </c>
      <c r="AS38" s="4">
        <f t="shared" si="48"/>
        <v>18.7</v>
      </c>
      <c r="AT38" s="4">
        <f t="shared" si="49"/>
        <v>52</v>
      </c>
      <c r="AU38" s="4">
        <f t="shared" si="50"/>
        <v>0</v>
      </c>
      <c r="AV38" s="4">
        <f t="shared" si="50"/>
        <v>4.1000000000000005</v>
      </c>
      <c r="AW38" s="4">
        <f t="shared" si="50"/>
        <v>0</v>
      </c>
      <c r="AX38" s="4">
        <f t="shared" si="50"/>
        <v>16.600000000000001</v>
      </c>
      <c r="AY38" s="4">
        <f t="shared" si="50"/>
        <v>64.5</v>
      </c>
      <c r="AZ38" s="4">
        <f t="shared" si="50"/>
        <v>60.4</v>
      </c>
      <c r="BA38" s="4">
        <f t="shared" si="50"/>
        <v>91.600000000000009</v>
      </c>
      <c r="BB38" s="4">
        <f t="shared" si="40"/>
        <v>20.8</v>
      </c>
      <c r="BC38" s="4">
        <f t="shared" si="41"/>
        <v>14.499999999999998</v>
      </c>
      <c r="BD38" s="4">
        <f t="shared" si="17"/>
        <v>39.6</v>
      </c>
      <c r="BE38" s="4">
        <f t="shared" si="18"/>
        <v>64.599999999999994</v>
      </c>
      <c r="BF38" s="4">
        <f t="shared" si="51"/>
        <v>45.800000000000004</v>
      </c>
      <c r="BG38" s="4">
        <f t="shared" si="52"/>
        <v>54.1</v>
      </c>
      <c r="BH38" s="4">
        <f t="shared" si="53"/>
        <v>14.499999999999998</v>
      </c>
      <c r="BI38" s="4">
        <f t="shared" si="54"/>
        <v>84.7</v>
      </c>
      <c r="BJ38" s="4">
        <f t="shared" si="55"/>
        <v>8.3000000000000007</v>
      </c>
      <c r="BK38" s="4">
        <f t="shared" si="56"/>
        <v>8.3000000000000007</v>
      </c>
      <c r="BL38" s="4">
        <f t="shared" si="57"/>
        <v>10.4</v>
      </c>
      <c r="BM38" s="4">
        <f t="shared" si="58"/>
        <v>12.5</v>
      </c>
      <c r="BN38" s="4">
        <f t="shared" si="27"/>
        <v>18.7</v>
      </c>
      <c r="BO38" s="4">
        <f t="shared" si="38"/>
        <v>14.600000000000009</v>
      </c>
    </row>
    <row r="39" spans="1:67" x14ac:dyDescent="0.25">
      <c r="A39" s="2">
        <v>37</v>
      </c>
      <c r="B39" s="5" t="s">
        <v>104</v>
      </c>
      <c r="C39" s="2">
        <v>10</v>
      </c>
      <c r="D39" s="9">
        <v>8.5</v>
      </c>
      <c r="E39" s="9">
        <v>7.1</v>
      </c>
      <c r="F39" s="9">
        <v>3.1</v>
      </c>
      <c r="G39" s="9">
        <v>5.9</v>
      </c>
      <c r="H39" s="9">
        <v>52.5</v>
      </c>
      <c r="I39" s="9">
        <v>0.2</v>
      </c>
      <c r="J39" s="9">
        <v>1.4</v>
      </c>
      <c r="K39" s="9">
        <v>14.3</v>
      </c>
      <c r="L39" s="9">
        <v>0.4</v>
      </c>
      <c r="M39" s="9">
        <v>0.9</v>
      </c>
      <c r="N39" s="9">
        <v>44.4</v>
      </c>
      <c r="O39" s="9">
        <v>1.2</v>
      </c>
      <c r="P39" s="9">
        <v>3.8</v>
      </c>
      <c r="Q39" s="9">
        <v>5</v>
      </c>
      <c r="R39" s="9">
        <v>0.5</v>
      </c>
      <c r="S39" s="9">
        <v>0.4</v>
      </c>
      <c r="T39" s="9">
        <v>0.7</v>
      </c>
      <c r="U39" s="9">
        <v>0.9</v>
      </c>
      <c r="V39" s="9">
        <v>2.4</v>
      </c>
      <c r="W39" s="9">
        <f t="shared" si="28"/>
        <v>2.9</v>
      </c>
      <c r="X39" s="9">
        <f t="shared" si="29"/>
        <v>4.5</v>
      </c>
      <c r="Y39" s="9">
        <f t="shared" si="30"/>
        <v>64.444444444444443</v>
      </c>
      <c r="Z39" s="6">
        <f t="shared" si="31"/>
        <v>0.55555555555555558</v>
      </c>
      <c r="AA39" s="9">
        <f t="shared" si="32"/>
        <v>56.385006353240151</v>
      </c>
      <c r="AB39" s="6">
        <f t="shared" si="33"/>
        <v>1.127700127064803</v>
      </c>
      <c r="AC39" s="6">
        <f t="shared" si="34"/>
        <v>0.98665925514174524</v>
      </c>
      <c r="AD39" s="9">
        <f t="shared" si="35"/>
        <v>54.237288135593218</v>
      </c>
      <c r="AE39" s="4">
        <f>100*(AA39/TOTAL_BASIC!$C$81)</f>
        <v>97.735883823881849</v>
      </c>
      <c r="AF39" s="4">
        <f>100*AC39/TOTAL_BASIC!$C$82</f>
        <v>95.852717702005236</v>
      </c>
      <c r="AG39" s="4">
        <f>100*N39/TOTAL_BASIC!$C$87</f>
        <v>57.425267665952887</v>
      </c>
      <c r="AH39" s="4">
        <f>100*AD39/TOTAL_BASIC!$C$86</f>
        <v>104.45951980945493</v>
      </c>
      <c r="AI39" s="3">
        <f t="shared" si="36"/>
        <v>0.29166666666666669</v>
      </c>
      <c r="AJ39" s="9">
        <f t="shared" si="37"/>
        <v>12.506948304613672</v>
      </c>
      <c r="AM39" s="4">
        <f t="shared" si="42"/>
        <v>16.600000000000001</v>
      </c>
      <c r="AN39" s="4">
        <f t="shared" si="43"/>
        <v>25</v>
      </c>
      <c r="AO39" s="4">
        <f t="shared" si="44"/>
        <v>25</v>
      </c>
      <c r="AP39" s="4">
        <f t="shared" si="45"/>
        <v>18.7</v>
      </c>
      <c r="AQ39" s="4">
        <f t="shared" si="46"/>
        <v>85.399999999999991</v>
      </c>
      <c r="AR39" s="4">
        <f t="shared" si="47"/>
        <v>14.499999999999998</v>
      </c>
      <c r="AS39" s="4">
        <f t="shared" si="48"/>
        <v>18.7</v>
      </c>
      <c r="AT39" s="4">
        <f t="shared" si="49"/>
        <v>12.5</v>
      </c>
      <c r="AU39" s="4">
        <f t="shared" si="50"/>
        <v>25</v>
      </c>
      <c r="AV39" s="4">
        <f t="shared" si="50"/>
        <v>33.300000000000004</v>
      </c>
      <c r="AW39" s="4">
        <f t="shared" si="50"/>
        <v>14.499999999999998</v>
      </c>
      <c r="AX39" s="4">
        <f t="shared" si="50"/>
        <v>68.7</v>
      </c>
      <c r="AY39" s="4">
        <f t="shared" si="50"/>
        <v>54.1</v>
      </c>
      <c r="AZ39" s="4">
        <f t="shared" si="50"/>
        <v>64.5</v>
      </c>
      <c r="BA39" s="4">
        <f t="shared" si="50"/>
        <v>10.4</v>
      </c>
      <c r="BB39" s="4">
        <f t="shared" si="40"/>
        <v>31.2</v>
      </c>
      <c r="BC39" s="4">
        <f t="shared" si="41"/>
        <v>75</v>
      </c>
      <c r="BD39" s="4">
        <f t="shared" si="17"/>
        <v>77.099999999999994</v>
      </c>
      <c r="BE39" s="4">
        <f t="shared" si="18"/>
        <v>45.9</v>
      </c>
      <c r="BF39" s="4">
        <f t="shared" si="51"/>
        <v>39.5</v>
      </c>
      <c r="BG39" s="4">
        <f t="shared" si="52"/>
        <v>27</v>
      </c>
      <c r="BH39" s="4">
        <f t="shared" si="53"/>
        <v>93.7</v>
      </c>
      <c r="BI39" s="4">
        <f t="shared" si="54"/>
        <v>13</v>
      </c>
      <c r="BJ39" s="4">
        <f t="shared" si="55"/>
        <v>43.7</v>
      </c>
      <c r="BK39" s="4">
        <f t="shared" si="56"/>
        <v>43.7</v>
      </c>
      <c r="BL39" s="4">
        <f t="shared" si="57"/>
        <v>37.5</v>
      </c>
      <c r="BM39" s="4">
        <f t="shared" si="58"/>
        <v>64.5</v>
      </c>
      <c r="BN39" s="4">
        <f t="shared" si="27"/>
        <v>72.899999999999991</v>
      </c>
      <c r="BO39" s="4">
        <f t="shared" si="38"/>
        <v>27.100000000000009</v>
      </c>
    </row>
    <row r="40" spans="1:67" x14ac:dyDescent="0.25">
      <c r="A40" s="2">
        <v>38</v>
      </c>
      <c r="B40" s="5" t="s">
        <v>105</v>
      </c>
      <c r="C40" s="2">
        <v>10</v>
      </c>
      <c r="D40" s="9">
        <v>10</v>
      </c>
      <c r="E40" s="9">
        <v>6.6</v>
      </c>
      <c r="F40" s="9">
        <v>2.7</v>
      </c>
      <c r="G40" s="9">
        <v>6.3</v>
      </c>
      <c r="H40" s="9">
        <v>42.9</v>
      </c>
      <c r="I40" s="9">
        <v>0.5</v>
      </c>
      <c r="J40" s="9">
        <v>2.8</v>
      </c>
      <c r="K40" s="9">
        <v>17.899999999999999</v>
      </c>
      <c r="L40" s="9">
        <v>0.3</v>
      </c>
      <c r="M40" s="9">
        <v>0.5</v>
      </c>
      <c r="N40" s="9">
        <v>60</v>
      </c>
      <c r="O40" s="9">
        <v>0.7</v>
      </c>
      <c r="P40" s="9">
        <v>2.9</v>
      </c>
      <c r="Q40" s="9">
        <v>3.6</v>
      </c>
      <c r="R40" s="9">
        <v>0.9</v>
      </c>
      <c r="S40" s="9">
        <v>0.2</v>
      </c>
      <c r="T40" s="9">
        <v>0.2</v>
      </c>
      <c r="U40" s="9">
        <v>1</v>
      </c>
      <c r="V40" s="9">
        <v>2</v>
      </c>
      <c r="W40" s="9">
        <f t="shared" si="28"/>
        <v>2.2000000000000002</v>
      </c>
      <c r="X40" s="9">
        <f t="shared" si="29"/>
        <v>3.5</v>
      </c>
      <c r="Y40" s="9">
        <f t="shared" si="30"/>
        <v>62.857142857142868</v>
      </c>
      <c r="Z40" s="6">
        <f t="shared" si="31"/>
        <v>0.9</v>
      </c>
      <c r="AA40" s="9">
        <f t="shared" si="32"/>
        <v>50.613496932515339</v>
      </c>
      <c r="AB40" s="6">
        <f t="shared" si="33"/>
        <v>1.0122699386503067</v>
      </c>
      <c r="AC40" s="6">
        <f t="shared" si="34"/>
        <v>0.87765957446808507</v>
      </c>
      <c r="AD40" s="9">
        <f t="shared" si="35"/>
        <v>46.82539682539683</v>
      </c>
      <c r="AE40" s="4">
        <f>100*(AA40/TOTAL_BASIC!$C$81)</f>
        <v>87.731742462284132</v>
      </c>
      <c r="AF40" s="4">
        <f>100*AC40/TOTAL_BASIC!$C$82</f>
        <v>85.263534489285973</v>
      </c>
      <c r="AG40" s="4">
        <f>100*N40/TOTAL_BASIC!$C$87</f>
        <v>77.601713062098497</v>
      </c>
      <c r="AH40" s="4">
        <f>100*AD40/TOTAL_BASIC!$C$86</f>
        <v>90.184421740256113</v>
      </c>
      <c r="AI40" s="3">
        <f t="shared" si="36"/>
        <v>0.1</v>
      </c>
      <c r="AJ40" s="9">
        <f t="shared" si="37"/>
        <v>13.297872340425533</v>
      </c>
      <c r="AM40" s="4">
        <f t="shared" si="42"/>
        <v>27</v>
      </c>
      <c r="AN40" s="4">
        <f t="shared" si="43"/>
        <v>22.900000000000002</v>
      </c>
      <c r="AO40" s="4">
        <f t="shared" si="44"/>
        <v>22.900000000000002</v>
      </c>
      <c r="AP40" s="4">
        <f t="shared" si="45"/>
        <v>22.900000000000002</v>
      </c>
      <c r="AQ40" s="4">
        <f t="shared" si="46"/>
        <v>33.300000000000004</v>
      </c>
      <c r="AR40" s="4">
        <f t="shared" si="47"/>
        <v>33.300000000000004</v>
      </c>
      <c r="AS40" s="4">
        <f t="shared" si="48"/>
        <v>43.7</v>
      </c>
      <c r="AT40" s="4">
        <f t="shared" si="49"/>
        <v>18.7</v>
      </c>
      <c r="AU40" s="4">
        <f t="shared" si="50"/>
        <v>16.600000000000001</v>
      </c>
      <c r="AV40" s="4">
        <f t="shared" si="50"/>
        <v>18.7</v>
      </c>
      <c r="AW40" s="4">
        <f t="shared" si="50"/>
        <v>25</v>
      </c>
      <c r="AX40" s="4">
        <f t="shared" si="50"/>
        <v>29.099999999999998</v>
      </c>
      <c r="AY40" s="4">
        <f t="shared" si="50"/>
        <v>35.4</v>
      </c>
      <c r="AZ40" s="4">
        <f t="shared" si="50"/>
        <v>33.300000000000004</v>
      </c>
      <c r="BA40" s="4">
        <f t="shared" si="50"/>
        <v>27</v>
      </c>
      <c r="BB40" s="4">
        <f t="shared" si="40"/>
        <v>14.499999999999998</v>
      </c>
      <c r="BC40" s="4">
        <f t="shared" si="41"/>
        <v>25</v>
      </c>
      <c r="BD40" s="4">
        <f t="shared" si="17"/>
        <v>70.900000000000006</v>
      </c>
      <c r="BE40" s="4">
        <f t="shared" si="18"/>
        <v>75</v>
      </c>
      <c r="BF40" s="4">
        <f t="shared" si="51"/>
        <v>25</v>
      </c>
      <c r="BG40" s="4">
        <f t="shared" si="52"/>
        <v>18.7</v>
      </c>
      <c r="BH40" s="4">
        <f t="shared" si="53"/>
        <v>91.600000000000009</v>
      </c>
      <c r="BI40" s="4">
        <f t="shared" si="54"/>
        <v>34.699999999999996</v>
      </c>
      <c r="BJ40" s="4">
        <f t="shared" si="55"/>
        <v>22.900000000000002</v>
      </c>
      <c r="BK40" s="4">
        <f t="shared" si="56"/>
        <v>22.900000000000002</v>
      </c>
      <c r="BL40" s="4">
        <f t="shared" si="57"/>
        <v>18.7</v>
      </c>
      <c r="BM40" s="4">
        <f t="shared" si="58"/>
        <v>25</v>
      </c>
      <c r="BN40" s="4">
        <f t="shared" si="27"/>
        <v>35.4</v>
      </c>
      <c r="BO40" s="4">
        <f t="shared" si="38"/>
        <v>20.899999999999991</v>
      </c>
    </row>
    <row r="41" spans="1:67" x14ac:dyDescent="0.25">
      <c r="A41" s="2">
        <v>39</v>
      </c>
      <c r="B41" s="5" t="s">
        <v>106</v>
      </c>
      <c r="C41" s="2">
        <v>9</v>
      </c>
      <c r="D41" s="9">
        <v>9.6</v>
      </c>
      <c r="E41" s="9">
        <v>5.8</v>
      </c>
      <c r="F41" s="9">
        <v>2.2999999999999998</v>
      </c>
      <c r="G41" s="9">
        <v>7.8</v>
      </c>
      <c r="H41" s="9">
        <v>30</v>
      </c>
      <c r="I41" s="9">
        <v>0.3</v>
      </c>
      <c r="J41" s="9">
        <v>2.1</v>
      </c>
      <c r="K41" s="9">
        <v>15.8</v>
      </c>
      <c r="L41" s="9">
        <v>0.4</v>
      </c>
      <c r="M41" s="9">
        <v>0.7</v>
      </c>
      <c r="N41" s="9">
        <v>66.7</v>
      </c>
      <c r="O41" s="9">
        <v>0.4</v>
      </c>
      <c r="P41" s="9">
        <v>2.4</v>
      </c>
      <c r="Q41" s="9">
        <v>2.9</v>
      </c>
      <c r="R41" s="9">
        <v>1.2</v>
      </c>
      <c r="S41" s="9">
        <v>1.1000000000000001</v>
      </c>
      <c r="T41" s="9">
        <v>1.2</v>
      </c>
      <c r="U41" s="9">
        <v>1.2</v>
      </c>
      <c r="V41" s="9">
        <v>1.8</v>
      </c>
      <c r="W41" s="9">
        <f t="shared" si="28"/>
        <v>1.9999999999999998</v>
      </c>
      <c r="X41" s="9">
        <f t="shared" si="29"/>
        <v>5.6999999999999993</v>
      </c>
      <c r="Y41" s="9">
        <f t="shared" si="30"/>
        <v>35.087719298245609</v>
      </c>
      <c r="Z41" s="6">
        <f t="shared" si="31"/>
        <v>1</v>
      </c>
      <c r="AA41" s="9">
        <f t="shared" si="32"/>
        <v>35.767143561914153</v>
      </c>
      <c r="AB41" s="6">
        <f t="shared" si="33"/>
        <v>0.71534287123828311</v>
      </c>
      <c r="AC41" s="6">
        <f t="shared" si="34"/>
        <v>0.62311989686291358</v>
      </c>
      <c r="AD41" s="9">
        <f t="shared" si="35"/>
        <v>31.410256410256409</v>
      </c>
      <c r="AE41" s="4">
        <f>100*(AA41/TOTAL_BASIC!$C$81)</f>
        <v>61.997570169262985</v>
      </c>
      <c r="AF41" s="4">
        <f>100*AC41/TOTAL_BASIC!$C$82</f>
        <v>60.535321852246632</v>
      </c>
      <c r="AG41" s="4">
        <f>100*N41/TOTAL_BASIC!$C$87</f>
        <v>86.267237687366162</v>
      </c>
      <c r="AH41" s="4">
        <f>100*AD41/TOTAL_BASIC!$C$86</f>
        <v>60.495286812727201</v>
      </c>
      <c r="AI41" s="3">
        <f t="shared" si="36"/>
        <v>0.66666666666666663</v>
      </c>
      <c r="AJ41" s="9">
        <f t="shared" si="37"/>
        <v>12.89213579716373</v>
      </c>
      <c r="AM41" s="4">
        <f t="shared" si="42"/>
        <v>22.900000000000002</v>
      </c>
      <c r="AN41" s="4">
        <f t="shared" si="43"/>
        <v>20.8</v>
      </c>
      <c r="AO41" s="4">
        <f t="shared" si="44"/>
        <v>18.7</v>
      </c>
      <c r="AP41" s="4">
        <f t="shared" si="45"/>
        <v>33.300000000000004</v>
      </c>
      <c r="AQ41" s="4">
        <f t="shared" si="46"/>
        <v>6.2</v>
      </c>
      <c r="AR41" s="4">
        <f t="shared" si="47"/>
        <v>22.900000000000002</v>
      </c>
      <c r="AS41" s="4">
        <f t="shared" si="48"/>
        <v>31.2</v>
      </c>
      <c r="AT41" s="4">
        <f t="shared" si="49"/>
        <v>14.499999999999998</v>
      </c>
      <c r="AU41" s="4">
        <f t="shared" si="50"/>
        <v>25</v>
      </c>
      <c r="AV41" s="4">
        <f t="shared" si="50"/>
        <v>31.2</v>
      </c>
      <c r="AW41" s="4">
        <f t="shared" si="50"/>
        <v>33.300000000000004</v>
      </c>
      <c r="AX41" s="4">
        <f t="shared" si="50"/>
        <v>8.3000000000000007</v>
      </c>
      <c r="AY41" s="4">
        <f t="shared" si="50"/>
        <v>25</v>
      </c>
      <c r="AZ41" s="4">
        <f t="shared" si="50"/>
        <v>12.5</v>
      </c>
      <c r="BA41" s="4">
        <f t="shared" si="50"/>
        <v>37.5</v>
      </c>
      <c r="BB41" s="4">
        <f t="shared" si="40"/>
        <v>81.2</v>
      </c>
      <c r="BC41" s="4">
        <f t="shared" si="41"/>
        <v>93.7</v>
      </c>
      <c r="BD41" s="4">
        <f t="shared" si="17"/>
        <v>54.199999999999996</v>
      </c>
      <c r="BE41" s="4">
        <f t="shared" si="18"/>
        <v>81.3</v>
      </c>
      <c r="BF41" s="4">
        <f t="shared" si="51"/>
        <v>20.8</v>
      </c>
      <c r="BG41" s="4">
        <f t="shared" si="52"/>
        <v>41.6</v>
      </c>
      <c r="BH41" s="4">
        <f t="shared" si="53"/>
        <v>10.4</v>
      </c>
      <c r="BI41" s="4">
        <f t="shared" si="54"/>
        <v>39.1</v>
      </c>
      <c r="BJ41" s="4">
        <f t="shared" si="55"/>
        <v>4.1000000000000005</v>
      </c>
      <c r="BK41" s="4">
        <f t="shared" si="56"/>
        <v>4.1000000000000005</v>
      </c>
      <c r="BL41" s="4">
        <f t="shared" si="57"/>
        <v>2</v>
      </c>
      <c r="BM41" s="4">
        <f t="shared" si="58"/>
        <v>2</v>
      </c>
      <c r="BN41" s="4">
        <f t="shared" si="27"/>
        <v>100</v>
      </c>
      <c r="BO41" s="4">
        <f t="shared" si="38"/>
        <v>23</v>
      </c>
    </row>
    <row r="42" spans="1:67" x14ac:dyDescent="0.25">
      <c r="A42" s="2">
        <v>40</v>
      </c>
      <c r="B42" s="5" t="s">
        <v>108</v>
      </c>
      <c r="C42" s="2">
        <v>10</v>
      </c>
      <c r="D42" s="9">
        <v>8</v>
      </c>
      <c r="E42" s="9">
        <v>5.6</v>
      </c>
      <c r="F42" s="9">
        <v>2.1</v>
      </c>
      <c r="G42" s="9">
        <v>6.1</v>
      </c>
      <c r="H42" s="9">
        <v>34.4</v>
      </c>
      <c r="I42" s="9">
        <v>1</v>
      </c>
      <c r="J42" s="9">
        <v>2.8</v>
      </c>
      <c r="K42" s="9">
        <v>35.700000000000003</v>
      </c>
      <c r="L42" s="9">
        <v>0.2</v>
      </c>
      <c r="M42" s="9">
        <v>0.4</v>
      </c>
      <c r="N42" s="9">
        <v>50</v>
      </c>
      <c r="O42" s="9">
        <v>0.3</v>
      </c>
      <c r="P42" s="9">
        <v>1.5</v>
      </c>
      <c r="Q42" s="9">
        <v>1.8</v>
      </c>
      <c r="R42" s="9">
        <v>1.3</v>
      </c>
      <c r="S42" s="9">
        <v>0.2</v>
      </c>
      <c r="T42" s="9">
        <v>0.1</v>
      </c>
      <c r="U42" s="9">
        <v>0.6</v>
      </c>
      <c r="V42" s="9">
        <v>2</v>
      </c>
      <c r="W42" s="9">
        <f t="shared" si="28"/>
        <v>1.1000000000000001</v>
      </c>
      <c r="X42" s="9">
        <f t="shared" si="29"/>
        <v>3.3</v>
      </c>
      <c r="Y42" s="9">
        <f t="shared" si="30"/>
        <v>33.333333333333336</v>
      </c>
      <c r="Z42" s="6">
        <f t="shared" si="31"/>
        <v>2.166666666666667</v>
      </c>
      <c r="AA42" s="9">
        <f t="shared" si="32"/>
        <v>44.614404079031232</v>
      </c>
      <c r="AB42" s="6">
        <f t="shared" si="33"/>
        <v>0.89228808158062467</v>
      </c>
      <c r="AC42" s="6">
        <f t="shared" si="34"/>
        <v>0.81442699243746364</v>
      </c>
      <c r="AD42" s="9">
        <f t="shared" si="35"/>
        <v>42.622950819672134</v>
      </c>
      <c r="AE42" s="4">
        <f>100*(AA42/TOTAL_BASIC!$C$81)</f>
        <v>77.333115591452724</v>
      </c>
      <c r="AF42" s="4">
        <f>100*AC42/TOTAL_BASIC!$C$82</f>
        <v>79.120567904454916</v>
      </c>
      <c r="AG42" s="4">
        <f>100*N42/TOTAL_BASIC!$C$87</f>
        <v>64.668094218415419</v>
      </c>
      <c r="AH42" s="4">
        <f>100*AD42/TOTAL_BASIC!$C$86</f>
        <v>82.090626735504046</v>
      </c>
      <c r="AI42" s="3">
        <f t="shared" si="36"/>
        <v>0.05</v>
      </c>
      <c r="AJ42" s="9">
        <f t="shared" si="37"/>
        <v>8.7260034904013963</v>
      </c>
      <c r="AM42" s="4">
        <f t="shared" ref="AM42:AS51" si="59">(PERCENTRANK(D$3:D$78,D42))*100</f>
        <v>14.499999999999998</v>
      </c>
      <c r="AN42" s="4">
        <f t="shared" si="59"/>
        <v>18.7</v>
      </c>
      <c r="AO42" s="4">
        <f t="shared" si="59"/>
        <v>14.499999999999998</v>
      </c>
      <c r="AP42" s="4">
        <f t="shared" si="59"/>
        <v>20.8</v>
      </c>
      <c r="AQ42" s="4">
        <f t="shared" si="59"/>
        <v>8.3000000000000007</v>
      </c>
      <c r="AR42" s="4">
        <f t="shared" si="59"/>
        <v>58.3</v>
      </c>
      <c r="AS42" s="4">
        <f t="shared" si="59"/>
        <v>43.7</v>
      </c>
      <c r="AT42" s="4">
        <f t="shared" ref="AT42:BA51" si="60">(PERCENTRANK(K$3:K$78,K42))*100</f>
        <v>75</v>
      </c>
      <c r="AU42" s="4">
        <f t="shared" si="50"/>
        <v>14.499999999999998</v>
      </c>
      <c r="AV42" s="4">
        <f t="shared" si="50"/>
        <v>14.499999999999998</v>
      </c>
      <c r="AW42" s="4">
        <f t="shared" si="50"/>
        <v>16.600000000000001</v>
      </c>
      <c r="AX42" s="4">
        <f t="shared" si="50"/>
        <v>4.1000000000000005</v>
      </c>
      <c r="AY42" s="4">
        <f t="shared" si="50"/>
        <v>10.4</v>
      </c>
      <c r="AZ42" s="4">
        <f t="shared" si="50"/>
        <v>8.3000000000000007</v>
      </c>
      <c r="BA42" s="4">
        <f t="shared" si="50"/>
        <v>41.6</v>
      </c>
      <c r="BB42" s="4">
        <f t="shared" si="40"/>
        <v>14.499999999999998</v>
      </c>
      <c r="BC42" s="4">
        <f t="shared" si="41"/>
        <v>14.499999999999998</v>
      </c>
      <c r="BD42" s="4">
        <f t="shared" si="17"/>
        <v>89.6</v>
      </c>
      <c r="BE42" s="4">
        <f t="shared" si="18"/>
        <v>75</v>
      </c>
      <c r="BF42" s="4">
        <f t="shared" si="51"/>
        <v>10.4</v>
      </c>
      <c r="BG42" s="4">
        <f t="shared" si="52"/>
        <v>16.600000000000001</v>
      </c>
      <c r="BH42" s="4">
        <f t="shared" si="53"/>
        <v>6.2</v>
      </c>
      <c r="BI42" s="4">
        <f t="shared" si="54"/>
        <v>67.300000000000011</v>
      </c>
      <c r="BJ42" s="4">
        <f t="shared" si="55"/>
        <v>12.5</v>
      </c>
      <c r="BK42" s="4">
        <f t="shared" si="56"/>
        <v>12.5</v>
      </c>
      <c r="BL42" s="4">
        <f t="shared" si="57"/>
        <v>12.5</v>
      </c>
      <c r="BM42" s="4">
        <f t="shared" si="58"/>
        <v>14.499999999999998</v>
      </c>
      <c r="BN42" s="4">
        <f t="shared" si="27"/>
        <v>22.900000000000002</v>
      </c>
      <c r="BO42" s="4">
        <f t="shared" si="38"/>
        <v>66.699999999999989</v>
      </c>
    </row>
    <row r="43" spans="1:67" x14ac:dyDescent="0.25">
      <c r="A43" s="2">
        <v>41</v>
      </c>
      <c r="B43" s="5" t="s">
        <v>107</v>
      </c>
      <c r="C43" s="2">
        <v>10</v>
      </c>
      <c r="D43" s="9">
        <v>8.6999999999999993</v>
      </c>
      <c r="E43" s="9">
        <v>5.4</v>
      </c>
      <c r="F43" s="9">
        <v>2.5</v>
      </c>
      <c r="G43" s="9">
        <v>4.7</v>
      </c>
      <c r="H43" s="9">
        <v>53.2</v>
      </c>
      <c r="I43" s="9">
        <v>0.2</v>
      </c>
      <c r="J43" s="9">
        <v>0.7</v>
      </c>
      <c r="K43" s="9">
        <v>28.6</v>
      </c>
      <c r="L43" s="9">
        <v>0.1</v>
      </c>
      <c r="M43" s="9">
        <v>0.5</v>
      </c>
      <c r="N43" s="9">
        <v>20</v>
      </c>
      <c r="O43" s="9">
        <v>1.2</v>
      </c>
      <c r="P43" s="9">
        <v>3.5</v>
      </c>
      <c r="Q43" s="9">
        <v>4.7</v>
      </c>
      <c r="R43" s="9">
        <v>0.6</v>
      </c>
      <c r="S43" s="9">
        <v>0.6</v>
      </c>
      <c r="T43" s="9">
        <v>0.4</v>
      </c>
      <c r="U43" s="9">
        <v>1</v>
      </c>
      <c r="V43" s="9">
        <v>2.1</v>
      </c>
      <c r="W43" s="9">
        <f t="shared" si="28"/>
        <v>2.2999999999999998</v>
      </c>
      <c r="X43" s="9">
        <f t="shared" si="29"/>
        <v>4</v>
      </c>
      <c r="Y43" s="9">
        <f t="shared" si="30"/>
        <v>57.499999999999993</v>
      </c>
      <c r="Z43" s="6">
        <f t="shared" si="31"/>
        <v>0.6</v>
      </c>
      <c r="AA43" s="9">
        <f t="shared" si="32"/>
        <v>54.878048780487809</v>
      </c>
      <c r="AB43" s="6">
        <f t="shared" si="33"/>
        <v>1.0975609756097562</v>
      </c>
      <c r="AC43" s="6">
        <f t="shared" si="34"/>
        <v>0.91216216216216228</v>
      </c>
      <c r="AD43" s="9">
        <f t="shared" si="35"/>
        <v>55.319148936170208</v>
      </c>
      <c r="AE43" s="4">
        <f>100*(AA43/TOTAL_BASIC!$C$81)</f>
        <v>95.12377397795332</v>
      </c>
      <c r="AF43" s="4">
        <f>100*AC43/TOTAL_BASIC!$C$82</f>
        <v>88.615417909012223</v>
      </c>
      <c r="AG43" s="4">
        <f>100*N43/TOTAL_BASIC!$C$87</f>
        <v>25.867237687366167</v>
      </c>
      <c r="AH43" s="4">
        <f>100*AD43/TOTAL_BASIC!$C$86</f>
        <v>106.54315384820735</v>
      </c>
      <c r="AI43" s="3">
        <f t="shared" si="36"/>
        <v>0.19047619047619047</v>
      </c>
      <c r="AJ43" s="9">
        <f t="shared" si="37"/>
        <v>16.891891891891891</v>
      </c>
      <c r="AM43" s="4">
        <f t="shared" si="59"/>
        <v>18.7</v>
      </c>
      <c r="AN43" s="4">
        <f t="shared" si="59"/>
        <v>16.600000000000001</v>
      </c>
      <c r="AO43" s="4">
        <f t="shared" si="59"/>
        <v>20.8</v>
      </c>
      <c r="AP43" s="4">
        <f t="shared" si="59"/>
        <v>8.3000000000000007</v>
      </c>
      <c r="AQ43" s="4">
        <f t="shared" si="59"/>
        <v>87.5</v>
      </c>
      <c r="AR43" s="4">
        <f t="shared" si="59"/>
        <v>14.499999999999998</v>
      </c>
      <c r="AS43" s="4">
        <f t="shared" si="59"/>
        <v>10.4</v>
      </c>
      <c r="AT43" s="4">
        <f t="shared" si="60"/>
        <v>52</v>
      </c>
      <c r="AU43" s="4">
        <f t="shared" si="50"/>
        <v>10.4</v>
      </c>
      <c r="AV43" s="4">
        <f t="shared" si="50"/>
        <v>18.7</v>
      </c>
      <c r="AW43" s="4">
        <f t="shared" si="50"/>
        <v>10.4</v>
      </c>
      <c r="AX43" s="4">
        <f t="shared" si="50"/>
        <v>68.7</v>
      </c>
      <c r="AY43" s="4">
        <f t="shared" si="50"/>
        <v>50</v>
      </c>
      <c r="AZ43" s="4">
        <f t="shared" si="50"/>
        <v>56.2</v>
      </c>
      <c r="BA43" s="4">
        <f t="shared" si="50"/>
        <v>12.5</v>
      </c>
      <c r="BB43" s="4">
        <f t="shared" si="40"/>
        <v>43.7</v>
      </c>
      <c r="BC43" s="4">
        <f t="shared" si="41"/>
        <v>54.1</v>
      </c>
      <c r="BD43" s="4">
        <f t="shared" si="17"/>
        <v>70.900000000000006</v>
      </c>
      <c r="BE43" s="4">
        <f t="shared" si="18"/>
        <v>64.599999999999994</v>
      </c>
      <c r="BF43" s="4">
        <f t="shared" si="51"/>
        <v>27</v>
      </c>
      <c r="BG43" s="4">
        <f t="shared" si="52"/>
        <v>22.900000000000002</v>
      </c>
      <c r="BH43" s="4">
        <f t="shared" si="53"/>
        <v>66.600000000000009</v>
      </c>
      <c r="BI43" s="4">
        <f t="shared" si="54"/>
        <v>19.5</v>
      </c>
      <c r="BJ43" s="4">
        <f t="shared" si="55"/>
        <v>37.5</v>
      </c>
      <c r="BK43" s="4">
        <f t="shared" si="56"/>
        <v>37.5</v>
      </c>
      <c r="BL43" s="4">
        <f t="shared" si="57"/>
        <v>20.8</v>
      </c>
      <c r="BM43" s="4">
        <f t="shared" si="58"/>
        <v>72.899999999999991</v>
      </c>
      <c r="BN43" s="4">
        <f t="shared" si="27"/>
        <v>54.1</v>
      </c>
      <c r="BO43" s="4">
        <f t="shared" si="38"/>
        <v>10.5</v>
      </c>
    </row>
    <row r="44" spans="1:67" x14ac:dyDescent="0.25">
      <c r="A44" s="2">
        <v>42</v>
      </c>
      <c r="B44" s="5" t="s">
        <v>109</v>
      </c>
      <c r="C44" s="2">
        <v>8</v>
      </c>
      <c r="D44" s="9">
        <v>7.3</v>
      </c>
      <c r="E44" s="9">
        <v>5.3</v>
      </c>
      <c r="F44" s="9">
        <v>2.1</v>
      </c>
      <c r="G44" s="9">
        <v>5.0999999999999996</v>
      </c>
      <c r="H44" s="9">
        <v>41.5</v>
      </c>
      <c r="I44" s="9">
        <v>0.8</v>
      </c>
      <c r="J44" s="9">
        <v>2.9</v>
      </c>
      <c r="K44" s="9">
        <v>26.1</v>
      </c>
      <c r="L44" s="9">
        <v>0.1</v>
      </c>
      <c r="M44" s="9">
        <v>0.1</v>
      </c>
      <c r="N44" s="9">
        <v>100</v>
      </c>
      <c r="O44" s="9">
        <v>0.1</v>
      </c>
      <c r="P44" s="9">
        <v>0.9</v>
      </c>
      <c r="Q44" s="9">
        <v>1</v>
      </c>
      <c r="R44" s="9">
        <v>1.5</v>
      </c>
      <c r="S44" s="9">
        <v>0.8</v>
      </c>
      <c r="T44" s="9">
        <v>0</v>
      </c>
      <c r="U44" s="9">
        <v>0.3</v>
      </c>
      <c r="V44" s="9">
        <v>2.2999999999999998</v>
      </c>
      <c r="W44" s="9">
        <f t="shared" si="28"/>
        <v>1.3</v>
      </c>
      <c r="X44" s="9">
        <f t="shared" si="29"/>
        <v>2.1999999999999997</v>
      </c>
      <c r="Y44" s="9">
        <f t="shared" si="30"/>
        <v>59.090909090909108</v>
      </c>
      <c r="Z44" s="6">
        <f t="shared" si="31"/>
        <v>5</v>
      </c>
      <c r="AA44" s="9">
        <f t="shared" si="32"/>
        <v>51.516329704510113</v>
      </c>
      <c r="AB44" s="6">
        <f t="shared" si="33"/>
        <v>1.0303265940902022</v>
      </c>
      <c r="AC44" s="6">
        <f t="shared" si="34"/>
        <v>0.97354886113152106</v>
      </c>
      <c r="AD44" s="9">
        <f t="shared" si="35"/>
        <v>49.019607843137258</v>
      </c>
      <c r="AE44" s="4">
        <f>100*(AA44/TOTAL_BASIC!$C$81)</f>
        <v>89.296682587736541</v>
      </c>
      <c r="AF44" s="4">
        <f>100*AC44/TOTAL_BASIC!$C$82</f>
        <v>94.579059253584219</v>
      </c>
      <c r="AG44" s="4">
        <f>100*N44/TOTAL_BASIC!$C$87</f>
        <v>129.33618843683084</v>
      </c>
      <c r="AH44" s="4">
        <f>100*AD44/TOTAL_BASIC!$C$86</f>
        <v>94.410411592491442</v>
      </c>
      <c r="AI44" s="3">
        <f t="shared" si="36"/>
        <v>0</v>
      </c>
      <c r="AJ44" s="9">
        <f t="shared" si="37"/>
        <v>5.5106539309331382</v>
      </c>
      <c r="AM44" s="4">
        <f t="shared" si="59"/>
        <v>12.5</v>
      </c>
      <c r="AN44" s="4">
        <f t="shared" si="59"/>
        <v>14.499999999999998</v>
      </c>
      <c r="AO44" s="4">
        <f t="shared" si="59"/>
        <v>14.499999999999998</v>
      </c>
      <c r="AP44" s="4">
        <f t="shared" si="59"/>
        <v>14.499999999999998</v>
      </c>
      <c r="AQ44" s="4">
        <f t="shared" si="59"/>
        <v>31.2</v>
      </c>
      <c r="AR44" s="4">
        <f t="shared" si="59"/>
        <v>39.5</v>
      </c>
      <c r="AS44" s="4">
        <f t="shared" si="59"/>
        <v>50</v>
      </c>
      <c r="AT44" s="4">
        <f t="shared" si="60"/>
        <v>39.5</v>
      </c>
      <c r="AU44" s="4">
        <f t="shared" si="50"/>
        <v>10.4</v>
      </c>
      <c r="AV44" s="4">
        <f t="shared" si="50"/>
        <v>4.1000000000000005</v>
      </c>
      <c r="AW44" s="4">
        <f t="shared" si="50"/>
        <v>89.5</v>
      </c>
      <c r="AX44" s="4">
        <f t="shared" si="50"/>
        <v>0</v>
      </c>
      <c r="AY44" s="4">
        <f t="shared" si="50"/>
        <v>2</v>
      </c>
      <c r="AZ44" s="4">
        <f t="shared" si="50"/>
        <v>0</v>
      </c>
      <c r="BA44" s="4">
        <f t="shared" si="50"/>
        <v>45.800000000000004</v>
      </c>
      <c r="BB44" s="4">
        <f t="shared" si="40"/>
        <v>56.2</v>
      </c>
      <c r="BC44" s="4">
        <f t="shared" si="41"/>
        <v>0</v>
      </c>
      <c r="BD44" s="4">
        <f t="shared" si="17"/>
        <v>95.9</v>
      </c>
      <c r="BE44" s="4">
        <f t="shared" si="18"/>
        <v>54.199999999999996</v>
      </c>
      <c r="BF44" s="4">
        <f t="shared" si="51"/>
        <v>12.5</v>
      </c>
      <c r="BG44" s="4">
        <f t="shared" si="52"/>
        <v>4.1000000000000005</v>
      </c>
      <c r="BH44" s="4">
        <f t="shared" si="53"/>
        <v>77</v>
      </c>
      <c r="BI44" s="4">
        <f t="shared" si="54"/>
        <v>97.8</v>
      </c>
      <c r="BJ44" s="4">
        <f t="shared" si="55"/>
        <v>27</v>
      </c>
      <c r="BK44" s="4">
        <f t="shared" si="56"/>
        <v>27</v>
      </c>
      <c r="BL44" s="4">
        <f t="shared" si="57"/>
        <v>33.300000000000004</v>
      </c>
      <c r="BM44" s="4">
        <f t="shared" si="58"/>
        <v>35.4</v>
      </c>
      <c r="BN44" s="4">
        <f t="shared" si="27"/>
        <v>0</v>
      </c>
      <c r="BO44" s="4">
        <f t="shared" si="38"/>
        <v>93.8</v>
      </c>
    </row>
    <row r="45" spans="1:67" x14ac:dyDescent="0.25">
      <c r="A45" s="2">
        <v>43</v>
      </c>
      <c r="B45" s="5" t="s">
        <v>110</v>
      </c>
      <c r="C45" s="2">
        <v>1</v>
      </c>
      <c r="D45" s="9">
        <v>7</v>
      </c>
      <c r="E45" s="9">
        <v>5</v>
      </c>
      <c r="F45" s="9">
        <v>2</v>
      </c>
      <c r="G45" s="9">
        <v>7</v>
      </c>
      <c r="H45" s="9">
        <v>28.6</v>
      </c>
      <c r="I45" s="9">
        <v>1</v>
      </c>
      <c r="J45" s="9">
        <v>5</v>
      </c>
      <c r="K45" s="9">
        <v>20</v>
      </c>
      <c r="L45" s="9">
        <v>0</v>
      </c>
      <c r="M45" s="9">
        <v>0</v>
      </c>
      <c r="N45" s="9">
        <v>0</v>
      </c>
      <c r="O45" s="9">
        <v>1</v>
      </c>
      <c r="P45" s="9">
        <v>1</v>
      </c>
      <c r="Q45" s="9">
        <v>2</v>
      </c>
      <c r="R45" s="9">
        <v>0</v>
      </c>
      <c r="S45" s="9">
        <v>0</v>
      </c>
      <c r="T45" s="9">
        <v>0</v>
      </c>
      <c r="U45" s="9">
        <v>1</v>
      </c>
      <c r="V45" s="9">
        <v>1</v>
      </c>
      <c r="W45" s="9">
        <f t="shared" si="28"/>
        <v>1</v>
      </c>
      <c r="X45" s="9">
        <f t="shared" si="29"/>
        <v>2</v>
      </c>
      <c r="Y45" s="9">
        <f t="shared" si="30"/>
        <v>50</v>
      </c>
      <c r="Z45" s="6">
        <f t="shared" si="31"/>
        <v>0</v>
      </c>
      <c r="AA45" s="9">
        <f t="shared" si="32"/>
        <v>35.714285714285715</v>
      </c>
      <c r="AB45" s="6">
        <f t="shared" si="33"/>
        <v>0.7142857142857143</v>
      </c>
      <c r="AC45" s="6">
        <f t="shared" si="34"/>
        <v>0.625</v>
      </c>
      <c r="AD45" s="9">
        <f t="shared" si="35"/>
        <v>35.714285714285715</v>
      </c>
      <c r="AE45" s="4">
        <f>100*(AA45/TOTAL_BASIC!$C$81)</f>
        <v>61.905948144382315</v>
      </c>
      <c r="AF45" s="4">
        <f>100*AC45/TOTAL_BASIC!$C$82</f>
        <v>60.717971530249109</v>
      </c>
      <c r="AG45" s="4">
        <f>100*N45/TOTAL_BASIC!$C$87</f>
        <v>0</v>
      </c>
      <c r="AH45" s="4">
        <f>100*AD45/TOTAL_BASIC!$C$86</f>
        <v>68.784728445958052</v>
      </c>
      <c r="AI45" s="3">
        <f t="shared" si="36"/>
        <v>0</v>
      </c>
      <c r="AJ45" s="9">
        <f t="shared" si="37"/>
        <v>12.5</v>
      </c>
      <c r="AM45" s="4">
        <f t="shared" si="59"/>
        <v>10.4</v>
      </c>
      <c r="AN45" s="4">
        <f t="shared" si="59"/>
        <v>12.5</v>
      </c>
      <c r="AO45" s="4">
        <f t="shared" si="59"/>
        <v>12.5</v>
      </c>
      <c r="AP45" s="4">
        <f t="shared" si="59"/>
        <v>25</v>
      </c>
      <c r="AQ45" s="4">
        <f t="shared" si="59"/>
        <v>4.1000000000000005</v>
      </c>
      <c r="AR45" s="4">
        <f t="shared" si="59"/>
        <v>58.3</v>
      </c>
      <c r="AS45" s="4">
        <f t="shared" si="59"/>
        <v>83.3</v>
      </c>
      <c r="AT45" s="4">
        <f t="shared" si="60"/>
        <v>25</v>
      </c>
      <c r="AU45" s="4">
        <f t="shared" si="50"/>
        <v>0</v>
      </c>
      <c r="AV45" s="4">
        <f t="shared" si="50"/>
        <v>0</v>
      </c>
      <c r="AW45" s="4">
        <f t="shared" si="50"/>
        <v>0</v>
      </c>
      <c r="AX45" s="4">
        <f t="shared" si="50"/>
        <v>60.4</v>
      </c>
      <c r="AY45" s="4">
        <f t="shared" si="50"/>
        <v>4.1000000000000005</v>
      </c>
      <c r="AZ45" s="4">
        <f t="shared" si="50"/>
        <v>10.4</v>
      </c>
      <c r="BA45" s="4">
        <f t="shared" si="50"/>
        <v>0</v>
      </c>
      <c r="BB45" s="4">
        <f t="shared" si="40"/>
        <v>0</v>
      </c>
      <c r="BC45" s="4">
        <f t="shared" si="41"/>
        <v>0</v>
      </c>
      <c r="BD45" s="4">
        <f t="shared" si="17"/>
        <v>70.900000000000006</v>
      </c>
      <c r="BE45" s="4">
        <f t="shared" si="18"/>
        <v>100</v>
      </c>
      <c r="BF45" s="4">
        <f t="shared" si="51"/>
        <v>8.3000000000000007</v>
      </c>
      <c r="BG45" s="4">
        <f t="shared" si="52"/>
        <v>2</v>
      </c>
      <c r="BH45" s="4">
        <f t="shared" si="53"/>
        <v>37.5</v>
      </c>
      <c r="BI45" s="4">
        <f t="shared" si="54"/>
        <v>0</v>
      </c>
      <c r="BJ45" s="4">
        <f t="shared" si="55"/>
        <v>2</v>
      </c>
      <c r="BK45" s="4">
        <f t="shared" si="56"/>
        <v>2</v>
      </c>
      <c r="BL45" s="4">
        <f t="shared" si="57"/>
        <v>4.1000000000000005</v>
      </c>
      <c r="BM45" s="4">
        <f t="shared" si="58"/>
        <v>6.2</v>
      </c>
      <c r="BN45" s="4">
        <f t="shared" si="27"/>
        <v>0</v>
      </c>
      <c r="BO45" s="4">
        <f t="shared" si="38"/>
        <v>29.200000000000003</v>
      </c>
    </row>
    <row r="46" spans="1:67" x14ac:dyDescent="0.25">
      <c r="A46" s="2">
        <v>44</v>
      </c>
      <c r="B46" s="5" t="s">
        <v>111</v>
      </c>
      <c r="C46" s="2">
        <v>10</v>
      </c>
      <c r="D46" s="9">
        <v>5.5</v>
      </c>
      <c r="E46" s="9">
        <v>4.5</v>
      </c>
      <c r="F46" s="9">
        <v>1.7</v>
      </c>
      <c r="G46" s="9">
        <v>3.6</v>
      </c>
      <c r="H46" s="9">
        <v>47.2</v>
      </c>
      <c r="I46" s="9">
        <v>0.2</v>
      </c>
      <c r="J46" s="9">
        <v>1.1000000000000001</v>
      </c>
      <c r="K46" s="9">
        <v>18.2</v>
      </c>
      <c r="L46" s="9">
        <v>0.5</v>
      </c>
      <c r="M46" s="9">
        <v>0.5</v>
      </c>
      <c r="N46" s="9">
        <v>100</v>
      </c>
      <c r="O46" s="9">
        <v>0.9</v>
      </c>
      <c r="P46" s="9">
        <v>2.1</v>
      </c>
      <c r="Q46" s="9">
        <v>3</v>
      </c>
      <c r="R46" s="9">
        <v>0.2</v>
      </c>
      <c r="S46" s="9">
        <v>0.2</v>
      </c>
      <c r="T46" s="9">
        <v>0.2</v>
      </c>
      <c r="U46" s="9">
        <v>0.3</v>
      </c>
      <c r="V46" s="9">
        <v>1.3</v>
      </c>
      <c r="W46" s="9">
        <f t="shared" si="28"/>
        <v>1.5</v>
      </c>
      <c r="X46" s="9">
        <f t="shared" si="29"/>
        <v>2.5</v>
      </c>
      <c r="Y46" s="9">
        <f t="shared" si="30"/>
        <v>60</v>
      </c>
      <c r="Z46" s="6">
        <f t="shared" si="31"/>
        <v>0.66666666666666674</v>
      </c>
      <c r="AA46" s="9">
        <f t="shared" si="32"/>
        <v>58.900523560209422</v>
      </c>
      <c r="AB46" s="6">
        <f t="shared" si="33"/>
        <v>1.1780104712041883</v>
      </c>
      <c r="AC46" s="6">
        <f t="shared" si="34"/>
        <v>1.0922330097087378</v>
      </c>
      <c r="AD46" s="9">
        <f t="shared" si="35"/>
        <v>50</v>
      </c>
      <c r="AE46" s="4">
        <f>100*(AA46/TOTAL_BASIC!$C$81)</f>
        <v>102.09619720146821</v>
      </c>
      <c r="AF46" s="4">
        <f>100*AC46/TOTAL_BASIC!$C$82</f>
        <v>106.10907646062951</v>
      </c>
      <c r="AG46" s="4">
        <f>100*N46/TOTAL_BASIC!$C$87</f>
        <v>129.33618843683084</v>
      </c>
      <c r="AH46" s="4">
        <f>100*AD46/TOTAL_BASIC!$C$86</f>
        <v>96.298619824341273</v>
      </c>
      <c r="AI46" s="3">
        <f t="shared" si="36"/>
        <v>0.15384615384615385</v>
      </c>
      <c r="AJ46" s="9">
        <f t="shared" si="37"/>
        <v>7.2815533980582519</v>
      </c>
      <c r="AM46" s="4">
        <f t="shared" si="59"/>
        <v>2</v>
      </c>
      <c r="AN46" s="4">
        <f t="shared" si="59"/>
        <v>10.4</v>
      </c>
      <c r="AO46" s="4">
        <f t="shared" si="59"/>
        <v>8.3000000000000007</v>
      </c>
      <c r="AP46" s="4">
        <f t="shared" si="59"/>
        <v>4.1000000000000005</v>
      </c>
      <c r="AQ46" s="4">
        <f t="shared" si="59"/>
        <v>56.2</v>
      </c>
      <c r="AR46" s="4">
        <f t="shared" si="59"/>
        <v>14.499999999999998</v>
      </c>
      <c r="AS46" s="4">
        <f t="shared" si="59"/>
        <v>14.499999999999998</v>
      </c>
      <c r="AT46" s="4">
        <f t="shared" si="60"/>
        <v>20.8</v>
      </c>
      <c r="AU46" s="4">
        <f t="shared" si="50"/>
        <v>29.099999999999998</v>
      </c>
      <c r="AV46" s="4">
        <f t="shared" si="50"/>
        <v>18.7</v>
      </c>
      <c r="AW46" s="4">
        <f t="shared" si="50"/>
        <v>89.5</v>
      </c>
      <c r="AX46" s="4">
        <f t="shared" si="50"/>
        <v>45.800000000000004</v>
      </c>
      <c r="AY46" s="4">
        <f t="shared" si="50"/>
        <v>14.499999999999998</v>
      </c>
      <c r="AZ46" s="4">
        <f t="shared" si="50"/>
        <v>16.600000000000001</v>
      </c>
      <c r="BA46" s="4">
        <f t="shared" si="50"/>
        <v>6.2</v>
      </c>
      <c r="BB46" s="4">
        <f t="shared" si="40"/>
        <v>14.499999999999998</v>
      </c>
      <c r="BC46" s="4">
        <f t="shared" si="41"/>
        <v>25</v>
      </c>
      <c r="BD46" s="4">
        <f t="shared" si="17"/>
        <v>95.9</v>
      </c>
      <c r="BE46" s="4">
        <f t="shared" si="18"/>
        <v>95.9</v>
      </c>
      <c r="BF46" s="4">
        <f t="shared" si="51"/>
        <v>14.499999999999998</v>
      </c>
      <c r="BG46" s="4">
        <f t="shared" si="52"/>
        <v>6.2</v>
      </c>
      <c r="BH46" s="4">
        <f t="shared" si="53"/>
        <v>83.3</v>
      </c>
      <c r="BI46" s="4">
        <f t="shared" si="54"/>
        <v>26</v>
      </c>
      <c r="BJ46" s="4">
        <f t="shared" si="55"/>
        <v>62.5</v>
      </c>
      <c r="BK46" s="4">
        <f t="shared" si="56"/>
        <v>62.5</v>
      </c>
      <c r="BL46" s="4">
        <f t="shared" si="57"/>
        <v>77</v>
      </c>
      <c r="BM46" s="4">
        <f t="shared" si="58"/>
        <v>39.5</v>
      </c>
      <c r="BN46" s="4">
        <f t="shared" si="27"/>
        <v>50</v>
      </c>
      <c r="BO46" s="4">
        <f t="shared" si="38"/>
        <v>79.2</v>
      </c>
    </row>
    <row r="47" spans="1:67" x14ac:dyDescent="0.25">
      <c r="A47" s="2">
        <v>45</v>
      </c>
      <c r="B47" s="5" t="s">
        <v>113</v>
      </c>
      <c r="C47" s="2">
        <v>9</v>
      </c>
      <c r="D47" s="9">
        <v>11.8</v>
      </c>
      <c r="E47" s="9">
        <v>4.0999999999999996</v>
      </c>
      <c r="F47" s="9">
        <v>1.7</v>
      </c>
      <c r="G47" s="9">
        <v>4.8</v>
      </c>
      <c r="H47" s="9">
        <v>34.9</v>
      </c>
      <c r="I47" s="9">
        <v>0.8</v>
      </c>
      <c r="J47" s="9">
        <v>2.2000000000000002</v>
      </c>
      <c r="K47" s="9">
        <v>35</v>
      </c>
      <c r="L47" s="9">
        <v>0</v>
      </c>
      <c r="M47" s="9">
        <v>0.1</v>
      </c>
      <c r="N47" s="9">
        <v>0</v>
      </c>
      <c r="O47" s="9">
        <v>0.7</v>
      </c>
      <c r="P47" s="9">
        <v>2.8</v>
      </c>
      <c r="Q47" s="9">
        <v>3.4</v>
      </c>
      <c r="R47" s="9">
        <v>1.3</v>
      </c>
      <c r="S47" s="9">
        <v>0.3</v>
      </c>
      <c r="T47" s="9">
        <v>0.9</v>
      </c>
      <c r="U47" s="9">
        <v>1.4</v>
      </c>
      <c r="V47" s="9">
        <v>3.8</v>
      </c>
      <c r="W47" s="9">
        <f t="shared" si="28"/>
        <v>0.89999999999999991</v>
      </c>
      <c r="X47" s="9">
        <f t="shared" si="29"/>
        <v>2.5999999999999996</v>
      </c>
      <c r="Y47" s="9">
        <f t="shared" si="30"/>
        <v>34.615384615384613</v>
      </c>
      <c r="Z47" s="6">
        <f t="shared" si="31"/>
        <v>0.92857142857142871</v>
      </c>
      <c r="AA47" s="9">
        <f t="shared" si="32"/>
        <v>42.320396366639137</v>
      </c>
      <c r="AB47" s="6">
        <f t="shared" si="33"/>
        <v>0.84640792733278269</v>
      </c>
      <c r="AC47" s="6">
        <f t="shared" si="34"/>
        <v>0.65663036515054451</v>
      </c>
      <c r="AD47" s="9">
        <f t="shared" si="35"/>
        <v>43.75</v>
      </c>
      <c r="AE47" s="4">
        <f>100*(AA47/TOTAL_BASIC!$C$81)</f>
        <v>73.356759361840304</v>
      </c>
      <c r="AF47" s="4">
        <f>100*AC47/TOTAL_BASIC!$C$82</f>
        <v>63.790822107372549</v>
      </c>
      <c r="AG47" s="4">
        <f>100*N47/TOTAL_BASIC!$C$87</f>
        <v>0</v>
      </c>
      <c r="AH47" s="4">
        <f>100*AD47/TOTAL_BASIC!$C$86</f>
        <v>84.261292346298617</v>
      </c>
      <c r="AI47" s="3">
        <f t="shared" si="36"/>
        <v>0.23684210526315791</v>
      </c>
      <c r="AJ47" s="9">
        <f t="shared" si="37"/>
        <v>22.421524663677133</v>
      </c>
      <c r="AM47" s="4">
        <f t="shared" si="59"/>
        <v>45.800000000000004</v>
      </c>
      <c r="AN47" s="4">
        <f t="shared" si="59"/>
        <v>4.1000000000000005</v>
      </c>
      <c r="AO47" s="4">
        <f t="shared" si="59"/>
        <v>8.3000000000000007</v>
      </c>
      <c r="AP47" s="4">
        <f t="shared" si="59"/>
        <v>12.5</v>
      </c>
      <c r="AQ47" s="4">
        <f t="shared" si="59"/>
        <v>10.4</v>
      </c>
      <c r="AR47" s="4">
        <f t="shared" si="59"/>
        <v>39.5</v>
      </c>
      <c r="AS47" s="4">
        <f t="shared" si="59"/>
        <v>37.5</v>
      </c>
      <c r="AT47" s="4">
        <f t="shared" si="60"/>
        <v>68.7</v>
      </c>
      <c r="AU47" s="4">
        <f t="shared" si="50"/>
        <v>0</v>
      </c>
      <c r="AV47" s="4">
        <f t="shared" si="50"/>
        <v>4.1000000000000005</v>
      </c>
      <c r="AW47" s="4">
        <f t="shared" si="50"/>
        <v>0</v>
      </c>
      <c r="AX47" s="4">
        <f t="shared" si="50"/>
        <v>29.099999999999998</v>
      </c>
      <c r="AY47" s="4">
        <f t="shared" si="50"/>
        <v>33.300000000000004</v>
      </c>
      <c r="AZ47" s="4">
        <f t="shared" si="50"/>
        <v>29.099999999999998</v>
      </c>
      <c r="BA47" s="4">
        <f t="shared" si="50"/>
        <v>41.6</v>
      </c>
      <c r="BB47" s="4">
        <f t="shared" si="40"/>
        <v>20.8</v>
      </c>
      <c r="BC47" s="4">
        <f t="shared" si="41"/>
        <v>83.3</v>
      </c>
      <c r="BD47" s="4">
        <f t="shared" si="17"/>
        <v>39.6</v>
      </c>
      <c r="BE47" s="4">
        <f t="shared" si="18"/>
        <v>0</v>
      </c>
      <c r="BF47" s="4">
        <f t="shared" si="51"/>
        <v>6.2</v>
      </c>
      <c r="BG47" s="4">
        <f t="shared" si="52"/>
        <v>8.3000000000000007</v>
      </c>
      <c r="BH47" s="4">
        <f t="shared" si="53"/>
        <v>8.3000000000000007</v>
      </c>
      <c r="BI47" s="4">
        <f t="shared" si="54"/>
        <v>36.9</v>
      </c>
      <c r="BJ47" s="4">
        <f t="shared" si="55"/>
        <v>10.4</v>
      </c>
      <c r="BK47" s="4">
        <f t="shared" si="56"/>
        <v>10.4</v>
      </c>
      <c r="BL47" s="4">
        <f t="shared" si="57"/>
        <v>8.3000000000000007</v>
      </c>
      <c r="BM47" s="4">
        <f t="shared" si="58"/>
        <v>18.7</v>
      </c>
      <c r="BN47" s="4">
        <f t="shared" si="27"/>
        <v>68.7</v>
      </c>
      <c r="BO47" s="4">
        <f t="shared" si="38"/>
        <v>0</v>
      </c>
    </row>
    <row r="48" spans="1:67" x14ac:dyDescent="0.25">
      <c r="A48" s="2">
        <v>46</v>
      </c>
      <c r="B48" s="5" t="s">
        <v>115</v>
      </c>
      <c r="C48" s="2">
        <v>10</v>
      </c>
      <c r="D48" s="9">
        <v>6</v>
      </c>
      <c r="E48" s="9">
        <v>4.0999999999999996</v>
      </c>
      <c r="F48" s="9">
        <v>1.4</v>
      </c>
      <c r="G48" s="9">
        <v>3.5</v>
      </c>
      <c r="H48" s="9">
        <v>40</v>
      </c>
      <c r="I48" s="9">
        <v>1.3</v>
      </c>
      <c r="J48" s="9">
        <v>3.2</v>
      </c>
      <c r="K48" s="9">
        <v>40.6</v>
      </c>
      <c r="L48" s="9">
        <v>0</v>
      </c>
      <c r="M48" s="9">
        <v>0.1</v>
      </c>
      <c r="N48" s="9">
        <v>0</v>
      </c>
      <c r="O48" s="9">
        <v>0.1</v>
      </c>
      <c r="P48" s="9">
        <v>1.4</v>
      </c>
      <c r="Q48" s="9">
        <v>1.5</v>
      </c>
      <c r="R48" s="9">
        <v>0.6</v>
      </c>
      <c r="S48" s="9">
        <v>0.1</v>
      </c>
      <c r="T48" s="9">
        <v>0</v>
      </c>
      <c r="U48" s="9">
        <v>0.5</v>
      </c>
      <c r="V48" s="9">
        <v>2.2999999999999998</v>
      </c>
      <c r="W48" s="9">
        <f t="shared" si="28"/>
        <v>9.9999999999999867E-2</v>
      </c>
      <c r="X48" s="9">
        <f t="shared" si="29"/>
        <v>0.29999999999999982</v>
      </c>
      <c r="Y48" s="9">
        <f t="shared" si="30"/>
        <v>33.333333333333307</v>
      </c>
      <c r="Z48" s="6">
        <f t="shared" si="31"/>
        <v>1.2</v>
      </c>
      <c r="AA48" s="9">
        <f t="shared" si="32"/>
        <v>57.844243792325045</v>
      </c>
      <c r="AB48" s="6">
        <f t="shared" si="33"/>
        <v>1.1568848758465009</v>
      </c>
      <c r="AC48" s="6">
        <f t="shared" si="34"/>
        <v>1.0138476755687436</v>
      </c>
      <c r="AD48" s="9">
        <f t="shared" si="35"/>
        <v>58.571428571428562</v>
      </c>
      <c r="AE48" s="4">
        <f>100*(AA48/TOTAL_BASIC!$C$81)</f>
        <v>100.26527718644311</v>
      </c>
      <c r="AF48" s="4">
        <f>100*AC48/TOTAL_BASIC!$C$82</f>
        <v>98.494038881907528</v>
      </c>
      <c r="AG48" s="4">
        <f>100*N48/TOTAL_BASIC!$C$87</f>
        <v>0</v>
      </c>
      <c r="AH48" s="4">
        <f>100*AD48/TOTAL_BASIC!$C$86</f>
        <v>112.80695465137119</v>
      </c>
      <c r="AI48" s="3">
        <f t="shared" si="36"/>
        <v>0</v>
      </c>
      <c r="AJ48" s="9">
        <f t="shared" si="37"/>
        <v>12.363996043521265</v>
      </c>
      <c r="AM48" s="4">
        <f t="shared" si="59"/>
        <v>4.1000000000000005</v>
      </c>
      <c r="AN48" s="4">
        <f t="shared" si="59"/>
        <v>4.1000000000000005</v>
      </c>
      <c r="AO48" s="4">
        <f t="shared" si="59"/>
        <v>2</v>
      </c>
      <c r="AP48" s="4">
        <f t="shared" si="59"/>
        <v>2</v>
      </c>
      <c r="AQ48" s="4">
        <f t="shared" si="59"/>
        <v>22.900000000000002</v>
      </c>
      <c r="AR48" s="4">
        <f t="shared" si="59"/>
        <v>72.899999999999991</v>
      </c>
      <c r="AS48" s="4">
        <f t="shared" si="59"/>
        <v>54.1</v>
      </c>
      <c r="AT48" s="4">
        <f t="shared" si="60"/>
        <v>91.600000000000009</v>
      </c>
      <c r="AU48" s="4">
        <f t="shared" si="50"/>
        <v>0</v>
      </c>
      <c r="AV48" s="4">
        <f t="shared" si="50"/>
        <v>4.1000000000000005</v>
      </c>
      <c r="AW48" s="4">
        <f t="shared" si="50"/>
        <v>0</v>
      </c>
      <c r="AX48" s="4">
        <f t="shared" si="50"/>
        <v>0</v>
      </c>
      <c r="AY48" s="4">
        <f t="shared" si="50"/>
        <v>8.3000000000000007</v>
      </c>
      <c r="AZ48" s="4">
        <f t="shared" si="50"/>
        <v>4.1000000000000005</v>
      </c>
      <c r="BA48" s="4">
        <f t="shared" si="50"/>
        <v>12.5</v>
      </c>
      <c r="BB48" s="4">
        <f t="shared" si="40"/>
        <v>6.2</v>
      </c>
      <c r="BC48" s="4">
        <f t="shared" si="41"/>
        <v>0</v>
      </c>
      <c r="BD48" s="4">
        <f t="shared" si="17"/>
        <v>91.7</v>
      </c>
      <c r="BE48" s="4">
        <f t="shared" si="18"/>
        <v>54.199999999999996</v>
      </c>
      <c r="BF48" s="4">
        <f t="shared" si="51"/>
        <v>2</v>
      </c>
      <c r="BG48" s="4">
        <f t="shared" si="52"/>
        <v>0</v>
      </c>
      <c r="BH48" s="4">
        <f t="shared" si="53"/>
        <v>4.1000000000000005</v>
      </c>
      <c r="BI48" s="4">
        <f t="shared" si="54"/>
        <v>45.6</v>
      </c>
      <c r="BJ48" s="4">
        <f t="shared" si="55"/>
        <v>58.3</v>
      </c>
      <c r="BK48" s="4">
        <f t="shared" si="56"/>
        <v>58.3</v>
      </c>
      <c r="BL48" s="4">
        <f t="shared" si="57"/>
        <v>54.1</v>
      </c>
      <c r="BM48" s="4">
        <f t="shared" si="58"/>
        <v>91.600000000000009</v>
      </c>
      <c r="BN48" s="4">
        <f t="shared" si="27"/>
        <v>0</v>
      </c>
      <c r="BO48" s="4">
        <f t="shared" si="38"/>
        <v>35.5</v>
      </c>
    </row>
    <row r="49" spans="1:67" x14ac:dyDescent="0.25">
      <c r="A49" s="2">
        <v>47</v>
      </c>
      <c r="B49" s="5" t="s">
        <v>112</v>
      </c>
      <c r="C49" s="2">
        <v>9</v>
      </c>
      <c r="D49" s="9">
        <v>10.1</v>
      </c>
      <c r="E49" s="9">
        <v>4.0999999999999996</v>
      </c>
      <c r="F49" s="9">
        <v>1.4</v>
      </c>
      <c r="G49" s="9">
        <v>5.0999999999999996</v>
      </c>
      <c r="H49" s="9">
        <v>28.3</v>
      </c>
      <c r="I49" s="9">
        <v>0.6</v>
      </c>
      <c r="J49" s="9">
        <v>2.4</v>
      </c>
      <c r="K49" s="9">
        <v>22.7</v>
      </c>
      <c r="L49" s="9">
        <v>0.3</v>
      </c>
      <c r="M49" s="9">
        <v>0.3</v>
      </c>
      <c r="N49" s="9">
        <v>100</v>
      </c>
      <c r="O49" s="9">
        <v>1.2</v>
      </c>
      <c r="P49" s="9">
        <v>2</v>
      </c>
      <c r="Q49" s="9">
        <v>3.2</v>
      </c>
      <c r="R49" s="9">
        <v>0.6</v>
      </c>
      <c r="S49" s="9">
        <v>1.2</v>
      </c>
      <c r="T49" s="9">
        <v>0.2</v>
      </c>
      <c r="U49" s="9">
        <v>1.1000000000000001</v>
      </c>
      <c r="V49" s="9">
        <v>2</v>
      </c>
      <c r="W49" s="9">
        <f t="shared" si="28"/>
        <v>0.79999999999999993</v>
      </c>
      <c r="X49" s="9">
        <f t="shared" si="29"/>
        <v>2.6999999999999997</v>
      </c>
      <c r="Y49" s="9">
        <f t="shared" si="30"/>
        <v>29.629629629629626</v>
      </c>
      <c r="Z49" s="6">
        <f t="shared" si="31"/>
        <v>0.54545454545454541</v>
      </c>
      <c r="AA49" s="9">
        <f t="shared" si="32"/>
        <v>39.181957186544345</v>
      </c>
      <c r="AB49" s="6">
        <f t="shared" si="33"/>
        <v>0.78363914373088694</v>
      </c>
      <c r="AC49" s="6">
        <f t="shared" si="34"/>
        <v>0.64750473783954521</v>
      </c>
      <c r="AD49" s="9">
        <f t="shared" si="35"/>
        <v>33.333333333333336</v>
      </c>
      <c r="AE49" s="4">
        <f>100*(AA49/TOTAL_BASIC!$C$81)</f>
        <v>67.916693873997417</v>
      </c>
      <c r="AF49" s="4">
        <f>100*AC49/TOTAL_BASIC!$C$82</f>
        <v>62.904278780548673</v>
      </c>
      <c r="AG49" s="4">
        <f>100*N49/TOTAL_BASIC!$C$87</f>
        <v>129.33618843683084</v>
      </c>
      <c r="AH49" s="4">
        <f>100*AD49/TOTAL_BASIC!$C$86</f>
        <v>64.199079882894182</v>
      </c>
      <c r="AI49" s="3">
        <f t="shared" si="36"/>
        <v>0.1</v>
      </c>
      <c r="AJ49" s="9">
        <f t="shared" si="37"/>
        <v>17.372078332280484</v>
      </c>
      <c r="AM49" s="4">
        <f t="shared" si="59"/>
        <v>29.099999999999998</v>
      </c>
      <c r="AN49" s="4">
        <f t="shared" si="59"/>
        <v>4.1000000000000005</v>
      </c>
      <c r="AO49" s="4">
        <f t="shared" si="59"/>
        <v>2</v>
      </c>
      <c r="AP49" s="4">
        <f t="shared" si="59"/>
        <v>14.499999999999998</v>
      </c>
      <c r="AQ49" s="4">
        <f t="shared" si="59"/>
        <v>2</v>
      </c>
      <c r="AR49" s="4">
        <f t="shared" si="59"/>
        <v>35.4</v>
      </c>
      <c r="AS49" s="4">
        <f t="shared" si="59"/>
        <v>39.5</v>
      </c>
      <c r="AT49" s="4">
        <f t="shared" si="60"/>
        <v>29.099999999999998</v>
      </c>
      <c r="AU49" s="4">
        <f t="shared" si="50"/>
        <v>16.600000000000001</v>
      </c>
      <c r="AV49" s="4">
        <f t="shared" si="50"/>
        <v>12.5</v>
      </c>
      <c r="AW49" s="4">
        <f t="shared" si="50"/>
        <v>89.5</v>
      </c>
      <c r="AX49" s="4">
        <f t="shared" si="50"/>
        <v>68.7</v>
      </c>
      <c r="AY49" s="4">
        <f t="shared" si="50"/>
        <v>12.5</v>
      </c>
      <c r="AZ49" s="4">
        <f t="shared" si="50"/>
        <v>27</v>
      </c>
      <c r="BA49" s="4">
        <f t="shared" si="50"/>
        <v>12.5</v>
      </c>
      <c r="BB49" s="4">
        <f t="shared" si="40"/>
        <v>85.399999999999991</v>
      </c>
      <c r="BC49" s="4">
        <f t="shared" si="41"/>
        <v>25</v>
      </c>
      <c r="BD49" s="4">
        <f t="shared" si="17"/>
        <v>58.4</v>
      </c>
      <c r="BE49" s="4">
        <f t="shared" si="18"/>
        <v>75</v>
      </c>
      <c r="BF49" s="4">
        <f>(PERCENTRANK(W$3:W$78,W49))*100</f>
        <v>4.1000000000000005</v>
      </c>
      <c r="BG49" s="4">
        <f t="shared" si="52"/>
        <v>10.4</v>
      </c>
      <c r="BH49" s="4">
        <f t="shared" si="53"/>
        <v>2</v>
      </c>
      <c r="BI49" s="4">
        <f t="shared" si="54"/>
        <v>10.8</v>
      </c>
      <c r="BJ49" s="4">
        <f t="shared" si="55"/>
        <v>6.2</v>
      </c>
      <c r="BK49" s="4">
        <f t="shared" si="56"/>
        <v>6.2</v>
      </c>
      <c r="BL49" s="4">
        <f t="shared" si="57"/>
        <v>6.2</v>
      </c>
      <c r="BM49" s="4">
        <f t="shared" si="58"/>
        <v>4.1000000000000005</v>
      </c>
      <c r="BN49" s="4">
        <f t="shared" si="27"/>
        <v>35.4</v>
      </c>
      <c r="BO49" s="4">
        <f t="shared" si="38"/>
        <v>6.2999999999999972</v>
      </c>
    </row>
    <row r="50" spans="1:67" x14ac:dyDescent="0.25">
      <c r="A50" s="2">
        <v>48</v>
      </c>
      <c r="B50" s="5" t="s">
        <v>114</v>
      </c>
      <c r="C50" s="2">
        <v>2</v>
      </c>
      <c r="D50" s="2">
        <v>5</v>
      </c>
      <c r="E50" s="2">
        <v>3</v>
      </c>
      <c r="F50" s="2">
        <v>1.5</v>
      </c>
      <c r="G50" s="2">
        <v>3</v>
      </c>
      <c r="H50" s="2">
        <v>50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0.5</v>
      </c>
      <c r="P50" s="2">
        <v>1</v>
      </c>
      <c r="Q50" s="2">
        <v>1.5</v>
      </c>
      <c r="R50" s="2">
        <v>1.5</v>
      </c>
      <c r="S50" s="2">
        <v>0</v>
      </c>
      <c r="T50" s="2">
        <v>0.5</v>
      </c>
      <c r="U50" s="2">
        <v>0</v>
      </c>
      <c r="V50" s="2">
        <v>1</v>
      </c>
      <c r="W50" s="9">
        <f t="shared" si="28"/>
        <v>1.5</v>
      </c>
      <c r="X50" s="9">
        <f t="shared" si="29"/>
        <v>3</v>
      </c>
      <c r="Y50" s="9">
        <f t="shared" si="30"/>
        <v>50</v>
      </c>
      <c r="Z50" s="6" t="str">
        <f t="shared" si="31"/>
        <v>0</v>
      </c>
      <c r="AA50" s="9">
        <f t="shared" si="32"/>
        <v>50</v>
      </c>
      <c r="AB50" s="6">
        <f t="shared" si="33"/>
        <v>1</v>
      </c>
      <c r="AC50" s="6">
        <f t="shared" si="34"/>
        <v>1</v>
      </c>
      <c r="AD50" s="9">
        <f t="shared" si="35"/>
        <v>50</v>
      </c>
      <c r="AE50" s="4">
        <f>100*(AA50/TOTAL_BASIC!$C$81)</f>
        <v>86.668327402135233</v>
      </c>
      <c r="AF50" s="4">
        <f>100*AC50/TOTAL_BASIC!$C$82</f>
        <v>97.148754448398577</v>
      </c>
      <c r="AG50" s="4">
        <f>100*N50/TOTAL_BASIC!$C$87</f>
        <v>0</v>
      </c>
      <c r="AH50" s="4">
        <f>100*AD50/TOTAL_BASIC!$C$86</f>
        <v>96.298619824341273</v>
      </c>
      <c r="AI50" s="3">
        <f t="shared" si="36"/>
        <v>0.5</v>
      </c>
      <c r="AJ50" s="9">
        <f t="shared" si="37"/>
        <v>0</v>
      </c>
      <c r="AK50" s="2"/>
      <c r="AL50" s="2"/>
      <c r="AM50" s="4">
        <f t="shared" si="59"/>
        <v>0</v>
      </c>
      <c r="AN50" s="4">
        <f t="shared" si="59"/>
        <v>2</v>
      </c>
      <c r="AO50" s="4">
        <f t="shared" si="59"/>
        <v>6.2</v>
      </c>
      <c r="AP50" s="4">
        <f t="shared" si="59"/>
        <v>0</v>
      </c>
      <c r="AQ50" s="4">
        <f t="shared" si="59"/>
        <v>70.8</v>
      </c>
      <c r="AR50" s="4">
        <f t="shared" si="59"/>
        <v>0</v>
      </c>
      <c r="AS50" s="4">
        <f t="shared" si="59"/>
        <v>0</v>
      </c>
      <c r="AT50" s="4">
        <f t="shared" si="60"/>
        <v>0</v>
      </c>
      <c r="AU50" s="4">
        <f t="shared" si="50"/>
        <v>0</v>
      </c>
      <c r="AV50" s="4">
        <f t="shared" si="50"/>
        <v>0</v>
      </c>
      <c r="AW50" s="4">
        <f t="shared" si="50"/>
        <v>0</v>
      </c>
      <c r="AX50" s="4">
        <f t="shared" si="50"/>
        <v>16.600000000000001</v>
      </c>
      <c r="AY50" s="4">
        <f t="shared" si="50"/>
        <v>4.1000000000000005</v>
      </c>
      <c r="AZ50" s="4">
        <f t="shared" si="50"/>
        <v>4.1000000000000005</v>
      </c>
      <c r="BA50" s="4">
        <f t="shared" si="50"/>
        <v>45.800000000000004</v>
      </c>
      <c r="BB50" s="4">
        <f t="shared" si="40"/>
        <v>0</v>
      </c>
      <c r="BC50" s="4">
        <f t="shared" si="41"/>
        <v>60.4</v>
      </c>
      <c r="BD50" s="4">
        <f t="shared" si="17"/>
        <v>100</v>
      </c>
      <c r="BE50" s="4">
        <f t="shared" si="18"/>
        <v>100</v>
      </c>
      <c r="BF50" s="4">
        <f t="shared" ref="BF50:BF51" si="61">(PERCENTRANK(W$3:W$78,W50))*100</f>
        <v>14.499999999999998</v>
      </c>
      <c r="BG50" s="4">
        <f t="shared" si="52"/>
        <v>12.5</v>
      </c>
      <c r="BH50" s="4">
        <f t="shared" si="53"/>
        <v>37.5</v>
      </c>
      <c r="BI50" s="4">
        <f t="shared" si="54"/>
        <v>0</v>
      </c>
      <c r="BJ50" s="4">
        <f t="shared" si="55"/>
        <v>20.8</v>
      </c>
      <c r="BK50" s="4">
        <f t="shared" si="56"/>
        <v>20.8</v>
      </c>
      <c r="BL50" s="4">
        <f t="shared" si="57"/>
        <v>50</v>
      </c>
      <c r="BM50" s="4">
        <f t="shared" si="58"/>
        <v>39.5</v>
      </c>
      <c r="BN50" s="4">
        <f t="shared" si="27"/>
        <v>95.8</v>
      </c>
      <c r="BO50" s="4">
        <f t="shared" si="38"/>
        <v>100</v>
      </c>
    </row>
    <row r="51" spans="1:67" x14ac:dyDescent="0.25">
      <c r="A51" s="2">
        <v>49</v>
      </c>
      <c r="B51" s="5" t="s">
        <v>116</v>
      </c>
      <c r="C51" s="2">
        <v>1</v>
      </c>
      <c r="D51" s="2">
        <v>6</v>
      </c>
      <c r="E51" s="2">
        <v>2</v>
      </c>
      <c r="F51" s="2">
        <v>0</v>
      </c>
      <c r="G51" s="2">
        <v>4</v>
      </c>
      <c r="H51" s="2">
        <v>0</v>
      </c>
      <c r="I51" s="2">
        <v>0</v>
      </c>
      <c r="J51" s="2">
        <v>1</v>
      </c>
      <c r="K51" s="2">
        <v>0</v>
      </c>
      <c r="L51" s="2">
        <v>1</v>
      </c>
      <c r="M51" s="2">
        <v>3</v>
      </c>
      <c r="N51" s="2">
        <v>33.299999999999997</v>
      </c>
      <c r="O51" s="2">
        <v>1</v>
      </c>
      <c r="P51" s="2">
        <v>0</v>
      </c>
      <c r="Q51" s="2">
        <v>1</v>
      </c>
      <c r="R51" s="2">
        <v>0</v>
      </c>
      <c r="S51" s="2">
        <v>0</v>
      </c>
      <c r="T51" s="2">
        <v>0</v>
      </c>
      <c r="U51" s="2">
        <v>0</v>
      </c>
      <c r="V51" s="2">
        <v>2</v>
      </c>
      <c r="W51" s="9">
        <f t="shared" si="28"/>
        <v>0</v>
      </c>
      <c r="X51" s="9">
        <f t="shared" si="29"/>
        <v>3</v>
      </c>
      <c r="Y51" s="9">
        <f t="shared" si="30"/>
        <v>0</v>
      </c>
      <c r="Z51" s="6" t="str">
        <f t="shared" si="31"/>
        <v>0</v>
      </c>
      <c r="AA51" s="9">
        <f t="shared" si="32"/>
        <v>18.796992481203006</v>
      </c>
      <c r="AB51" s="6">
        <f t="shared" si="33"/>
        <v>0.37593984962406013</v>
      </c>
      <c r="AC51" s="6">
        <f t="shared" si="34"/>
        <v>0.37593984962406013</v>
      </c>
      <c r="AD51" s="9">
        <f t="shared" si="35"/>
        <v>0</v>
      </c>
      <c r="AE51" s="4">
        <f>100*(AA51/TOTAL_BASIC!$C$81)</f>
        <v>32.582077970727532</v>
      </c>
      <c r="AF51" s="4">
        <f>100*AC51/TOTAL_BASIC!$C$82</f>
        <v>36.522088138495704</v>
      </c>
      <c r="AG51" s="4">
        <f>100*N51/TOTAL_BASIC!$C$87</f>
        <v>43.068950749464662</v>
      </c>
      <c r="AH51" s="4">
        <f>100*AD51/TOTAL_BASIC!$C$86</f>
        <v>0</v>
      </c>
      <c r="AI51" s="3">
        <f t="shared" si="36"/>
        <v>0</v>
      </c>
      <c r="AJ51" s="9">
        <f t="shared" si="37"/>
        <v>0</v>
      </c>
      <c r="AK51" s="2"/>
      <c r="AL51" s="2"/>
      <c r="AM51" s="4">
        <f t="shared" si="59"/>
        <v>4.1000000000000005</v>
      </c>
      <c r="AN51" s="4">
        <f t="shared" si="59"/>
        <v>0</v>
      </c>
      <c r="AO51" s="4">
        <f t="shared" si="59"/>
        <v>0</v>
      </c>
      <c r="AP51" s="4">
        <f t="shared" si="59"/>
        <v>6.2</v>
      </c>
      <c r="AQ51" s="4">
        <f t="shared" si="59"/>
        <v>0</v>
      </c>
      <c r="AR51" s="4">
        <f t="shared" si="59"/>
        <v>0</v>
      </c>
      <c r="AS51" s="4">
        <f t="shared" si="59"/>
        <v>12.5</v>
      </c>
      <c r="AT51" s="4">
        <f t="shared" si="60"/>
        <v>0</v>
      </c>
      <c r="AU51" s="4">
        <f t="shared" si="60"/>
        <v>50</v>
      </c>
      <c r="AV51" s="4">
        <f t="shared" si="60"/>
        <v>91.600000000000009</v>
      </c>
      <c r="AW51" s="4">
        <f t="shared" si="60"/>
        <v>12.5</v>
      </c>
      <c r="AX51" s="4">
        <f t="shared" si="60"/>
        <v>60.4</v>
      </c>
      <c r="AY51" s="4">
        <f t="shared" si="60"/>
        <v>0</v>
      </c>
      <c r="AZ51" s="4">
        <f t="shared" si="60"/>
        <v>0</v>
      </c>
      <c r="BA51" s="4">
        <f t="shared" si="60"/>
        <v>0</v>
      </c>
      <c r="BB51" s="4">
        <f t="shared" si="40"/>
        <v>0</v>
      </c>
      <c r="BC51" s="4">
        <f t="shared" si="41"/>
        <v>0</v>
      </c>
      <c r="BD51" s="4">
        <f t="shared" si="17"/>
        <v>100</v>
      </c>
      <c r="BE51" s="4">
        <f t="shared" si="18"/>
        <v>75</v>
      </c>
      <c r="BF51" s="4">
        <f t="shared" si="61"/>
        <v>0</v>
      </c>
      <c r="BG51" s="4">
        <f t="shared" si="52"/>
        <v>12.5</v>
      </c>
      <c r="BH51" s="4">
        <f t="shared" si="53"/>
        <v>0</v>
      </c>
      <c r="BI51" s="4">
        <f t="shared" si="54"/>
        <v>0</v>
      </c>
      <c r="BJ51" s="4">
        <f t="shared" si="55"/>
        <v>0</v>
      </c>
      <c r="BK51" s="4">
        <f t="shared" si="56"/>
        <v>0</v>
      </c>
      <c r="BL51" s="4">
        <f t="shared" si="57"/>
        <v>0</v>
      </c>
      <c r="BM51" s="4">
        <f t="shared" si="58"/>
        <v>0</v>
      </c>
      <c r="BN51" s="4">
        <f t="shared" si="27"/>
        <v>0</v>
      </c>
      <c r="BO51" s="4">
        <f t="shared" si="38"/>
        <v>100</v>
      </c>
    </row>
    <row r="80" spans="3:36" x14ac:dyDescent="0.2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spans="3:36" x14ac:dyDescent="0.25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spans="3:36" x14ac:dyDescent="0.25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</sheetData>
  <autoFilter ref="A2:BN2" xr:uid="{00000000-0009-0000-0000-000002000000}"/>
  <mergeCells count="2">
    <mergeCell ref="AM1:BO1"/>
    <mergeCell ref="A1:AJ1"/>
  </mergeCells>
  <conditionalFormatting sqref="C3:C78">
    <cfRule type="colorScale" priority="6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D3:D78">
    <cfRule type="colorScale" priority="6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E3:E78">
    <cfRule type="colorScale" priority="6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F3:F78">
    <cfRule type="colorScale" priority="6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G3:G78">
    <cfRule type="colorScale" priority="6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H3:H78">
    <cfRule type="colorScale" priority="6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I3:I78">
    <cfRule type="colorScale" priority="6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J3:J78">
    <cfRule type="colorScale" priority="6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K3:K78">
    <cfRule type="colorScale" priority="5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L3:L78">
    <cfRule type="colorScale" priority="5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M3:M78">
    <cfRule type="colorScale" priority="5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N3:N78">
    <cfRule type="colorScale" priority="5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O3:O78">
    <cfRule type="colorScale" priority="5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P3:P78">
    <cfRule type="colorScale" priority="5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Q3:Q78">
    <cfRule type="colorScale" priority="5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R3:R78">
    <cfRule type="colorScale" priority="5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S3:S78">
    <cfRule type="colorScale" priority="5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T3:T78">
    <cfRule type="colorScale" priority="5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U3:U78">
    <cfRule type="colorScale" priority="49">
      <colorScale>
        <cfvo type="min"/>
        <cfvo type="percentile" val="50"/>
        <cfvo type="max"/>
        <color rgb="FF63BE7B"/>
        <color theme="0"/>
        <color rgb="FFF8696B"/>
      </colorScale>
    </cfRule>
  </conditionalFormatting>
  <conditionalFormatting sqref="V3:V78">
    <cfRule type="colorScale" priority="48">
      <colorScale>
        <cfvo type="min"/>
        <cfvo type="percentile" val="50"/>
        <cfvo type="max"/>
        <color rgb="FF63BE7B"/>
        <color theme="0"/>
        <color rgb="FFF8696B"/>
      </colorScale>
    </cfRule>
  </conditionalFormatting>
  <conditionalFormatting sqref="W3:W78">
    <cfRule type="colorScale" priority="4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X3:X78">
    <cfRule type="colorScale" priority="4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Y3:Y78">
    <cfRule type="colorScale" priority="4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Z3:Z78">
    <cfRule type="colorScale" priority="4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A3:AA78">
    <cfRule type="colorScale" priority="4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B3:AB78">
    <cfRule type="colorScale" priority="4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C3:AC7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D3:AD7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78">
    <cfRule type="colorScale" priority="4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F3:AH78">
    <cfRule type="colorScale" priority="3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3:AI78">
    <cfRule type="colorScale" priority="1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J3:AJ7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3:AM7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3:AN78">
    <cfRule type="colorScale" priority="3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O3:AO78">
    <cfRule type="colorScale" priority="3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3:AP78">
    <cfRule type="colorScale" priority="3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3:AQ78">
    <cfRule type="colorScale" priority="3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R3:AR78">
    <cfRule type="colorScale" priority="3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3:AS78">
    <cfRule type="colorScale" priority="3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3:AT78">
    <cfRule type="colorScale" priority="3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3:AU78">
    <cfRule type="colorScale" priority="2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3:AV78">
    <cfRule type="colorScale" priority="2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3:AW78">
    <cfRule type="colorScale" priority="2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3:AX78">
    <cfRule type="colorScale" priority="2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Y3:AY78">
    <cfRule type="colorScale" priority="2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3:AZ78">
    <cfRule type="colorScale" priority="2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3:BA78">
    <cfRule type="colorScale" priority="2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B3:BB78">
    <cfRule type="colorScale" priority="2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3:BC78">
    <cfRule type="colorScale" priority="2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3:BD7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3:BE7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F3:BF78">
    <cfRule type="colorScale" priority="1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G3:BG7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H3:BH7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I3:BI7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J3:BJ7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K3:BK7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L3:BM7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N3:BN78">
    <cfRule type="colorScale" priority="2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BO3:BO7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.3" footer="0.3"/>
  <ignoredErrors>
    <ignoredError sqref="BD3:BD4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38280-09A5-405D-93E7-135B8E0A1F5F}">
  <dimension ref="A1:M7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F1"/>
    </sheetView>
  </sheetViews>
  <sheetFormatPr baseColWidth="10" defaultRowHeight="15" x14ac:dyDescent="0.25"/>
  <cols>
    <col min="1" max="1" width="20.7109375" customWidth="1"/>
    <col min="2" max="11" width="11.7109375" customWidth="1"/>
  </cols>
  <sheetData>
    <row r="1" spans="1:13" ht="26.25" x14ac:dyDescent="0.4">
      <c r="A1" s="16" t="s">
        <v>29</v>
      </c>
      <c r="B1" s="16"/>
      <c r="C1" s="16"/>
      <c r="D1" s="16"/>
      <c r="E1" s="16"/>
      <c r="F1" s="16"/>
      <c r="I1" s="18" t="s">
        <v>30</v>
      </c>
      <c r="J1" s="18"/>
      <c r="K1" s="18"/>
      <c r="L1" s="18"/>
      <c r="M1" s="18"/>
    </row>
    <row r="2" spans="1:13" ht="35.1" customHeight="1" x14ac:dyDescent="0.25">
      <c r="A2" s="7" t="s">
        <v>2</v>
      </c>
      <c r="B2" s="13" t="s">
        <v>57</v>
      </c>
      <c r="C2" s="13" t="s">
        <v>58</v>
      </c>
      <c r="D2" s="14" t="s">
        <v>64</v>
      </c>
      <c r="E2" s="13" t="s">
        <v>65</v>
      </c>
      <c r="F2" s="13" t="s">
        <v>67</v>
      </c>
      <c r="I2" s="13" t="s">
        <v>57</v>
      </c>
      <c r="J2" s="13" t="s">
        <v>58</v>
      </c>
      <c r="K2" s="14" t="s">
        <v>64</v>
      </c>
      <c r="L2" s="13" t="s">
        <v>65</v>
      </c>
      <c r="M2" s="13" t="s">
        <v>67</v>
      </c>
    </row>
    <row r="3" spans="1:13" x14ac:dyDescent="0.25">
      <c r="A3" t="s">
        <v>70</v>
      </c>
      <c r="B3" s="9">
        <v>50.053944020356226</v>
      </c>
      <c r="C3" s="9">
        <v>36.348351316351661</v>
      </c>
      <c r="D3" s="6">
        <v>1.377062293272129</v>
      </c>
      <c r="E3" s="15">
        <v>11.417697431018079</v>
      </c>
      <c r="F3" s="15">
        <v>4.383891263782866</v>
      </c>
      <c r="I3" s="4">
        <f>(PERCENTRANK(B$3:B$49,B3))*100</f>
        <v>100</v>
      </c>
      <c r="J3" s="4">
        <f t="shared" ref="J3:K18" si="0">(PERCENTRANK(C$3:C$49,C3))*100</f>
        <v>63</v>
      </c>
      <c r="K3" s="4">
        <f t="shared" si="0"/>
        <v>97.8</v>
      </c>
      <c r="L3" s="4">
        <f>100-((PERCENTRANK(E$3:E$49,E3))*100)</f>
        <v>43.500000000000007</v>
      </c>
      <c r="M3" s="4">
        <f>(PERCENTRANK(F$3:F$49,F3))*100</f>
        <v>93.4</v>
      </c>
    </row>
    <row r="4" spans="1:13" x14ac:dyDescent="0.25">
      <c r="A4" t="s">
        <v>83</v>
      </c>
      <c r="B4" s="9">
        <v>8.1709896471112096</v>
      </c>
      <c r="C4" s="9">
        <v>37.613008446597732</v>
      </c>
      <c r="D4" s="6">
        <v>0.21723839662313194</v>
      </c>
      <c r="E4" s="15">
        <v>15.568240788790867</v>
      </c>
      <c r="F4" s="15">
        <v>0.52484990166611001</v>
      </c>
      <c r="I4" s="4">
        <f t="shared" ref="I4:K50" si="1">(PERCENTRANK(B$3:B$49,B4))*100</f>
        <v>15.2</v>
      </c>
      <c r="J4" s="4">
        <f t="shared" si="0"/>
        <v>78.2</v>
      </c>
      <c r="K4" s="4">
        <f t="shared" si="0"/>
        <v>10.8</v>
      </c>
      <c r="L4" s="4">
        <f t="shared" ref="L4:L51" si="2">100-((PERCENTRANK(E$3:E$49,E4))*100)</f>
        <v>10.900000000000006</v>
      </c>
      <c r="M4" s="4">
        <f t="shared" ref="M4:M51" si="3">(PERCENTRANK(F$3:F$49,F4))*100</f>
        <v>13</v>
      </c>
    </row>
    <row r="5" spans="1:13" x14ac:dyDescent="0.25">
      <c r="A5" t="s">
        <v>84</v>
      </c>
      <c r="B5" s="9">
        <v>20.101802797215999</v>
      </c>
      <c r="C5" s="9">
        <v>30.223804809326904</v>
      </c>
      <c r="D5" s="6">
        <v>0.66509835290534602</v>
      </c>
      <c r="E5" s="15">
        <v>10.102370689655173</v>
      </c>
      <c r="F5" s="15">
        <v>1.9898104528870877</v>
      </c>
      <c r="I5" s="4">
        <f t="shared" si="1"/>
        <v>56.499999999999993</v>
      </c>
      <c r="J5" s="4">
        <f t="shared" si="0"/>
        <v>28.199999999999996</v>
      </c>
      <c r="K5" s="4">
        <f t="shared" si="0"/>
        <v>60.8</v>
      </c>
      <c r="L5" s="4">
        <f t="shared" si="2"/>
        <v>54.4</v>
      </c>
      <c r="M5" s="4">
        <f t="shared" si="3"/>
        <v>50</v>
      </c>
    </row>
    <row r="6" spans="1:13" x14ac:dyDescent="0.25">
      <c r="A6" t="s">
        <v>91</v>
      </c>
      <c r="B6" s="9">
        <v>11.436386614268649</v>
      </c>
      <c r="C6" s="9">
        <v>32.969818442446424</v>
      </c>
      <c r="D6" s="6">
        <v>0.34687441892446308</v>
      </c>
      <c r="E6" s="15">
        <v>17.115960633290541</v>
      </c>
      <c r="F6" s="15">
        <v>0.66817088793864587</v>
      </c>
      <c r="I6" s="4">
        <f t="shared" si="1"/>
        <v>30.4</v>
      </c>
      <c r="J6" s="4">
        <f t="shared" si="0"/>
        <v>47.8</v>
      </c>
      <c r="K6" s="4">
        <f t="shared" si="0"/>
        <v>28.199999999999996</v>
      </c>
      <c r="L6" s="4">
        <f t="shared" si="2"/>
        <v>6.5999999999999943</v>
      </c>
      <c r="M6" s="4">
        <f t="shared" si="3"/>
        <v>23.9</v>
      </c>
    </row>
    <row r="7" spans="1:13" x14ac:dyDescent="0.25">
      <c r="A7" t="s">
        <v>105</v>
      </c>
      <c r="B7" s="9">
        <v>10.640765439257754</v>
      </c>
      <c r="C7" s="9">
        <v>26.78780113757692</v>
      </c>
      <c r="D7" s="6">
        <v>0.39722429566386797</v>
      </c>
      <c r="E7" s="15">
        <v>13.297872340425531</v>
      </c>
      <c r="F7" s="15">
        <v>0.80018556103218308</v>
      </c>
      <c r="I7" s="4">
        <f t="shared" si="1"/>
        <v>26</v>
      </c>
      <c r="J7" s="4">
        <f t="shared" si="0"/>
        <v>19.5</v>
      </c>
      <c r="K7" s="4">
        <f t="shared" si="0"/>
        <v>32.6</v>
      </c>
      <c r="L7" s="4">
        <f t="shared" si="2"/>
        <v>17.400000000000006</v>
      </c>
      <c r="M7" s="4">
        <f t="shared" si="3"/>
        <v>26</v>
      </c>
    </row>
    <row r="8" spans="1:13" x14ac:dyDescent="0.25">
      <c r="A8" t="s">
        <v>116</v>
      </c>
      <c r="B8" s="9">
        <v>0</v>
      </c>
      <c r="C8" s="9">
        <v>31.58490736966073</v>
      </c>
      <c r="D8" s="6">
        <v>0</v>
      </c>
      <c r="E8" s="15">
        <v>0</v>
      </c>
      <c r="F8" s="15">
        <v>0</v>
      </c>
      <c r="I8" s="4">
        <f t="shared" si="1"/>
        <v>0</v>
      </c>
      <c r="J8" s="4">
        <f t="shared" si="0"/>
        <v>41.3</v>
      </c>
      <c r="K8" s="4">
        <f t="shared" si="0"/>
        <v>0</v>
      </c>
      <c r="L8" s="4">
        <f t="shared" si="2"/>
        <v>100</v>
      </c>
      <c r="M8" s="4">
        <f t="shared" si="3"/>
        <v>0</v>
      </c>
    </row>
    <row r="9" spans="1:13" x14ac:dyDescent="0.25">
      <c r="A9" t="s">
        <v>77</v>
      </c>
      <c r="B9" s="9">
        <v>16.306954436450841</v>
      </c>
      <c r="C9" s="9">
        <v>40.648011782032398</v>
      </c>
      <c r="D9" s="6">
        <v>0.40117471240398994</v>
      </c>
      <c r="E9" s="15">
        <v>11.478420569329659</v>
      </c>
      <c r="F9" s="15">
        <v>1.4206618705035974</v>
      </c>
      <c r="I9" s="4">
        <f t="shared" si="1"/>
        <v>45.6</v>
      </c>
      <c r="J9" s="4">
        <f t="shared" si="0"/>
        <v>93.4</v>
      </c>
      <c r="K9" s="4">
        <f t="shared" si="0"/>
        <v>34.699999999999996</v>
      </c>
      <c r="L9" s="4">
        <f t="shared" si="2"/>
        <v>41.400000000000006</v>
      </c>
      <c r="M9" s="4">
        <f t="shared" si="3"/>
        <v>43.4</v>
      </c>
    </row>
    <row r="10" spans="1:13" x14ac:dyDescent="0.25">
      <c r="A10" t="s">
        <v>81</v>
      </c>
      <c r="B10" s="9">
        <v>35.494880546075088</v>
      </c>
      <c r="C10" s="9">
        <v>36.992165113964795</v>
      </c>
      <c r="D10" s="6">
        <v>0.95952427863368095</v>
      </c>
      <c r="E10" s="15">
        <v>10.933882171340366</v>
      </c>
      <c r="F10" s="15">
        <v>3.2463200160610319</v>
      </c>
      <c r="I10" s="4">
        <f t="shared" si="1"/>
        <v>86.9</v>
      </c>
      <c r="J10" s="4">
        <f t="shared" si="0"/>
        <v>69.5</v>
      </c>
      <c r="K10" s="4">
        <f t="shared" si="0"/>
        <v>80.400000000000006</v>
      </c>
      <c r="L10" s="4">
        <f t="shared" si="2"/>
        <v>45.699999999999996</v>
      </c>
      <c r="M10" s="4">
        <f t="shared" si="3"/>
        <v>80.400000000000006</v>
      </c>
    </row>
    <row r="11" spans="1:13" x14ac:dyDescent="0.25">
      <c r="A11" t="s">
        <v>90</v>
      </c>
      <c r="B11" s="9">
        <v>29.383886255924171</v>
      </c>
      <c r="C11" s="9">
        <v>24.624894006337311</v>
      </c>
      <c r="D11" s="6">
        <v>1.1932594003597383</v>
      </c>
      <c r="E11" s="15">
        <v>13.54731137974156</v>
      </c>
      <c r="F11" s="15">
        <v>2.1689828654757566</v>
      </c>
      <c r="I11" s="4">
        <f t="shared" si="1"/>
        <v>80.400000000000006</v>
      </c>
      <c r="J11" s="4">
        <f t="shared" si="0"/>
        <v>15.2</v>
      </c>
      <c r="K11" s="4">
        <f t="shared" si="0"/>
        <v>86.9</v>
      </c>
      <c r="L11" s="4">
        <f t="shared" si="2"/>
        <v>13.099999999999994</v>
      </c>
      <c r="M11" s="4">
        <f t="shared" si="3"/>
        <v>56.499999999999993</v>
      </c>
    </row>
    <row r="12" spans="1:13" x14ac:dyDescent="0.25">
      <c r="A12" t="s">
        <v>98</v>
      </c>
      <c r="B12" s="9">
        <v>8.2568807339449535</v>
      </c>
      <c r="C12" s="9">
        <v>27.23660574820369</v>
      </c>
      <c r="D12" s="6">
        <v>0.30315380742659215</v>
      </c>
      <c r="E12" s="15">
        <v>13.396537510305029</v>
      </c>
      <c r="F12" s="15">
        <v>0.61634438955539872</v>
      </c>
      <c r="I12" s="4">
        <f t="shared" si="1"/>
        <v>17.299999999999997</v>
      </c>
      <c r="J12" s="4">
        <f t="shared" si="0"/>
        <v>21.7</v>
      </c>
      <c r="K12" s="4">
        <f t="shared" si="0"/>
        <v>23.9</v>
      </c>
      <c r="L12" s="4">
        <f t="shared" si="2"/>
        <v>15.299999999999997</v>
      </c>
      <c r="M12" s="4">
        <f t="shared" si="3"/>
        <v>17.299999999999997</v>
      </c>
    </row>
    <row r="13" spans="1:13" x14ac:dyDescent="0.25">
      <c r="A13" t="s">
        <v>97</v>
      </c>
      <c r="B13" s="9">
        <v>5.0420168067226907</v>
      </c>
      <c r="C13" s="9">
        <v>34.30103687835647</v>
      </c>
      <c r="D13" s="6">
        <v>0.14699313098328351</v>
      </c>
      <c r="E13" s="15">
        <v>9.9750623441396513</v>
      </c>
      <c r="F13" s="15">
        <v>0.50546218487394967</v>
      </c>
      <c r="I13" s="4">
        <f t="shared" si="1"/>
        <v>8.6</v>
      </c>
      <c r="J13" s="4">
        <f t="shared" si="0"/>
        <v>54.300000000000004</v>
      </c>
      <c r="K13" s="4">
        <f t="shared" si="0"/>
        <v>6.5</v>
      </c>
      <c r="L13" s="4">
        <f t="shared" si="2"/>
        <v>58.7</v>
      </c>
      <c r="M13" s="4">
        <f t="shared" si="3"/>
        <v>8.6</v>
      </c>
    </row>
    <row r="14" spans="1:13" x14ac:dyDescent="0.25">
      <c r="A14" t="s">
        <v>100</v>
      </c>
      <c r="B14" s="9">
        <v>45.401174168297459</v>
      </c>
      <c r="C14" s="9">
        <v>36.362845471549633</v>
      </c>
      <c r="D14" s="6">
        <v>1.2485594452122684</v>
      </c>
      <c r="E14" s="15">
        <v>7.5037518759379696</v>
      </c>
      <c r="F14" s="15">
        <v>6.0504631441617738</v>
      </c>
      <c r="I14" s="4">
        <f t="shared" si="1"/>
        <v>97.8</v>
      </c>
      <c r="J14" s="4">
        <f t="shared" si="0"/>
        <v>65.2</v>
      </c>
      <c r="K14" s="4">
        <f t="shared" si="0"/>
        <v>93.4</v>
      </c>
      <c r="L14" s="4">
        <f t="shared" si="2"/>
        <v>76.099999999999994</v>
      </c>
      <c r="M14" s="4">
        <f t="shared" si="3"/>
        <v>100</v>
      </c>
    </row>
    <row r="15" spans="1:13" x14ac:dyDescent="0.25">
      <c r="A15" t="s">
        <v>75</v>
      </c>
      <c r="B15" s="9">
        <v>23.758620689655178</v>
      </c>
      <c r="C15" s="9">
        <v>38.216591967008689</v>
      </c>
      <c r="D15" s="6">
        <v>0.62168339631554081</v>
      </c>
      <c r="E15" s="15">
        <v>9.631849315068493</v>
      </c>
      <c r="F15" s="15">
        <v>2.4666727969348665</v>
      </c>
      <c r="I15" s="4">
        <f t="shared" si="1"/>
        <v>63</v>
      </c>
      <c r="J15" s="4">
        <f t="shared" si="0"/>
        <v>89.1</v>
      </c>
      <c r="K15" s="4">
        <f t="shared" si="0"/>
        <v>56.499999999999993</v>
      </c>
      <c r="L15" s="4">
        <f t="shared" si="2"/>
        <v>60.9</v>
      </c>
      <c r="M15" s="4">
        <f t="shared" si="3"/>
        <v>63</v>
      </c>
    </row>
    <row r="16" spans="1:13" x14ac:dyDescent="0.25">
      <c r="A16" t="s">
        <v>71</v>
      </c>
      <c r="B16" s="9">
        <v>28.196488739138154</v>
      </c>
      <c r="C16" s="9">
        <v>40.322248651162838</v>
      </c>
      <c r="D16" s="6">
        <v>0.69927867820747158</v>
      </c>
      <c r="E16" s="15">
        <v>8.6281276962899049</v>
      </c>
      <c r="F16" s="15">
        <v>3.2679730448661122</v>
      </c>
      <c r="I16" s="4">
        <f t="shared" si="1"/>
        <v>78.2</v>
      </c>
      <c r="J16" s="4">
        <f t="shared" si="0"/>
        <v>91.3</v>
      </c>
      <c r="K16" s="4">
        <f t="shared" si="0"/>
        <v>65.2</v>
      </c>
      <c r="L16" s="4">
        <f t="shared" si="2"/>
        <v>67.400000000000006</v>
      </c>
      <c r="M16" s="4">
        <f t="shared" si="3"/>
        <v>82.6</v>
      </c>
    </row>
    <row r="17" spans="1:13" x14ac:dyDescent="0.25">
      <c r="A17" t="s">
        <v>88</v>
      </c>
      <c r="B17" s="9">
        <v>22.756082600695152</v>
      </c>
      <c r="C17" s="9">
        <v>37.265164879431047</v>
      </c>
      <c r="D17" s="6">
        <v>0.61065294288435157</v>
      </c>
      <c r="E17" s="15">
        <v>10.8038029386344</v>
      </c>
      <c r="F17" s="15">
        <v>2.1063030055203433</v>
      </c>
      <c r="I17" s="4">
        <f t="shared" si="1"/>
        <v>60.8</v>
      </c>
      <c r="J17" s="4">
        <f t="shared" si="0"/>
        <v>76</v>
      </c>
      <c r="K17" s="4">
        <f t="shared" si="0"/>
        <v>52.1</v>
      </c>
      <c r="L17" s="4">
        <f t="shared" si="2"/>
        <v>50</v>
      </c>
      <c r="M17" s="4">
        <f t="shared" si="3"/>
        <v>54.300000000000004</v>
      </c>
    </row>
    <row r="18" spans="1:13" x14ac:dyDescent="0.25">
      <c r="A18" t="s">
        <v>101</v>
      </c>
      <c r="B18" s="9">
        <v>26.644642344153976</v>
      </c>
      <c r="C18" s="9">
        <v>22.191905206684631</v>
      </c>
      <c r="D18" s="6">
        <v>1.2006469068788241</v>
      </c>
      <c r="E18" s="15">
        <v>6.2761506276150634</v>
      </c>
      <c r="F18" s="15">
        <v>4.2453796801685328</v>
      </c>
      <c r="I18" s="4">
        <f t="shared" si="1"/>
        <v>73.900000000000006</v>
      </c>
      <c r="J18" s="4">
        <f t="shared" si="0"/>
        <v>4.3</v>
      </c>
      <c r="K18" s="4">
        <f t="shared" si="0"/>
        <v>91.3</v>
      </c>
      <c r="L18" s="4">
        <f t="shared" si="2"/>
        <v>87</v>
      </c>
      <c r="M18" s="4">
        <f t="shared" si="3"/>
        <v>91.3</v>
      </c>
    </row>
    <row r="19" spans="1:13" x14ac:dyDescent="0.25">
      <c r="A19" t="s">
        <v>104</v>
      </c>
      <c r="B19" s="9">
        <v>7.9591530259798775</v>
      </c>
      <c r="C19" s="9">
        <v>29.085105316712756</v>
      </c>
      <c r="D19" s="6">
        <v>0.27365047983534113</v>
      </c>
      <c r="E19" s="15">
        <v>12.506948304613672</v>
      </c>
      <c r="F19" s="15">
        <v>0.63637850194390233</v>
      </c>
      <c r="I19" s="4">
        <f t="shared" si="1"/>
        <v>13</v>
      </c>
      <c r="J19" s="4">
        <f t="shared" si="1"/>
        <v>26</v>
      </c>
      <c r="K19" s="4">
        <f t="shared" si="1"/>
        <v>19.5</v>
      </c>
      <c r="L19" s="4">
        <f t="shared" si="2"/>
        <v>24</v>
      </c>
      <c r="M19" s="4">
        <f t="shared" si="3"/>
        <v>21.7</v>
      </c>
    </row>
    <row r="20" spans="1:13" x14ac:dyDescent="0.25">
      <c r="A20" t="s">
        <v>111</v>
      </c>
      <c r="B20" s="9">
        <v>4.5758687675372327</v>
      </c>
      <c r="C20" s="9">
        <v>25.735519434819359</v>
      </c>
      <c r="D20" s="6">
        <v>0.17780362969267385</v>
      </c>
      <c r="E20" s="15">
        <v>7.2815533980582519</v>
      </c>
      <c r="F20" s="15">
        <v>0.62841931074178004</v>
      </c>
      <c r="I20" s="4">
        <f t="shared" si="1"/>
        <v>4.3</v>
      </c>
      <c r="J20" s="4">
        <f t="shared" si="1"/>
        <v>17.299999999999997</v>
      </c>
      <c r="K20" s="4">
        <f t="shared" si="1"/>
        <v>8.6</v>
      </c>
      <c r="L20" s="4">
        <f t="shared" si="2"/>
        <v>78.3</v>
      </c>
      <c r="M20" s="4">
        <f t="shared" si="3"/>
        <v>19.5</v>
      </c>
    </row>
    <row r="21" spans="1:13" x14ac:dyDescent="0.25">
      <c r="A21" s="5" t="s">
        <v>69</v>
      </c>
      <c r="B21" s="9">
        <v>44.235952726518768</v>
      </c>
      <c r="C21" s="9">
        <v>35.055373254048753</v>
      </c>
      <c r="D21" s="6">
        <v>1.2618879395731351</v>
      </c>
      <c r="E21" s="15">
        <v>10.91703056768559</v>
      </c>
      <c r="F21" s="15">
        <v>4.0520132697491187</v>
      </c>
      <c r="I21" s="4">
        <f t="shared" si="1"/>
        <v>95.6</v>
      </c>
      <c r="J21" s="4">
        <f t="shared" si="1"/>
        <v>56.499999999999993</v>
      </c>
      <c r="K21" s="4">
        <f t="shared" si="1"/>
        <v>95.6</v>
      </c>
      <c r="L21" s="4">
        <f t="shared" si="2"/>
        <v>47.9</v>
      </c>
      <c r="M21" s="4">
        <f t="shared" si="3"/>
        <v>86.9</v>
      </c>
    </row>
    <row r="22" spans="1:13" x14ac:dyDescent="0.25">
      <c r="A22" s="5" t="s">
        <v>85</v>
      </c>
      <c r="B22" s="9">
        <v>11.015616428336321</v>
      </c>
      <c r="C22" s="9">
        <v>34.056898332794866</v>
      </c>
      <c r="D22" s="6">
        <v>0.3234474355443257</v>
      </c>
      <c r="E22" s="15">
        <v>12.444690265486727</v>
      </c>
      <c r="F22" s="15">
        <v>0.88516597788586959</v>
      </c>
      <c r="I22" s="4">
        <f t="shared" si="1"/>
        <v>28.199999999999996</v>
      </c>
      <c r="J22" s="4">
        <f t="shared" si="1"/>
        <v>52.1</v>
      </c>
      <c r="K22" s="4">
        <f t="shared" si="1"/>
        <v>26</v>
      </c>
      <c r="L22" s="4">
        <f t="shared" si="2"/>
        <v>28.299999999999997</v>
      </c>
      <c r="M22" s="4">
        <f t="shared" si="3"/>
        <v>28.199999999999996</v>
      </c>
    </row>
    <row r="23" spans="1:13" x14ac:dyDescent="0.25">
      <c r="A23" s="5" t="s">
        <v>74</v>
      </c>
      <c r="B23" s="9">
        <v>4.875443111736999</v>
      </c>
      <c r="C23" s="9">
        <v>36.629912788853183</v>
      </c>
      <c r="D23" s="6">
        <v>0.13310004694361818</v>
      </c>
      <c r="E23" s="15">
        <v>3.2446463335496429</v>
      </c>
      <c r="F23" s="15">
        <v>1.5026115670373432</v>
      </c>
      <c r="I23" s="4">
        <f t="shared" si="1"/>
        <v>6.5</v>
      </c>
      <c r="J23" s="4">
        <f t="shared" si="1"/>
        <v>67.300000000000011</v>
      </c>
      <c r="K23" s="4">
        <f t="shared" si="1"/>
        <v>4.3</v>
      </c>
      <c r="L23" s="4">
        <f t="shared" si="2"/>
        <v>95.7</v>
      </c>
      <c r="M23" s="4">
        <f t="shared" si="3"/>
        <v>47.8</v>
      </c>
    </row>
    <row r="24" spans="1:13" x14ac:dyDescent="0.25">
      <c r="A24" s="5" t="s">
        <v>94</v>
      </c>
      <c r="B24" s="9">
        <v>19.555901830931049</v>
      </c>
      <c r="C24" s="9">
        <v>37.919447356533446</v>
      </c>
      <c r="D24" s="6">
        <v>0.51572222683149427</v>
      </c>
      <c r="E24" s="15">
        <v>5.8768218147625761</v>
      </c>
      <c r="F24" s="15">
        <v>3.3276322555512272</v>
      </c>
      <c r="I24" s="4">
        <f t="shared" si="1"/>
        <v>52.1</v>
      </c>
      <c r="J24" s="4">
        <f t="shared" si="1"/>
        <v>82.6</v>
      </c>
      <c r="K24" s="4">
        <f t="shared" si="1"/>
        <v>43.4</v>
      </c>
      <c r="L24" s="4">
        <f t="shared" si="2"/>
        <v>91.4</v>
      </c>
      <c r="M24" s="4">
        <f t="shared" si="3"/>
        <v>84.7</v>
      </c>
    </row>
    <row r="25" spans="1:13" x14ac:dyDescent="0.25">
      <c r="A25" s="5" t="s">
        <v>109</v>
      </c>
      <c r="B25" s="9">
        <v>26.039595400708915</v>
      </c>
      <c r="C25" s="9">
        <v>28.039846194676063</v>
      </c>
      <c r="D25" s="6">
        <v>0.92866398837997421</v>
      </c>
      <c r="E25" s="15">
        <v>4.6040515653775325</v>
      </c>
      <c r="F25" s="15">
        <v>5.6558001210339759</v>
      </c>
      <c r="I25" s="4">
        <f t="shared" si="1"/>
        <v>71.7</v>
      </c>
      <c r="J25" s="4">
        <f t="shared" si="1"/>
        <v>23.9</v>
      </c>
      <c r="K25" s="4">
        <f t="shared" si="1"/>
        <v>78.2</v>
      </c>
      <c r="L25" s="4">
        <f t="shared" si="2"/>
        <v>93.5</v>
      </c>
      <c r="M25" s="4">
        <f t="shared" si="3"/>
        <v>97.8</v>
      </c>
    </row>
    <row r="26" spans="1:13" x14ac:dyDescent="0.25">
      <c r="A26" s="5" t="s">
        <v>112</v>
      </c>
      <c r="B26" s="9">
        <v>5.815569972196478</v>
      </c>
      <c r="C26" s="9">
        <v>23.58188914480305</v>
      </c>
      <c r="D26" s="6">
        <v>0.24661170852285627</v>
      </c>
      <c r="E26" s="15">
        <v>17.445917655268666</v>
      </c>
      <c r="F26" s="15">
        <v>0.33334847080630214</v>
      </c>
      <c r="I26" s="4">
        <f t="shared" si="1"/>
        <v>10.8</v>
      </c>
      <c r="J26" s="4">
        <f t="shared" si="1"/>
        <v>13</v>
      </c>
      <c r="K26" s="4">
        <f t="shared" si="1"/>
        <v>17.299999999999997</v>
      </c>
      <c r="L26" s="4">
        <f t="shared" si="2"/>
        <v>4.4000000000000057</v>
      </c>
      <c r="M26" s="4">
        <f t="shared" si="3"/>
        <v>6.5</v>
      </c>
    </row>
    <row r="27" spans="1:13" x14ac:dyDescent="0.25">
      <c r="A27" t="s">
        <v>114</v>
      </c>
      <c r="B27" s="9">
        <v>38.088012139605468</v>
      </c>
      <c r="C27" s="9">
        <v>22.462860211204582</v>
      </c>
      <c r="D27" s="6">
        <v>1.6955993930197271</v>
      </c>
      <c r="E27" s="15">
        <v>0</v>
      </c>
      <c r="F27" s="15">
        <v>0</v>
      </c>
      <c r="I27" s="4">
        <f t="shared" si="1"/>
        <v>91.3</v>
      </c>
      <c r="J27" s="4">
        <f t="shared" si="1"/>
        <v>6.5</v>
      </c>
      <c r="K27" s="4">
        <f t="shared" si="1"/>
        <v>100</v>
      </c>
      <c r="L27" s="4">
        <f t="shared" si="2"/>
        <v>100</v>
      </c>
      <c r="M27" s="4">
        <f t="shared" si="3"/>
        <v>0</v>
      </c>
    </row>
    <row r="28" spans="1:13" x14ac:dyDescent="0.25">
      <c r="A28" t="s">
        <v>80</v>
      </c>
      <c r="B28" s="9">
        <v>17.459190915542937</v>
      </c>
      <c r="C28" s="9">
        <v>31.645794123210568</v>
      </c>
      <c r="D28" s="6">
        <v>0.55170651896321088</v>
      </c>
      <c r="E28" s="15">
        <v>6.3710499490316002</v>
      </c>
      <c r="F28" s="15">
        <v>2.7403946061036195</v>
      </c>
      <c r="I28" s="4">
        <f t="shared" si="1"/>
        <v>47.8</v>
      </c>
      <c r="J28" s="4">
        <f t="shared" si="1"/>
        <v>43.4</v>
      </c>
      <c r="K28" s="4">
        <f t="shared" si="1"/>
        <v>47.8</v>
      </c>
      <c r="L28" s="4">
        <f t="shared" si="2"/>
        <v>84.8</v>
      </c>
      <c r="M28" s="4">
        <f t="shared" si="3"/>
        <v>69.5</v>
      </c>
    </row>
    <row r="29" spans="1:13" x14ac:dyDescent="0.25">
      <c r="A29" t="s">
        <v>82</v>
      </c>
      <c r="B29" s="9">
        <v>24.636955433149723</v>
      </c>
      <c r="C29" s="9">
        <v>32.993667431794044</v>
      </c>
      <c r="D29" s="6">
        <v>0.74671769920941089</v>
      </c>
      <c r="E29" s="15">
        <v>8.2195245321193724</v>
      </c>
      <c r="F29" s="15">
        <v>2.9973699010053543</v>
      </c>
      <c r="I29" s="4">
        <f t="shared" si="1"/>
        <v>65.2</v>
      </c>
      <c r="J29" s="4">
        <f t="shared" si="1"/>
        <v>50</v>
      </c>
      <c r="K29" s="4">
        <f t="shared" si="1"/>
        <v>67.300000000000011</v>
      </c>
      <c r="L29" s="4">
        <f t="shared" si="2"/>
        <v>71.800000000000011</v>
      </c>
      <c r="M29" s="4">
        <f t="shared" si="3"/>
        <v>76</v>
      </c>
    </row>
    <row r="30" spans="1:13" x14ac:dyDescent="0.25">
      <c r="A30" t="s">
        <v>87</v>
      </c>
      <c r="B30" s="9">
        <v>11.474367128864012</v>
      </c>
      <c r="C30" s="9">
        <v>37.854957510430843</v>
      </c>
      <c r="D30" s="6">
        <v>0.30311398779677079</v>
      </c>
      <c r="E30" s="15">
        <v>12.345679012345679</v>
      </c>
      <c r="F30" s="15">
        <v>0.92942373743798501</v>
      </c>
      <c r="I30" s="4">
        <f t="shared" si="1"/>
        <v>32.6</v>
      </c>
      <c r="J30" s="4">
        <f t="shared" si="1"/>
        <v>80.400000000000006</v>
      </c>
      <c r="K30" s="4">
        <f t="shared" si="1"/>
        <v>21.7</v>
      </c>
      <c r="L30" s="4">
        <f t="shared" si="2"/>
        <v>34.799999999999997</v>
      </c>
      <c r="M30" s="4">
        <f t="shared" si="3"/>
        <v>32.6</v>
      </c>
    </row>
    <row r="31" spans="1:13" x14ac:dyDescent="0.25">
      <c r="A31" t="s">
        <v>96</v>
      </c>
      <c r="B31" s="9">
        <v>13.813434407243628</v>
      </c>
      <c r="C31" s="9">
        <v>30.439875941900468</v>
      </c>
      <c r="D31" s="6">
        <v>0.45379404415474128</v>
      </c>
      <c r="E31" s="15">
        <v>11.7096018735363</v>
      </c>
      <c r="F31" s="15">
        <v>1.1796672983786058</v>
      </c>
      <c r="I31" s="4">
        <f t="shared" si="1"/>
        <v>39.1</v>
      </c>
      <c r="J31" s="4">
        <f t="shared" si="1"/>
        <v>30.4</v>
      </c>
      <c r="K31" s="4">
        <f t="shared" si="1"/>
        <v>41.3</v>
      </c>
      <c r="L31" s="4">
        <f t="shared" si="2"/>
        <v>37</v>
      </c>
      <c r="M31" s="4">
        <f t="shared" si="3"/>
        <v>41.3</v>
      </c>
    </row>
    <row r="32" spans="1:13" x14ac:dyDescent="0.25">
      <c r="A32" t="s">
        <v>108</v>
      </c>
      <c r="B32" s="9">
        <v>19.748054835124119</v>
      </c>
      <c r="C32" s="9">
        <v>31.018866263716916</v>
      </c>
      <c r="D32" s="6">
        <v>0.63664657074277464</v>
      </c>
      <c r="E32" s="15">
        <v>8.7260034904013981</v>
      </c>
      <c r="F32" s="15">
        <v>2.2631270841052236</v>
      </c>
      <c r="I32" s="4">
        <f t="shared" si="1"/>
        <v>54.300000000000004</v>
      </c>
      <c r="J32" s="4">
        <f t="shared" si="1"/>
        <v>36.9</v>
      </c>
      <c r="K32" s="4">
        <f t="shared" si="1"/>
        <v>58.599999999999994</v>
      </c>
      <c r="L32" s="4">
        <f t="shared" si="2"/>
        <v>65.300000000000011</v>
      </c>
      <c r="M32" s="4">
        <f t="shared" si="3"/>
        <v>58.599999999999994</v>
      </c>
    </row>
    <row r="33" spans="1:13" x14ac:dyDescent="0.25">
      <c r="A33" t="s">
        <v>106</v>
      </c>
      <c r="B33" s="9">
        <v>15.205664194200944</v>
      </c>
      <c r="C33" s="9">
        <v>35.099070231439086</v>
      </c>
      <c r="D33" s="6">
        <v>0.43322128175865077</v>
      </c>
      <c r="E33" s="15">
        <v>13.151602104256337</v>
      </c>
      <c r="F33" s="15">
        <v>1.1561834120026973</v>
      </c>
      <c r="I33" s="4">
        <f t="shared" si="1"/>
        <v>41.3</v>
      </c>
      <c r="J33" s="4">
        <f t="shared" si="1"/>
        <v>60.8</v>
      </c>
      <c r="K33" s="4">
        <f t="shared" si="1"/>
        <v>36.9</v>
      </c>
      <c r="L33" s="4">
        <f t="shared" si="2"/>
        <v>19.599999999999994</v>
      </c>
      <c r="M33" s="4">
        <f t="shared" si="3"/>
        <v>39.1</v>
      </c>
    </row>
    <row r="34" spans="1:13" x14ac:dyDescent="0.25">
      <c r="A34" t="s">
        <v>68</v>
      </c>
      <c r="B34" s="9">
        <v>37.442664769800579</v>
      </c>
      <c r="C34" s="9">
        <v>43.952698404569027</v>
      </c>
      <c r="D34" s="6">
        <v>0.85188546161953715</v>
      </c>
      <c r="E34" s="15">
        <v>12.721602101116218</v>
      </c>
      <c r="F34" s="15">
        <v>2.9432350164854855</v>
      </c>
      <c r="I34" s="4">
        <f t="shared" si="1"/>
        <v>89.1</v>
      </c>
      <c r="J34" s="4">
        <f t="shared" si="1"/>
        <v>100</v>
      </c>
      <c r="K34" s="4">
        <f t="shared" si="1"/>
        <v>73.900000000000006</v>
      </c>
      <c r="L34" s="4">
        <f t="shared" si="2"/>
        <v>21.799999999999997</v>
      </c>
      <c r="M34" s="4">
        <f t="shared" si="3"/>
        <v>71.7</v>
      </c>
    </row>
    <row r="35" spans="1:13" x14ac:dyDescent="0.25">
      <c r="A35" t="s">
        <v>72</v>
      </c>
      <c r="B35" s="9">
        <v>16.24218392557572</v>
      </c>
      <c r="C35" s="9">
        <v>37.072364426667853</v>
      </c>
      <c r="D35" s="6">
        <v>0.43812106880056378</v>
      </c>
      <c r="E35" s="15">
        <v>17.79781680113906</v>
      </c>
      <c r="F35" s="15">
        <v>0.91259417416501443</v>
      </c>
      <c r="I35" s="4">
        <f t="shared" si="1"/>
        <v>43.4</v>
      </c>
      <c r="J35" s="4">
        <f t="shared" si="1"/>
        <v>71.7</v>
      </c>
      <c r="K35" s="4">
        <f t="shared" si="1"/>
        <v>39.1</v>
      </c>
      <c r="L35" s="4">
        <f t="shared" si="2"/>
        <v>2.2000000000000028</v>
      </c>
      <c r="M35" s="4">
        <f t="shared" si="3"/>
        <v>30.4</v>
      </c>
    </row>
    <row r="36" spans="1:13" x14ac:dyDescent="0.25">
      <c r="A36" t="s">
        <v>86</v>
      </c>
      <c r="B36" s="9">
        <v>30.020633900483709</v>
      </c>
      <c r="C36" s="9">
        <v>37.987764128732948</v>
      </c>
      <c r="D36" s="6">
        <v>0.79027114622355177</v>
      </c>
      <c r="E36" s="15">
        <v>9.529860228716645</v>
      </c>
      <c r="F36" s="15">
        <v>3.1501651839574238</v>
      </c>
      <c r="I36" s="4">
        <f t="shared" si="1"/>
        <v>82.6</v>
      </c>
      <c r="J36" s="4">
        <f t="shared" si="1"/>
        <v>84.7</v>
      </c>
      <c r="K36" s="4">
        <f t="shared" si="1"/>
        <v>71.7</v>
      </c>
      <c r="L36" s="4">
        <f t="shared" si="2"/>
        <v>63.1</v>
      </c>
      <c r="M36" s="4">
        <f t="shared" si="3"/>
        <v>78.2</v>
      </c>
    </row>
    <row r="37" spans="1:13" x14ac:dyDescent="0.25">
      <c r="A37" t="s">
        <v>107</v>
      </c>
      <c r="B37" s="9">
        <v>8.7755438365194465</v>
      </c>
      <c r="C37" s="9">
        <v>23.196898132327398</v>
      </c>
      <c r="D37" s="6">
        <v>0.37830677991768963</v>
      </c>
      <c r="E37" s="15">
        <v>16.891891891891891</v>
      </c>
      <c r="F37" s="15">
        <v>0.51951219512195124</v>
      </c>
      <c r="I37" s="4">
        <f t="shared" si="1"/>
        <v>19.5</v>
      </c>
      <c r="J37" s="4">
        <f t="shared" si="1"/>
        <v>10.8</v>
      </c>
      <c r="K37" s="4">
        <f t="shared" si="1"/>
        <v>30.4</v>
      </c>
      <c r="L37" s="4">
        <f t="shared" si="2"/>
        <v>8.7000000000000028</v>
      </c>
      <c r="M37" s="4">
        <f t="shared" si="3"/>
        <v>10.8</v>
      </c>
    </row>
    <row r="38" spans="1:13" x14ac:dyDescent="0.25">
      <c r="A38" t="s">
        <v>115</v>
      </c>
      <c r="B38" s="9">
        <v>11.906092789267746</v>
      </c>
      <c r="C38" s="9">
        <v>22.97668433586848</v>
      </c>
      <c r="D38" s="6">
        <v>0.51818150152680487</v>
      </c>
      <c r="E38" s="15">
        <v>12.363996043521267</v>
      </c>
      <c r="F38" s="15">
        <v>0.96296478479597525</v>
      </c>
      <c r="I38" s="4">
        <f t="shared" si="1"/>
        <v>34.699999999999996</v>
      </c>
      <c r="J38" s="4">
        <f t="shared" si="1"/>
        <v>8.6</v>
      </c>
      <c r="K38" s="4">
        <f t="shared" si="1"/>
        <v>45.6</v>
      </c>
      <c r="L38" s="4">
        <f t="shared" si="2"/>
        <v>32.699999999999989</v>
      </c>
      <c r="M38" s="4">
        <f t="shared" si="3"/>
        <v>34.699999999999996</v>
      </c>
    </row>
    <row r="39" spans="1:13" x14ac:dyDescent="0.25">
      <c r="A39" t="s">
        <v>113</v>
      </c>
      <c r="B39" s="9">
        <v>12.150252417215709</v>
      </c>
      <c r="C39" s="9">
        <v>18.151336206209294</v>
      </c>
      <c r="D39" s="6">
        <v>0.66938611456380237</v>
      </c>
      <c r="E39" s="15">
        <v>23.033309709425939</v>
      </c>
      <c r="F39" s="15">
        <v>0.52750788186742659</v>
      </c>
      <c r="I39" s="4">
        <f t="shared" si="1"/>
        <v>36.9</v>
      </c>
      <c r="J39" s="4">
        <f t="shared" si="1"/>
        <v>0</v>
      </c>
      <c r="K39" s="4">
        <f t="shared" si="1"/>
        <v>63</v>
      </c>
      <c r="L39" s="4">
        <f t="shared" si="2"/>
        <v>0</v>
      </c>
      <c r="M39" s="4">
        <f t="shared" si="3"/>
        <v>15.2</v>
      </c>
    </row>
    <row r="40" spans="1:13" x14ac:dyDescent="0.25">
      <c r="A40" t="s">
        <v>73</v>
      </c>
      <c r="B40" s="9">
        <v>43.208796701237034</v>
      </c>
      <c r="C40" s="9">
        <v>37.225960799470876</v>
      </c>
      <c r="D40" s="6">
        <v>1.1607167625301749</v>
      </c>
      <c r="E40" s="15">
        <v>7.934828607702074</v>
      </c>
      <c r="F40" s="15">
        <v>5.4454606189345656</v>
      </c>
      <c r="I40" s="4">
        <f t="shared" si="1"/>
        <v>93.4</v>
      </c>
      <c r="J40" s="4">
        <f t="shared" si="1"/>
        <v>73.900000000000006</v>
      </c>
      <c r="K40" s="4">
        <f t="shared" si="1"/>
        <v>84.7</v>
      </c>
      <c r="L40" s="4">
        <f t="shared" si="2"/>
        <v>74</v>
      </c>
      <c r="M40" s="4">
        <f t="shared" si="3"/>
        <v>95.6</v>
      </c>
    </row>
    <row r="41" spans="1:13" x14ac:dyDescent="0.25">
      <c r="A41" t="s">
        <v>76</v>
      </c>
      <c r="B41" s="9">
        <v>21.075776968264911</v>
      </c>
      <c r="C41" s="9">
        <v>35.096009005232162</v>
      </c>
      <c r="D41" s="6">
        <v>0.60051776728011741</v>
      </c>
      <c r="E41" s="15">
        <v>8.2547169811320753</v>
      </c>
      <c r="F41" s="15">
        <v>2.5531798384412352</v>
      </c>
      <c r="I41" s="4">
        <f t="shared" si="1"/>
        <v>58.599999999999994</v>
      </c>
      <c r="J41" s="4">
        <f t="shared" si="1"/>
        <v>58.599999999999994</v>
      </c>
      <c r="K41" s="4">
        <f t="shared" si="1"/>
        <v>50</v>
      </c>
      <c r="L41" s="4">
        <f t="shared" si="2"/>
        <v>69.599999999999994</v>
      </c>
      <c r="M41" s="4">
        <f t="shared" si="3"/>
        <v>65.2</v>
      </c>
    </row>
    <row r="42" spans="1:13" x14ac:dyDescent="0.25">
      <c r="A42" t="s">
        <v>92</v>
      </c>
      <c r="B42" s="9">
        <v>10.15923379752042</v>
      </c>
      <c r="C42" s="9">
        <v>43.401561818202104</v>
      </c>
      <c r="D42" s="6">
        <v>0.23407530448039676</v>
      </c>
      <c r="E42" s="15">
        <v>10.026737967914437</v>
      </c>
      <c r="F42" s="15">
        <v>1.01321425073937</v>
      </c>
      <c r="I42" s="4">
        <f t="shared" si="1"/>
        <v>23.9</v>
      </c>
      <c r="J42" s="4">
        <f t="shared" si="1"/>
        <v>97.8</v>
      </c>
      <c r="K42" s="4">
        <f t="shared" si="1"/>
        <v>15.2</v>
      </c>
      <c r="L42" s="4">
        <f t="shared" si="2"/>
        <v>56.6</v>
      </c>
      <c r="M42" s="4">
        <f t="shared" si="3"/>
        <v>36.9</v>
      </c>
    </row>
    <row r="43" spans="1:13" x14ac:dyDescent="0.25">
      <c r="A43" t="s">
        <v>89</v>
      </c>
      <c r="B43" s="9">
        <v>27.514893204823945</v>
      </c>
      <c r="C43" s="9">
        <v>31.582425601017093</v>
      </c>
      <c r="D43" s="6">
        <v>0.87120899301470511</v>
      </c>
      <c r="E43" s="15">
        <v>6.5645514223194743</v>
      </c>
      <c r="F43" s="15">
        <v>4.1914353982015147</v>
      </c>
      <c r="I43" s="4">
        <f t="shared" si="1"/>
        <v>76</v>
      </c>
      <c r="J43" s="4">
        <f t="shared" si="1"/>
        <v>39.1</v>
      </c>
      <c r="K43" s="4">
        <f t="shared" si="1"/>
        <v>76</v>
      </c>
      <c r="L43" s="4">
        <f t="shared" si="2"/>
        <v>82.7</v>
      </c>
      <c r="M43" s="4">
        <f t="shared" si="3"/>
        <v>89.1</v>
      </c>
    </row>
    <row r="44" spans="1:13" x14ac:dyDescent="0.25">
      <c r="A44" t="s">
        <v>93</v>
      </c>
      <c r="B44" s="9">
        <v>25.900731340073129</v>
      </c>
      <c r="C44" s="9">
        <v>21.583318745578463</v>
      </c>
      <c r="D44" s="6">
        <v>1.2000346955622443</v>
      </c>
      <c r="E44" s="15">
        <v>12.417218543046358</v>
      </c>
      <c r="F44" s="15">
        <v>2.0858722305872224</v>
      </c>
      <c r="I44" s="4">
        <f t="shared" si="1"/>
        <v>69.5</v>
      </c>
      <c r="J44" s="4">
        <f t="shared" si="1"/>
        <v>2.1</v>
      </c>
      <c r="K44" s="4">
        <f t="shared" si="1"/>
        <v>89.1</v>
      </c>
      <c r="L44" s="4">
        <f t="shared" si="2"/>
        <v>30.5</v>
      </c>
      <c r="M44" s="4">
        <f t="shared" si="3"/>
        <v>52.1</v>
      </c>
    </row>
    <row r="45" spans="1:13" x14ac:dyDescent="0.25">
      <c r="A45" t="s">
        <v>110</v>
      </c>
      <c r="B45" s="9">
        <v>0</v>
      </c>
      <c r="C45" s="9">
        <v>41.859795107318682</v>
      </c>
      <c r="D45" s="6">
        <v>0</v>
      </c>
      <c r="E45" s="15">
        <v>12.5</v>
      </c>
      <c r="F45" s="15">
        <v>0</v>
      </c>
      <c r="I45" s="4">
        <f t="shared" si="1"/>
        <v>0</v>
      </c>
      <c r="J45" s="4">
        <f t="shared" si="1"/>
        <v>95.6</v>
      </c>
      <c r="K45" s="4">
        <f t="shared" si="1"/>
        <v>0</v>
      </c>
      <c r="L45" s="4">
        <f t="shared" si="2"/>
        <v>26.099999999999994</v>
      </c>
      <c r="M45" s="4">
        <f t="shared" si="3"/>
        <v>0</v>
      </c>
    </row>
    <row r="46" spans="1:13" x14ac:dyDescent="0.25">
      <c r="A46" t="s">
        <v>78</v>
      </c>
      <c r="B46" s="9">
        <v>8.910475505186783</v>
      </c>
      <c r="C46" s="9">
        <v>38.125822382452306</v>
      </c>
      <c r="D46" s="6">
        <v>0.23371234896398971</v>
      </c>
      <c r="E46" s="15">
        <v>6.2034739454094296</v>
      </c>
      <c r="F46" s="15">
        <v>1.4363686514361094</v>
      </c>
      <c r="I46" s="4">
        <f t="shared" si="1"/>
        <v>21.7</v>
      </c>
      <c r="J46" s="4">
        <f t="shared" si="1"/>
        <v>86.9</v>
      </c>
      <c r="K46" s="4">
        <f t="shared" si="1"/>
        <v>13</v>
      </c>
      <c r="L46" s="4">
        <f t="shared" si="2"/>
        <v>89.2</v>
      </c>
      <c r="M46" s="4">
        <f t="shared" si="3"/>
        <v>45.6</v>
      </c>
    </row>
    <row r="47" spans="1:13" x14ac:dyDescent="0.25">
      <c r="A47" t="s">
        <v>79</v>
      </c>
      <c r="B47" s="9">
        <v>18.911947871239246</v>
      </c>
      <c r="C47" s="9">
        <v>30.942982741610933</v>
      </c>
      <c r="D47" s="6">
        <v>0.61118697021432211</v>
      </c>
      <c r="E47" s="15">
        <v>7.1039545346909785</v>
      </c>
      <c r="F47" s="15">
        <v>2.662171862008111</v>
      </c>
      <c r="I47" s="4">
        <f t="shared" si="1"/>
        <v>50</v>
      </c>
      <c r="J47" s="4">
        <f t="shared" si="1"/>
        <v>34.699999999999996</v>
      </c>
      <c r="K47" s="4">
        <f t="shared" si="1"/>
        <v>54.300000000000004</v>
      </c>
      <c r="L47" s="4">
        <f t="shared" si="2"/>
        <v>80.5</v>
      </c>
      <c r="M47" s="4">
        <f t="shared" si="3"/>
        <v>67.300000000000011</v>
      </c>
    </row>
    <row r="48" spans="1:13" x14ac:dyDescent="0.25">
      <c r="A48" t="s">
        <v>95</v>
      </c>
      <c r="B48" s="9">
        <v>25.248153381145706</v>
      </c>
      <c r="C48" s="9">
        <v>31.967129358237294</v>
      </c>
      <c r="D48" s="6">
        <v>0.78981609822402643</v>
      </c>
      <c r="E48" s="15">
        <v>10.416666666666666</v>
      </c>
      <c r="F48" s="15">
        <v>2.4238227245899879</v>
      </c>
      <c r="I48" s="4">
        <f t="shared" si="1"/>
        <v>67.300000000000011</v>
      </c>
      <c r="J48" s="4">
        <f t="shared" si="1"/>
        <v>45.6</v>
      </c>
      <c r="K48" s="4">
        <f t="shared" si="1"/>
        <v>69.5</v>
      </c>
      <c r="L48" s="4">
        <f t="shared" si="2"/>
        <v>52.2</v>
      </c>
      <c r="M48" s="4">
        <f t="shared" si="3"/>
        <v>60.8</v>
      </c>
    </row>
    <row r="49" spans="1:13" x14ac:dyDescent="0.25">
      <c r="A49" t="s">
        <v>103</v>
      </c>
      <c r="B49" s="9">
        <v>34.421757035003431</v>
      </c>
      <c r="C49" s="9">
        <v>30.771919602718079</v>
      </c>
      <c r="D49" s="6">
        <v>1.1186093516233859</v>
      </c>
      <c r="E49" s="15">
        <v>11.676786548341896</v>
      </c>
      <c r="F49" s="15">
        <v>2.9478792724776937</v>
      </c>
      <c r="I49" s="4">
        <f t="shared" si="1"/>
        <v>84.7</v>
      </c>
      <c r="J49" s="4">
        <f t="shared" si="1"/>
        <v>32.6</v>
      </c>
      <c r="K49" s="4">
        <f t="shared" si="1"/>
        <v>82.6</v>
      </c>
      <c r="L49" s="4">
        <f t="shared" si="2"/>
        <v>39.200000000000003</v>
      </c>
      <c r="M49" s="4">
        <f t="shared" si="3"/>
        <v>73.900000000000006</v>
      </c>
    </row>
    <row r="50" spans="1:13" x14ac:dyDescent="0.25">
      <c r="A50" t="s">
        <v>99</v>
      </c>
      <c r="B50" s="9">
        <v>0</v>
      </c>
      <c r="C50" s="9">
        <v>37.466999238488356</v>
      </c>
      <c r="D50" s="6">
        <v>0</v>
      </c>
      <c r="E50" s="15">
        <v>21.255722694571617</v>
      </c>
      <c r="F50" s="15">
        <v>0</v>
      </c>
      <c r="I50" s="4">
        <f t="shared" si="1"/>
        <v>0</v>
      </c>
      <c r="J50" s="4">
        <f t="shared" si="1"/>
        <v>77.3</v>
      </c>
      <c r="K50" s="4">
        <f t="shared" si="1"/>
        <v>0</v>
      </c>
      <c r="L50" s="4">
        <f t="shared" si="2"/>
        <v>0.79999999999999716</v>
      </c>
      <c r="M50" s="4">
        <f t="shared" si="3"/>
        <v>0</v>
      </c>
    </row>
    <row r="51" spans="1:13" x14ac:dyDescent="0.25">
      <c r="A51" t="s">
        <v>102</v>
      </c>
      <c r="B51" s="9">
        <v>45.392757319811224</v>
      </c>
      <c r="C51" s="9">
        <v>32.312796465548985</v>
      </c>
      <c r="D51" s="6">
        <v>1.4047919798030397</v>
      </c>
      <c r="E51" s="15">
        <v>14.078841512469831</v>
      </c>
      <c r="F51" s="15">
        <v>3.2241827056300201</v>
      </c>
      <c r="I51" s="4">
        <f t="shared" ref="I51:K51" si="4">(PERCENTRANK(B$3:B$49,B51))*100</f>
        <v>97.8</v>
      </c>
      <c r="J51" s="4">
        <f t="shared" si="4"/>
        <v>46.400000000000006</v>
      </c>
      <c r="K51" s="4">
        <f t="shared" si="4"/>
        <v>98</v>
      </c>
      <c r="L51" s="4">
        <f t="shared" si="2"/>
        <v>12.5</v>
      </c>
      <c r="M51" s="4">
        <f t="shared" si="3"/>
        <v>79.900000000000006</v>
      </c>
    </row>
    <row r="52" spans="1:13" x14ac:dyDescent="0.25">
      <c r="B52" s="9"/>
      <c r="C52" s="9"/>
      <c r="D52" s="6"/>
      <c r="I52" s="2"/>
    </row>
    <row r="53" spans="1:13" x14ac:dyDescent="0.25">
      <c r="B53" s="9"/>
      <c r="C53" s="9"/>
      <c r="D53" s="6"/>
      <c r="I53" s="2"/>
    </row>
    <row r="54" spans="1:13" x14ac:dyDescent="0.25">
      <c r="B54" s="9"/>
      <c r="C54" s="9"/>
      <c r="D54" s="6"/>
      <c r="I54" s="2"/>
    </row>
    <row r="55" spans="1:13" x14ac:dyDescent="0.25">
      <c r="B55" s="9"/>
      <c r="C55" s="9"/>
      <c r="D55" s="6"/>
      <c r="I55" s="2"/>
    </row>
    <row r="56" spans="1:13" x14ac:dyDescent="0.25">
      <c r="B56" s="9"/>
      <c r="C56" s="9"/>
      <c r="D56" s="6"/>
      <c r="I56" s="2"/>
    </row>
    <row r="57" spans="1:13" x14ac:dyDescent="0.25">
      <c r="B57" s="9"/>
      <c r="C57" s="9"/>
      <c r="D57" s="6"/>
      <c r="I57" s="2"/>
    </row>
    <row r="58" spans="1:13" x14ac:dyDescent="0.25">
      <c r="B58" s="9"/>
      <c r="C58" s="9"/>
      <c r="D58" s="6"/>
      <c r="I58" s="2"/>
    </row>
    <row r="59" spans="1:13" x14ac:dyDescent="0.25">
      <c r="B59" s="9"/>
      <c r="C59" s="9"/>
      <c r="D59" s="6"/>
      <c r="I59" s="2"/>
    </row>
    <row r="60" spans="1:13" x14ac:dyDescent="0.25">
      <c r="B60" s="9"/>
      <c r="C60" s="9"/>
      <c r="D60" s="6"/>
      <c r="I60" s="2"/>
    </row>
    <row r="61" spans="1:13" x14ac:dyDescent="0.25">
      <c r="B61" s="9"/>
      <c r="C61" s="9"/>
      <c r="D61" s="6"/>
      <c r="I61" s="2"/>
    </row>
    <row r="62" spans="1:13" x14ac:dyDescent="0.25">
      <c r="B62" s="9"/>
      <c r="C62" s="9"/>
      <c r="D62" s="6"/>
      <c r="I62" s="2"/>
    </row>
    <row r="63" spans="1:13" x14ac:dyDescent="0.25">
      <c r="B63" s="9"/>
      <c r="C63" s="9"/>
      <c r="D63" s="6"/>
      <c r="I63" s="2"/>
    </row>
    <row r="64" spans="1:13" x14ac:dyDescent="0.25">
      <c r="B64" s="9"/>
      <c r="C64" s="9"/>
      <c r="D64" s="6"/>
      <c r="I64" s="2"/>
    </row>
    <row r="65" spans="2:9" x14ac:dyDescent="0.25">
      <c r="B65" s="9"/>
      <c r="C65" s="9"/>
      <c r="D65" s="6"/>
      <c r="I65" s="2"/>
    </row>
    <row r="66" spans="2:9" x14ac:dyDescent="0.25">
      <c r="B66" s="9"/>
      <c r="C66" s="9"/>
      <c r="D66" s="6"/>
      <c r="I66" s="2"/>
    </row>
    <row r="67" spans="2:9" x14ac:dyDescent="0.25">
      <c r="B67" s="9"/>
      <c r="C67" s="9"/>
      <c r="D67" s="6"/>
      <c r="I67" s="2"/>
    </row>
    <row r="68" spans="2:9" x14ac:dyDescent="0.25">
      <c r="B68" s="9"/>
      <c r="C68" s="9"/>
      <c r="D68" s="6"/>
      <c r="I68" s="2"/>
    </row>
    <row r="69" spans="2:9" x14ac:dyDescent="0.25">
      <c r="B69" s="9"/>
      <c r="C69" s="9"/>
      <c r="D69" s="6"/>
      <c r="I69" s="2"/>
    </row>
    <row r="70" spans="2:9" x14ac:dyDescent="0.25">
      <c r="B70" s="9"/>
      <c r="C70" s="9"/>
      <c r="D70" s="6"/>
      <c r="I70" s="2"/>
    </row>
    <row r="71" spans="2:9" x14ac:dyDescent="0.25">
      <c r="B71" s="9"/>
      <c r="C71" s="9"/>
      <c r="D71" s="6"/>
      <c r="I71" s="2"/>
    </row>
    <row r="72" spans="2:9" x14ac:dyDescent="0.25">
      <c r="B72" s="9"/>
      <c r="C72" s="9"/>
      <c r="D72" s="6"/>
      <c r="I72" s="2"/>
    </row>
    <row r="73" spans="2:9" x14ac:dyDescent="0.25">
      <c r="B73" s="9"/>
      <c r="C73" s="9"/>
      <c r="D73" s="6"/>
      <c r="I73" s="2"/>
    </row>
    <row r="74" spans="2:9" x14ac:dyDescent="0.25">
      <c r="B74" s="9"/>
      <c r="C74" s="9"/>
      <c r="D74" s="6"/>
      <c r="I74" s="2"/>
    </row>
    <row r="75" spans="2:9" x14ac:dyDescent="0.25">
      <c r="B75" s="9"/>
      <c r="C75" s="9"/>
      <c r="D75" s="6"/>
      <c r="I75" s="2"/>
    </row>
    <row r="76" spans="2:9" x14ac:dyDescent="0.25">
      <c r="B76" s="9"/>
      <c r="C76" s="9"/>
      <c r="D76" s="6"/>
      <c r="I76" s="2"/>
    </row>
    <row r="77" spans="2:9" x14ac:dyDescent="0.25">
      <c r="B77" s="9"/>
      <c r="C77" s="9"/>
      <c r="D77" s="6"/>
      <c r="I77" s="2"/>
    </row>
    <row r="78" spans="2:9" x14ac:dyDescent="0.25">
      <c r="B78" s="9"/>
      <c r="C78" s="9"/>
      <c r="D78" s="6"/>
      <c r="I78" s="2"/>
    </row>
    <row r="79" spans="2:9" x14ac:dyDescent="0.25">
      <c r="B79" s="9"/>
      <c r="C79" s="9"/>
      <c r="D79" s="6"/>
      <c r="I79" s="2"/>
    </row>
  </sheetData>
  <autoFilter ref="A2:K2" xr:uid="{ABC38280-09A5-405D-93E7-135B8E0A1F5F}"/>
  <mergeCells count="2">
    <mergeCell ref="A1:F1"/>
    <mergeCell ref="I1:M1"/>
  </mergeCells>
  <conditionalFormatting sqref="B3:B49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C3:C49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D3:D49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E3:E78">
    <cfRule type="colorScale" priority="4">
      <colorScale>
        <cfvo type="min"/>
        <cfvo type="percentile" val="50"/>
        <cfvo type="max"/>
        <color rgb="FF63BE7B"/>
        <color theme="0"/>
        <color rgb="FFF8696B"/>
      </colorScale>
    </cfRule>
  </conditionalFormatting>
  <conditionalFormatting sqref="F3:F7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I3:I51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J3:J51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K3:K51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L3:L51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L3:L7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M3:M51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M3:M80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.3" footer="0.3"/>
  <ignoredErrors>
    <ignoredError sqref="L3:L51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6709-4C35-42EA-9392-C7D299000B78}">
  <dimension ref="A1:AN21"/>
  <sheetViews>
    <sheetView workbookViewId="0">
      <selection activeCell="S2" activeCellId="1" sqref="A2:A7 S2:W7"/>
    </sheetView>
  </sheetViews>
  <sheetFormatPr baseColWidth="10" defaultRowHeight="15" x14ac:dyDescent="0.25"/>
  <cols>
    <col min="1" max="1" width="19" bestFit="1" customWidth="1"/>
    <col min="2" max="21" width="7.7109375" customWidth="1"/>
  </cols>
  <sheetData>
    <row r="1" spans="1:40" x14ac:dyDescent="0.25">
      <c r="A1" s="10" t="s">
        <v>47</v>
      </c>
      <c r="B1" s="10" t="s">
        <v>48</v>
      </c>
      <c r="C1" s="10" t="s">
        <v>49</v>
      </c>
      <c r="D1" s="10" t="s">
        <v>24</v>
      </c>
      <c r="E1" s="10" t="s">
        <v>50</v>
      </c>
      <c r="F1" s="10" t="s">
        <v>6</v>
      </c>
      <c r="G1" s="10" t="s">
        <v>51</v>
      </c>
      <c r="H1" s="10" t="s">
        <v>9</v>
      </c>
      <c r="I1" s="10" t="s">
        <v>52</v>
      </c>
      <c r="J1" s="10" t="s">
        <v>15</v>
      </c>
      <c r="K1" s="10" t="s">
        <v>53</v>
      </c>
      <c r="L1" s="10" t="s">
        <v>54</v>
      </c>
      <c r="M1" s="10" t="s">
        <v>55</v>
      </c>
      <c r="N1" s="10" t="s">
        <v>19</v>
      </c>
      <c r="O1" s="10" t="s">
        <v>20</v>
      </c>
      <c r="P1" s="10" t="s">
        <v>21</v>
      </c>
      <c r="Q1" s="10" t="s">
        <v>56</v>
      </c>
      <c r="R1" s="10" t="s">
        <v>23</v>
      </c>
      <c r="S1" s="10" t="s">
        <v>57</v>
      </c>
      <c r="T1" s="10" t="s">
        <v>58</v>
      </c>
      <c r="U1" s="10" t="s">
        <v>59</v>
      </c>
      <c r="V1" s="10" t="s">
        <v>65</v>
      </c>
      <c r="W1" s="10" t="s">
        <v>66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x14ac:dyDescent="0.25">
      <c r="A2" t="s">
        <v>70</v>
      </c>
      <c r="B2" s="2">
        <v>10</v>
      </c>
      <c r="C2" s="2">
        <v>206</v>
      </c>
      <c r="D2" s="2">
        <v>250</v>
      </c>
      <c r="E2" s="2">
        <v>96</v>
      </c>
      <c r="F2" s="2">
        <v>173</v>
      </c>
      <c r="G2" s="2">
        <v>15</v>
      </c>
      <c r="H2" s="2">
        <v>38</v>
      </c>
      <c r="I2" s="2">
        <v>27</v>
      </c>
      <c r="J2" s="2">
        <v>30</v>
      </c>
      <c r="K2" s="2">
        <v>5</v>
      </c>
      <c r="L2" s="2">
        <v>58</v>
      </c>
      <c r="M2" s="2">
        <v>63</v>
      </c>
      <c r="N2" s="2">
        <v>67</v>
      </c>
      <c r="O2" s="2">
        <v>9</v>
      </c>
      <c r="P2" s="2">
        <v>6</v>
      </c>
      <c r="Q2" s="2">
        <v>24</v>
      </c>
      <c r="R2" s="2">
        <v>29</v>
      </c>
      <c r="S2" s="9">
        <f>100*(N2)/((C2/($C$15/3))*$E$15-E2)</f>
        <v>50.053944020356226</v>
      </c>
      <c r="T2" s="9">
        <f>(100*(F2+0.44*J2+Q2)*($C$15/3))/(C2*($F$15+0.44*$J$15+$Q$15))</f>
        <v>36.348351316351661</v>
      </c>
      <c r="U2" s="6">
        <f>S2/T2</f>
        <v>1.377062293272129</v>
      </c>
      <c r="V2" s="9">
        <f>100*Q2/(F2+0.44*J2+Q2)</f>
        <v>11.417697431018079</v>
      </c>
      <c r="W2" s="9">
        <f>IF(V2=0,0,S2/V2)</f>
        <v>4.383891263782866</v>
      </c>
    </row>
    <row r="3" spans="1:40" x14ac:dyDescent="0.25">
      <c r="A3" t="s">
        <v>83</v>
      </c>
      <c r="B3" s="2">
        <v>10</v>
      </c>
      <c r="C3" s="2">
        <v>146</v>
      </c>
      <c r="D3" s="2">
        <v>154</v>
      </c>
      <c r="E3" s="2">
        <v>65</v>
      </c>
      <c r="F3" s="2">
        <v>124</v>
      </c>
      <c r="G3" s="2">
        <v>4</v>
      </c>
      <c r="H3" s="2">
        <v>15</v>
      </c>
      <c r="I3" s="2">
        <v>11</v>
      </c>
      <c r="J3" s="2">
        <v>14</v>
      </c>
      <c r="K3" s="2">
        <v>24</v>
      </c>
      <c r="L3" s="2">
        <v>82</v>
      </c>
      <c r="M3" s="2">
        <v>106</v>
      </c>
      <c r="N3" s="2">
        <v>8</v>
      </c>
      <c r="O3" s="2">
        <v>4</v>
      </c>
      <c r="P3" s="2">
        <v>9</v>
      </c>
      <c r="Q3" s="2">
        <v>24</v>
      </c>
      <c r="R3" s="2">
        <v>25</v>
      </c>
      <c r="S3" s="9">
        <f t="shared" ref="S3:S13" si="0">100*(N3)/((C3/($C$15/3))*$E$15-E3)</f>
        <v>8.1709896471112096</v>
      </c>
      <c r="T3" s="9">
        <f t="shared" ref="T3:T13" si="1">(100*(F3+0.44*J3+Q3)*($C$15/3))/(C3*($F$15+0.44*$J$15+$Q$15))</f>
        <v>37.613008446597732</v>
      </c>
      <c r="U3" s="6">
        <f t="shared" ref="U3:U13" si="2">S3/T3</f>
        <v>0.21723839662313194</v>
      </c>
      <c r="V3" s="9">
        <f t="shared" ref="V3:V13" si="3">100*Q3/(F3+0.44*J3+Q3)</f>
        <v>15.568240788790867</v>
      </c>
      <c r="W3" s="9">
        <f t="shared" ref="W3:W13" si="4">IF(V3=0,0,S3/V3)</f>
        <v>0.52484990166611001</v>
      </c>
    </row>
    <row r="4" spans="1:40" x14ac:dyDescent="0.25">
      <c r="A4" t="s">
        <v>84</v>
      </c>
      <c r="B4" s="2">
        <v>9</v>
      </c>
      <c r="C4" s="2">
        <v>175</v>
      </c>
      <c r="D4" s="2">
        <v>140</v>
      </c>
      <c r="E4" s="2">
        <v>51</v>
      </c>
      <c r="F4" s="2">
        <v>126</v>
      </c>
      <c r="G4" s="2">
        <v>11</v>
      </c>
      <c r="H4" s="2">
        <v>33</v>
      </c>
      <c r="I4" s="2">
        <v>14</v>
      </c>
      <c r="J4" s="2">
        <v>17</v>
      </c>
      <c r="K4" s="2">
        <v>8</v>
      </c>
      <c r="L4" s="2">
        <v>51</v>
      </c>
      <c r="M4" s="2">
        <v>59</v>
      </c>
      <c r="N4" s="2">
        <v>29</v>
      </c>
      <c r="O4" s="2">
        <v>5</v>
      </c>
      <c r="P4" s="2">
        <v>3</v>
      </c>
      <c r="Q4" s="2">
        <v>15</v>
      </c>
      <c r="R4" s="2">
        <v>20</v>
      </c>
      <c r="S4" s="9">
        <f t="shared" si="0"/>
        <v>20.101802797215999</v>
      </c>
      <c r="T4" s="9">
        <f t="shared" si="1"/>
        <v>30.223804809326904</v>
      </c>
      <c r="U4" s="6">
        <f t="shared" si="2"/>
        <v>0.66509835290534602</v>
      </c>
      <c r="V4" s="9">
        <f t="shared" si="3"/>
        <v>10.102370689655173</v>
      </c>
      <c r="W4" s="9">
        <f t="shared" si="4"/>
        <v>1.9898104528870877</v>
      </c>
    </row>
    <row r="5" spans="1:40" x14ac:dyDescent="0.25">
      <c r="A5" t="s">
        <v>91</v>
      </c>
      <c r="B5" s="2">
        <v>9</v>
      </c>
      <c r="C5" s="2">
        <v>101</v>
      </c>
      <c r="D5" s="2">
        <v>97</v>
      </c>
      <c r="E5" s="2">
        <v>34</v>
      </c>
      <c r="F5" s="2">
        <v>70</v>
      </c>
      <c r="G5" s="2">
        <v>5</v>
      </c>
      <c r="H5" s="2">
        <v>19</v>
      </c>
      <c r="I5" s="2">
        <v>12</v>
      </c>
      <c r="J5" s="2">
        <v>17</v>
      </c>
      <c r="K5" s="2">
        <v>13</v>
      </c>
      <c r="L5" s="2">
        <v>40</v>
      </c>
      <c r="M5" s="2">
        <v>53</v>
      </c>
      <c r="N5" s="2">
        <v>9</v>
      </c>
      <c r="O5" s="2">
        <v>1</v>
      </c>
      <c r="P5" s="2">
        <v>14</v>
      </c>
      <c r="Q5" s="2">
        <v>16</v>
      </c>
      <c r="R5" s="2">
        <v>31</v>
      </c>
      <c r="S5" s="9">
        <f t="shared" si="0"/>
        <v>11.436386614268649</v>
      </c>
      <c r="T5" s="9">
        <f t="shared" si="1"/>
        <v>32.969818442446424</v>
      </c>
      <c r="U5" s="6">
        <f t="shared" si="2"/>
        <v>0.34687441892446308</v>
      </c>
      <c r="V5" s="9">
        <f t="shared" si="3"/>
        <v>17.115960633290541</v>
      </c>
      <c r="W5" s="9">
        <f t="shared" si="4"/>
        <v>0.66817088793864587</v>
      </c>
    </row>
    <row r="6" spans="1:40" x14ac:dyDescent="0.25">
      <c r="A6" t="s">
        <v>105</v>
      </c>
      <c r="B6" s="2">
        <v>10</v>
      </c>
      <c r="C6" s="2">
        <v>100</v>
      </c>
      <c r="D6" s="2">
        <v>66</v>
      </c>
      <c r="E6" s="2">
        <v>27</v>
      </c>
      <c r="F6" s="2">
        <v>63</v>
      </c>
      <c r="G6" s="2">
        <v>5</v>
      </c>
      <c r="H6" s="2">
        <v>28</v>
      </c>
      <c r="I6" s="2">
        <v>3</v>
      </c>
      <c r="J6" s="2">
        <v>5</v>
      </c>
      <c r="K6" s="2">
        <v>7</v>
      </c>
      <c r="L6" s="2">
        <v>29</v>
      </c>
      <c r="M6" s="2">
        <v>36</v>
      </c>
      <c r="N6" s="2">
        <v>9</v>
      </c>
      <c r="O6" s="2">
        <v>2</v>
      </c>
      <c r="P6" s="2">
        <v>2</v>
      </c>
      <c r="Q6" s="2">
        <v>10</v>
      </c>
      <c r="R6" s="2">
        <v>20</v>
      </c>
      <c r="S6" s="9">
        <f t="shared" si="0"/>
        <v>10.640765439257754</v>
      </c>
      <c r="T6" s="9">
        <f t="shared" si="1"/>
        <v>26.78780113757692</v>
      </c>
      <c r="U6" s="6">
        <f t="shared" si="2"/>
        <v>0.39722429566386797</v>
      </c>
      <c r="V6" s="9">
        <f t="shared" si="3"/>
        <v>13.297872340425531</v>
      </c>
      <c r="W6" s="9">
        <f t="shared" si="4"/>
        <v>0.80018556103218308</v>
      </c>
    </row>
    <row r="7" spans="1:40" x14ac:dyDescent="0.25">
      <c r="A7" t="s">
        <v>116</v>
      </c>
      <c r="B7" s="2">
        <v>1</v>
      </c>
      <c r="C7" s="2">
        <v>6</v>
      </c>
      <c r="D7" s="2">
        <v>2</v>
      </c>
      <c r="E7" s="2">
        <v>0</v>
      </c>
      <c r="F7" s="2">
        <v>4</v>
      </c>
      <c r="G7" s="2">
        <v>0</v>
      </c>
      <c r="H7" s="2">
        <v>1</v>
      </c>
      <c r="I7" s="2">
        <v>1</v>
      </c>
      <c r="J7" s="2">
        <v>3</v>
      </c>
      <c r="K7" s="2">
        <v>1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2</v>
      </c>
      <c r="S7" s="9">
        <f t="shared" si="0"/>
        <v>0</v>
      </c>
      <c r="T7" s="9">
        <f t="shared" si="1"/>
        <v>31.58490736966073</v>
      </c>
      <c r="U7" s="6">
        <f t="shared" si="2"/>
        <v>0</v>
      </c>
      <c r="V7" s="9">
        <f t="shared" si="3"/>
        <v>0</v>
      </c>
      <c r="W7" s="9">
        <f t="shared" si="4"/>
        <v>0</v>
      </c>
    </row>
    <row r="8" spans="1:40" x14ac:dyDescent="0.25">
      <c r="S8" s="9" t="e">
        <f t="shared" si="0"/>
        <v>#DIV/0!</v>
      </c>
      <c r="T8" s="9" t="e">
        <f t="shared" si="1"/>
        <v>#DIV/0!</v>
      </c>
      <c r="U8" s="6" t="e">
        <f t="shared" si="2"/>
        <v>#DIV/0!</v>
      </c>
      <c r="V8" s="9" t="e">
        <f t="shared" si="3"/>
        <v>#DIV/0!</v>
      </c>
      <c r="W8" s="9" t="e">
        <f t="shared" si="4"/>
        <v>#DIV/0!</v>
      </c>
    </row>
    <row r="9" spans="1:40" x14ac:dyDescent="0.25">
      <c r="S9" s="9" t="e">
        <f t="shared" si="0"/>
        <v>#DIV/0!</v>
      </c>
      <c r="T9" s="9" t="e">
        <f t="shared" si="1"/>
        <v>#DIV/0!</v>
      </c>
      <c r="U9" s="6" t="e">
        <f t="shared" si="2"/>
        <v>#DIV/0!</v>
      </c>
      <c r="V9" s="9" t="e">
        <f t="shared" si="3"/>
        <v>#DIV/0!</v>
      </c>
      <c r="W9" s="9" t="e">
        <f t="shared" si="4"/>
        <v>#DIV/0!</v>
      </c>
    </row>
    <row r="10" spans="1:40" x14ac:dyDescent="0.25">
      <c r="S10" s="9" t="e">
        <f t="shared" si="0"/>
        <v>#DIV/0!</v>
      </c>
      <c r="T10" s="9" t="e">
        <f t="shared" si="1"/>
        <v>#DIV/0!</v>
      </c>
      <c r="U10" s="6" t="e">
        <f t="shared" si="2"/>
        <v>#DIV/0!</v>
      </c>
      <c r="V10" s="9" t="e">
        <f t="shared" si="3"/>
        <v>#DIV/0!</v>
      </c>
      <c r="W10" s="9" t="e">
        <f t="shared" si="4"/>
        <v>#DIV/0!</v>
      </c>
    </row>
    <row r="11" spans="1:40" x14ac:dyDescent="0.25">
      <c r="S11" s="9" t="e">
        <f t="shared" si="0"/>
        <v>#DIV/0!</v>
      </c>
      <c r="T11" s="9" t="e">
        <f t="shared" si="1"/>
        <v>#DIV/0!</v>
      </c>
      <c r="U11" s="6" t="e">
        <f t="shared" si="2"/>
        <v>#DIV/0!</v>
      </c>
      <c r="V11" s="9" t="e">
        <f t="shared" si="3"/>
        <v>#DIV/0!</v>
      </c>
      <c r="W11" s="9" t="e">
        <f t="shared" si="4"/>
        <v>#DIV/0!</v>
      </c>
    </row>
    <row r="12" spans="1:40" x14ac:dyDescent="0.25">
      <c r="S12" s="9" t="e">
        <f t="shared" si="0"/>
        <v>#DIV/0!</v>
      </c>
      <c r="T12" s="9" t="e">
        <f t="shared" si="1"/>
        <v>#DIV/0!</v>
      </c>
      <c r="U12" s="6" t="e">
        <f t="shared" si="2"/>
        <v>#DIV/0!</v>
      </c>
      <c r="V12" s="9" t="e">
        <f t="shared" si="3"/>
        <v>#DIV/0!</v>
      </c>
      <c r="W12" s="9" t="e">
        <f t="shared" si="4"/>
        <v>#DIV/0!</v>
      </c>
    </row>
    <row r="13" spans="1:40" x14ac:dyDescent="0.25">
      <c r="S13" s="9" t="e">
        <f t="shared" si="0"/>
        <v>#DIV/0!</v>
      </c>
      <c r="T13" s="9" t="e">
        <f t="shared" si="1"/>
        <v>#DIV/0!</v>
      </c>
      <c r="U13" s="6" t="e">
        <f t="shared" si="2"/>
        <v>#DIV/0!</v>
      </c>
      <c r="V13" s="9" t="e">
        <f t="shared" si="3"/>
        <v>#DIV/0!</v>
      </c>
      <c r="W13" s="9" t="e">
        <f t="shared" si="4"/>
        <v>#DIV/0!</v>
      </c>
    </row>
    <row r="15" spans="1:40" x14ac:dyDescent="0.25">
      <c r="A15" t="s">
        <v>36</v>
      </c>
      <c r="B15" s="2">
        <f>SUM(B2:B13)</f>
        <v>49</v>
      </c>
      <c r="C15" s="2">
        <f t="shared" ref="C15:R15" si="5">SUM(C2:C13)</f>
        <v>734</v>
      </c>
      <c r="D15" s="2">
        <f t="shared" si="5"/>
        <v>709</v>
      </c>
      <c r="E15" s="2">
        <f t="shared" si="5"/>
        <v>273</v>
      </c>
      <c r="F15" s="2">
        <f t="shared" si="5"/>
        <v>560</v>
      </c>
      <c r="G15" s="2">
        <f t="shared" si="5"/>
        <v>40</v>
      </c>
      <c r="H15" s="2">
        <f t="shared" si="5"/>
        <v>134</v>
      </c>
      <c r="I15" s="2">
        <f t="shared" si="5"/>
        <v>68</v>
      </c>
      <c r="J15" s="2">
        <f t="shared" si="5"/>
        <v>86</v>
      </c>
      <c r="K15" s="2">
        <f t="shared" si="5"/>
        <v>58</v>
      </c>
      <c r="L15" s="2">
        <f t="shared" si="5"/>
        <v>260</v>
      </c>
      <c r="M15" s="2">
        <f t="shared" si="5"/>
        <v>318</v>
      </c>
      <c r="N15" s="2">
        <f t="shared" si="5"/>
        <v>122</v>
      </c>
      <c r="O15" s="2">
        <f t="shared" si="5"/>
        <v>21</v>
      </c>
      <c r="P15" s="2">
        <f t="shared" si="5"/>
        <v>34</v>
      </c>
      <c r="Q15" s="2">
        <f t="shared" si="5"/>
        <v>89</v>
      </c>
      <c r="R15" s="2">
        <f t="shared" si="5"/>
        <v>127</v>
      </c>
    </row>
    <row r="21" spans="3:4" x14ac:dyDescent="0.25">
      <c r="C21" s="11"/>
      <c r="D21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6EE9-C3D2-44E0-8A0D-BC6DB5D8223F}">
  <dimension ref="A1:AN21"/>
  <sheetViews>
    <sheetView workbookViewId="0">
      <selection activeCell="S2" activeCellId="1" sqref="A2:A7 S2:W7"/>
    </sheetView>
  </sheetViews>
  <sheetFormatPr baseColWidth="10" defaultRowHeight="15" x14ac:dyDescent="0.25"/>
  <cols>
    <col min="1" max="1" width="19" bestFit="1" customWidth="1"/>
    <col min="2" max="21" width="7.7109375" customWidth="1"/>
  </cols>
  <sheetData>
    <row r="1" spans="1:40" x14ac:dyDescent="0.25">
      <c r="A1" s="10" t="s">
        <v>47</v>
      </c>
      <c r="B1" s="10" t="s">
        <v>48</v>
      </c>
      <c r="C1" s="10" t="s">
        <v>49</v>
      </c>
      <c r="D1" s="10" t="s">
        <v>24</v>
      </c>
      <c r="E1" s="10" t="s">
        <v>50</v>
      </c>
      <c r="F1" s="10" t="s">
        <v>6</v>
      </c>
      <c r="G1" s="10" t="s">
        <v>51</v>
      </c>
      <c r="H1" s="10" t="s">
        <v>9</v>
      </c>
      <c r="I1" s="10" t="s">
        <v>52</v>
      </c>
      <c r="J1" s="10" t="s">
        <v>15</v>
      </c>
      <c r="K1" s="10" t="s">
        <v>53</v>
      </c>
      <c r="L1" s="10" t="s">
        <v>54</v>
      </c>
      <c r="M1" s="10" t="s">
        <v>55</v>
      </c>
      <c r="N1" s="10" t="s">
        <v>19</v>
      </c>
      <c r="O1" s="10" t="s">
        <v>20</v>
      </c>
      <c r="P1" s="10" t="s">
        <v>21</v>
      </c>
      <c r="Q1" s="10" t="s">
        <v>56</v>
      </c>
      <c r="R1" s="10" t="s">
        <v>23</v>
      </c>
      <c r="S1" s="10" t="s">
        <v>57</v>
      </c>
      <c r="T1" s="10" t="s">
        <v>58</v>
      </c>
      <c r="U1" s="10" t="s">
        <v>59</v>
      </c>
      <c r="V1" s="10" t="s">
        <v>65</v>
      </c>
      <c r="W1" s="10" t="s">
        <v>66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x14ac:dyDescent="0.25">
      <c r="A2" s="5" t="s">
        <v>77</v>
      </c>
      <c r="B2" s="2">
        <v>10</v>
      </c>
      <c r="C2" s="2">
        <v>154</v>
      </c>
      <c r="D2" s="2">
        <v>189</v>
      </c>
      <c r="E2" s="2">
        <v>69</v>
      </c>
      <c r="F2" s="2">
        <v>145</v>
      </c>
      <c r="G2" s="2">
        <v>22</v>
      </c>
      <c r="H2" s="2">
        <v>52</v>
      </c>
      <c r="I2" s="2">
        <v>16</v>
      </c>
      <c r="J2" s="2">
        <v>21</v>
      </c>
      <c r="K2" s="2">
        <v>4</v>
      </c>
      <c r="L2" s="2">
        <v>34</v>
      </c>
      <c r="M2" s="2">
        <v>38</v>
      </c>
      <c r="N2" s="2">
        <v>17</v>
      </c>
      <c r="O2" s="2">
        <v>16</v>
      </c>
      <c r="P2" s="2">
        <v>3</v>
      </c>
      <c r="Q2" s="2">
        <v>20</v>
      </c>
      <c r="R2" s="2">
        <v>32</v>
      </c>
      <c r="S2" s="9">
        <f>100*(N2)/((C2/($C$15/3))*$E$15-E2)</f>
        <v>16.306954436450841</v>
      </c>
      <c r="T2" s="9">
        <f>(100*(F2+0.44*J2+Q2)*($C$15/3))/(C2*($F$15+0.44*$J$15+$Q$15))</f>
        <v>40.648011782032398</v>
      </c>
      <c r="U2" s="6">
        <f>S2/T2</f>
        <v>0.40117471240398994</v>
      </c>
      <c r="V2" s="9">
        <f>100*Q2/(F2+0.44*J2+Q2)</f>
        <v>11.478420569329659</v>
      </c>
      <c r="W2" s="9">
        <f>IF(V2=0,0,S2/V2)</f>
        <v>1.4206618705035974</v>
      </c>
    </row>
    <row r="3" spans="1:40" x14ac:dyDescent="0.25">
      <c r="A3" s="5" t="s">
        <v>81</v>
      </c>
      <c r="B3" s="2">
        <v>10</v>
      </c>
      <c r="C3" s="2">
        <v>151</v>
      </c>
      <c r="D3" s="2">
        <v>164</v>
      </c>
      <c r="E3" s="2">
        <v>60</v>
      </c>
      <c r="F3" s="2">
        <v>131</v>
      </c>
      <c r="G3" s="2">
        <v>17</v>
      </c>
      <c r="H3" s="2">
        <v>50</v>
      </c>
      <c r="I3" s="2">
        <v>16</v>
      </c>
      <c r="J3" s="2">
        <v>17</v>
      </c>
      <c r="K3" s="2">
        <v>9</v>
      </c>
      <c r="L3" s="2">
        <v>29</v>
      </c>
      <c r="M3" s="2">
        <v>38</v>
      </c>
      <c r="N3" s="2">
        <v>39</v>
      </c>
      <c r="O3" s="2">
        <v>8</v>
      </c>
      <c r="P3" s="2">
        <v>2</v>
      </c>
      <c r="Q3" s="2">
        <v>17</v>
      </c>
      <c r="R3" s="2">
        <v>21</v>
      </c>
      <c r="S3" s="9">
        <f t="shared" ref="S3:S13" si="0">100*(N3)/((C3/($C$15/3))*$E$15-E3)</f>
        <v>35.494880546075088</v>
      </c>
      <c r="T3" s="9">
        <f t="shared" ref="T3:T13" si="1">(100*(F3+0.44*J3+Q3)*($C$15/3))/(C3*($F$15+0.44*$J$15+$Q$15))</f>
        <v>36.992165113964795</v>
      </c>
      <c r="U3" s="6">
        <f t="shared" ref="U3:U13" si="2">S3/T3</f>
        <v>0.95952427863368095</v>
      </c>
      <c r="V3" s="9">
        <f t="shared" ref="V3:V13" si="3">100*Q3/(F3+0.44*J3+Q3)</f>
        <v>10.933882171340366</v>
      </c>
      <c r="W3" s="9">
        <f t="shared" ref="W3:W13" si="4">IF(V3=0,0,S3/V3)</f>
        <v>3.2463200160610319</v>
      </c>
    </row>
    <row r="4" spans="1:40" x14ac:dyDescent="0.25">
      <c r="A4" s="5" t="s">
        <v>90</v>
      </c>
      <c r="B4" s="2">
        <v>10</v>
      </c>
      <c r="C4" s="2">
        <v>140</v>
      </c>
      <c r="D4" s="2">
        <v>116</v>
      </c>
      <c r="E4" s="2">
        <v>52</v>
      </c>
      <c r="F4" s="2">
        <v>79</v>
      </c>
      <c r="G4" s="2">
        <v>0</v>
      </c>
      <c r="H4" s="2">
        <v>0</v>
      </c>
      <c r="I4" s="2">
        <v>7</v>
      </c>
      <c r="J4" s="2">
        <v>9</v>
      </c>
      <c r="K4" s="2">
        <v>10</v>
      </c>
      <c r="L4" s="2">
        <v>66</v>
      </c>
      <c r="M4" s="2">
        <v>76</v>
      </c>
      <c r="N4" s="2">
        <v>31</v>
      </c>
      <c r="O4" s="2">
        <v>8</v>
      </c>
      <c r="P4" s="2">
        <v>3</v>
      </c>
      <c r="Q4" s="2">
        <v>13</v>
      </c>
      <c r="R4" s="2">
        <v>16</v>
      </c>
      <c r="S4" s="9">
        <f t="shared" si="0"/>
        <v>29.383886255924171</v>
      </c>
      <c r="T4" s="9">
        <f t="shared" si="1"/>
        <v>24.624894006337311</v>
      </c>
      <c r="U4" s="6">
        <f t="shared" si="2"/>
        <v>1.1932594003597383</v>
      </c>
      <c r="V4" s="9">
        <f t="shared" si="3"/>
        <v>13.54731137974156</v>
      </c>
      <c r="W4" s="9">
        <f t="shared" si="4"/>
        <v>2.1689828654757566</v>
      </c>
    </row>
    <row r="5" spans="1:40" x14ac:dyDescent="0.25">
      <c r="A5" s="5" t="s">
        <v>98</v>
      </c>
      <c r="B5" s="2">
        <v>10</v>
      </c>
      <c r="C5" s="2">
        <v>128</v>
      </c>
      <c r="D5" s="2">
        <v>97</v>
      </c>
      <c r="E5" s="2">
        <v>35</v>
      </c>
      <c r="F5" s="2">
        <v>77</v>
      </c>
      <c r="G5" s="2">
        <v>10</v>
      </c>
      <c r="H5" s="2">
        <v>40</v>
      </c>
      <c r="I5" s="2">
        <v>9</v>
      </c>
      <c r="J5" s="2">
        <v>16</v>
      </c>
      <c r="K5" s="2">
        <v>18</v>
      </c>
      <c r="L5" s="2">
        <v>52</v>
      </c>
      <c r="M5" s="2">
        <v>70</v>
      </c>
      <c r="N5" s="2">
        <v>9</v>
      </c>
      <c r="O5" s="2">
        <v>7</v>
      </c>
      <c r="P5" s="2">
        <v>4</v>
      </c>
      <c r="Q5" s="2">
        <v>13</v>
      </c>
      <c r="R5" s="2">
        <v>17</v>
      </c>
      <c r="S5" s="9">
        <f t="shared" si="0"/>
        <v>8.2568807339449535</v>
      </c>
      <c r="T5" s="9">
        <f t="shared" si="1"/>
        <v>27.23660574820369</v>
      </c>
      <c r="U5" s="6">
        <f t="shared" si="2"/>
        <v>0.30315380742659215</v>
      </c>
      <c r="V5" s="9">
        <f t="shared" si="3"/>
        <v>13.396537510305029</v>
      </c>
      <c r="W5" s="9">
        <f t="shared" si="4"/>
        <v>0.61634438955539872</v>
      </c>
    </row>
    <row r="6" spans="1:40" x14ac:dyDescent="0.25">
      <c r="A6" s="5" t="s">
        <v>97</v>
      </c>
      <c r="B6" s="2">
        <v>9</v>
      </c>
      <c r="C6" s="2">
        <v>84</v>
      </c>
      <c r="D6" s="2">
        <v>84</v>
      </c>
      <c r="E6" s="2">
        <v>35</v>
      </c>
      <c r="F6" s="2">
        <v>70</v>
      </c>
      <c r="G6" s="2">
        <v>8</v>
      </c>
      <c r="H6" s="2">
        <v>24</v>
      </c>
      <c r="I6" s="2">
        <v>3</v>
      </c>
      <c r="J6" s="2">
        <v>5</v>
      </c>
      <c r="K6" s="2">
        <v>8</v>
      </c>
      <c r="L6" s="2">
        <v>24</v>
      </c>
      <c r="M6" s="2">
        <v>32</v>
      </c>
      <c r="N6" s="2">
        <v>3</v>
      </c>
      <c r="O6" s="2">
        <v>4</v>
      </c>
      <c r="P6" s="2">
        <v>0</v>
      </c>
      <c r="Q6" s="2">
        <v>8</v>
      </c>
      <c r="R6" s="2">
        <v>18</v>
      </c>
      <c r="S6" s="9">
        <f t="shared" si="0"/>
        <v>5.0420168067226907</v>
      </c>
      <c r="T6" s="9">
        <f t="shared" si="1"/>
        <v>34.30103687835647</v>
      </c>
      <c r="U6" s="6">
        <f t="shared" si="2"/>
        <v>0.14699313098328351</v>
      </c>
      <c r="V6" s="9">
        <f t="shared" si="3"/>
        <v>9.9750623441396513</v>
      </c>
      <c r="W6" s="9">
        <f t="shared" si="4"/>
        <v>0.50546218487394967</v>
      </c>
    </row>
    <row r="7" spans="1:40" x14ac:dyDescent="0.25">
      <c r="A7" s="5" t="s">
        <v>100</v>
      </c>
      <c r="B7" s="2">
        <v>8</v>
      </c>
      <c r="C7" s="2">
        <v>79</v>
      </c>
      <c r="D7" s="2">
        <v>69</v>
      </c>
      <c r="E7" s="2">
        <v>25</v>
      </c>
      <c r="F7" s="2">
        <v>70</v>
      </c>
      <c r="G7" s="2">
        <v>6</v>
      </c>
      <c r="H7" s="2">
        <v>23</v>
      </c>
      <c r="I7" s="2">
        <v>7</v>
      </c>
      <c r="J7" s="2">
        <v>9</v>
      </c>
      <c r="K7" s="2">
        <v>3</v>
      </c>
      <c r="L7" s="2">
        <v>33</v>
      </c>
      <c r="M7" s="2">
        <v>36</v>
      </c>
      <c r="N7" s="2">
        <v>29</v>
      </c>
      <c r="O7" s="2">
        <v>7</v>
      </c>
      <c r="P7" s="2">
        <v>2</v>
      </c>
      <c r="Q7" s="2">
        <v>6</v>
      </c>
      <c r="R7" s="2">
        <v>20</v>
      </c>
      <c r="S7" s="9">
        <f t="shared" si="0"/>
        <v>45.401174168297459</v>
      </c>
      <c r="T7" s="9">
        <f t="shared" si="1"/>
        <v>36.362845471549633</v>
      </c>
      <c r="U7" s="6">
        <f t="shared" si="2"/>
        <v>1.2485594452122684</v>
      </c>
      <c r="V7" s="9">
        <f t="shared" si="3"/>
        <v>7.5037518759379696</v>
      </c>
      <c r="W7" s="9">
        <f t="shared" si="4"/>
        <v>6.0504631441617738</v>
      </c>
    </row>
    <row r="8" spans="1:40" x14ac:dyDescent="0.25">
      <c r="S8" s="9" t="e">
        <f t="shared" si="0"/>
        <v>#DIV/0!</v>
      </c>
      <c r="T8" s="9" t="e">
        <f t="shared" si="1"/>
        <v>#DIV/0!</v>
      </c>
      <c r="U8" s="6" t="e">
        <f t="shared" si="2"/>
        <v>#DIV/0!</v>
      </c>
      <c r="V8" s="9" t="e">
        <f t="shared" si="3"/>
        <v>#DIV/0!</v>
      </c>
      <c r="W8" s="9" t="e">
        <f t="shared" si="4"/>
        <v>#DIV/0!</v>
      </c>
    </row>
    <row r="9" spans="1:40" x14ac:dyDescent="0.25">
      <c r="S9" s="9" t="e">
        <f t="shared" si="0"/>
        <v>#DIV/0!</v>
      </c>
      <c r="T9" s="9" t="e">
        <f t="shared" si="1"/>
        <v>#DIV/0!</v>
      </c>
      <c r="U9" s="6" t="e">
        <f t="shared" si="2"/>
        <v>#DIV/0!</v>
      </c>
      <c r="V9" s="9" t="e">
        <f t="shared" si="3"/>
        <v>#DIV/0!</v>
      </c>
      <c r="W9" s="9" t="e">
        <f t="shared" si="4"/>
        <v>#DIV/0!</v>
      </c>
    </row>
    <row r="10" spans="1:40" x14ac:dyDescent="0.25">
      <c r="S10" s="9" t="e">
        <f t="shared" si="0"/>
        <v>#DIV/0!</v>
      </c>
      <c r="T10" s="9" t="e">
        <f t="shared" si="1"/>
        <v>#DIV/0!</v>
      </c>
      <c r="U10" s="6" t="e">
        <f t="shared" si="2"/>
        <v>#DIV/0!</v>
      </c>
      <c r="V10" s="9" t="e">
        <f t="shared" si="3"/>
        <v>#DIV/0!</v>
      </c>
      <c r="W10" s="9" t="e">
        <f t="shared" si="4"/>
        <v>#DIV/0!</v>
      </c>
    </row>
    <row r="11" spans="1:40" x14ac:dyDescent="0.25">
      <c r="S11" s="9" t="e">
        <f t="shared" si="0"/>
        <v>#DIV/0!</v>
      </c>
      <c r="T11" s="9" t="e">
        <f t="shared" si="1"/>
        <v>#DIV/0!</v>
      </c>
      <c r="U11" s="6" t="e">
        <f t="shared" si="2"/>
        <v>#DIV/0!</v>
      </c>
      <c r="V11" s="9" t="e">
        <f t="shared" si="3"/>
        <v>#DIV/0!</v>
      </c>
      <c r="W11" s="9" t="e">
        <f t="shared" si="4"/>
        <v>#DIV/0!</v>
      </c>
    </row>
    <row r="12" spans="1:40" x14ac:dyDescent="0.25">
      <c r="S12" s="9" t="e">
        <f t="shared" si="0"/>
        <v>#DIV/0!</v>
      </c>
      <c r="T12" s="9" t="e">
        <f t="shared" si="1"/>
        <v>#DIV/0!</v>
      </c>
      <c r="U12" s="6" t="e">
        <f t="shared" si="2"/>
        <v>#DIV/0!</v>
      </c>
      <c r="V12" s="9" t="e">
        <f t="shared" si="3"/>
        <v>#DIV/0!</v>
      </c>
      <c r="W12" s="9" t="e">
        <f t="shared" si="4"/>
        <v>#DIV/0!</v>
      </c>
    </row>
    <row r="13" spans="1:40" x14ac:dyDescent="0.25">
      <c r="S13" s="9" t="e">
        <f t="shared" si="0"/>
        <v>#DIV/0!</v>
      </c>
      <c r="T13" s="9" t="e">
        <f t="shared" si="1"/>
        <v>#DIV/0!</v>
      </c>
      <c r="U13" s="6" t="e">
        <f t="shared" si="2"/>
        <v>#DIV/0!</v>
      </c>
      <c r="V13" s="9" t="e">
        <f t="shared" si="3"/>
        <v>#DIV/0!</v>
      </c>
      <c r="W13" s="9" t="e">
        <f t="shared" si="4"/>
        <v>#DIV/0!</v>
      </c>
    </row>
    <row r="15" spans="1:40" x14ac:dyDescent="0.25">
      <c r="A15" t="s">
        <v>36</v>
      </c>
      <c r="B15" s="2">
        <f>SUM(B2:B13)</f>
        <v>57</v>
      </c>
      <c r="C15" s="2">
        <f t="shared" ref="C15:R15" si="5">SUM(C2:C13)</f>
        <v>736</v>
      </c>
      <c r="D15" s="2">
        <f t="shared" si="5"/>
        <v>719</v>
      </c>
      <c r="E15" s="2">
        <f t="shared" si="5"/>
        <v>276</v>
      </c>
      <c r="F15" s="2">
        <f t="shared" si="5"/>
        <v>572</v>
      </c>
      <c r="G15" s="2">
        <f t="shared" si="5"/>
        <v>63</v>
      </c>
      <c r="H15" s="2">
        <f t="shared" si="5"/>
        <v>189</v>
      </c>
      <c r="I15" s="2">
        <f t="shared" si="5"/>
        <v>58</v>
      </c>
      <c r="J15" s="2">
        <f t="shared" si="5"/>
        <v>77</v>
      </c>
      <c r="K15" s="2">
        <f t="shared" si="5"/>
        <v>52</v>
      </c>
      <c r="L15" s="2">
        <f t="shared" si="5"/>
        <v>238</v>
      </c>
      <c r="M15" s="2">
        <f t="shared" si="5"/>
        <v>290</v>
      </c>
      <c r="N15" s="2">
        <f t="shared" si="5"/>
        <v>128</v>
      </c>
      <c r="O15" s="2">
        <f t="shared" si="5"/>
        <v>50</v>
      </c>
      <c r="P15" s="2">
        <f t="shared" si="5"/>
        <v>14</v>
      </c>
      <c r="Q15" s="2">
        <f t="shared" si="5"/>
        <v>77</v>
      </c>
      <c r="R15" s="2">
        <f t="shared" si="5"/>
        <v>124</v>
      </c>
    </row>
    <row r="21" spans="3:4" x14ac:dyDescent="0.25">
      <c r="C21" s="11"/>
      <c r="D21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624EB-3D1F-4D11-AA5C-B32032B93098}">
  <dimension ref="A1:AN21"/>
  <sheetViews>
    <sheetView workbookViewId="0">
      <selection activeCell="S2" activeCellId="1" sqref="A2:A7 S2:W7"/>
    </sheetView>
  </sheetViews>
  <sheetFormatPr baseColWidth="10" defaultRowHeight="15" x14ac:dyDescent="0.25"/>
  <cols>
    <col min="1" max="1" width="19" bestFit="1" customWidth="1"/>
    <col min="2" max="21" width="7.7109375" customWidth="1"/>
  </cols>
  <sheetData>
    <row r="1" spans="1:40" x14ac:dyDescent="0.25">
      <c r="A1" s="10" t="s">
        <v>47</v>
      </c>
      <c r="B1" s="10" t="s">
        <v>48</v>
      </c>
      <c r="C1" s="10" t="s">
        <v>49</v>
      </c>
      <c r="D1" s="10" t="s">
        <v>24</v>
      </c>
      <c r="E1" s="10" t="s">
        <v>50</v>
      </c>
      <c r="F1" s="10" t="s">
        <v>6</v>
      </c>
      <c r="G1" s="10" t="s">
        <v>51</v>
      </c>
      <c r="H1" s="10" t="s">
        <v>9</v>
      </c>
      <c r="I1" s="10" t="s">
        <v>52</v>
      </c>
      <c r="J1" s="10" t="s">
        <v>15</v>
      </c>
      <c r="K1" s="10" t="s">
        <v>53</v>
      </c>
      <c r="L1" s="10" t="s">
        <v>54</v>
      </c>
      <c r="M1" s="10" t="s">
        <v>55</v>
      </c>
      <c r="N1" s="10" t="s">
        <v>19</v>
      </c>
      <c r="O1" s="10" t="s">
        <v>20</v>
      </c>
      <c r="P1" s="10" t="s">
        <v>21</v>
      </c>
      <c r="Q1" s="10" t="s">
        <v>56</v>
      </c>
      <c r="R1" s="10" t="s">
        <v>23</v>
      </c>
      <c r="S1" s="10" t="s">
        <v>57</v>
      </c>
      <c r="T1" s="10" t="s">
        <v>58</v>
      </c>
      <c r="U1" s="10" t="s">
        <v>59</v>
      </c>
      <c r="V1" s="10" t="s">
        <v>65</v>
      </c>
      <c r="W1" s="10" t="s">
        <v>66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x14ac:dyDescent="0.25">
      <c r="A2" s="5" t="s">
        <v>75</v>
      </c>
      <c r="B2" s="2">
        <v>10</v>
      </c>
      <c r="C2" s="2">
        <v>168</v>
      </c>
      <c r="D2" s="2">
        <v>201</v>
      </c>
      <c r="E2" s="2">
        <v>76</v>
      </c>
      <c r="F2" s="2">
        <v>157</v>
      </c>
      <c r="G2" s="2">
        <v>9</v>
      </c>
      <c r="H2" s="2">
        <v>37</v>
      </c>
      <c r="I2" s="2">
        <v>23</v>
      </c>
      <c r="J2" s="2">
        <v>27</v>
      </c>
      <c r="K2" s="2">
        <v>15</v>
      </c>
      <c r="L2" s="2">
        <v>77</v>
      </c>
      <c r="M2" s="2">
        <v>92</v>
      </c>
      <c r="N2" s="2">
        <v>26</v>
      </c>
      <c r="O2" s="2">
        <v>11</v>
      </c>
      <c r="P2" s="2">
        <v>6</v>
      </c>
      <c r="Q2" s="2">
        <v>18</v>
      </c>
      <c r="R2" s="2">
        <v>19</v>
      </c>
      <c r="S2" s="9">
        <f>100*(N2)/((C2/($C$15/3))*$E$15-E2)</f>
        <v>23.758620689655178</v>
      </c>
      <c r="T2" s="9">
        <f>(100*(F2+0.44*J2+Q2)*($C$15/3))/(C2*($F$15+0.44*$J$15+$Q$15))</f>
        <v>38.216591967008689</v>
      </c>
      <c r="U2" s="6">
        <f>S2/T2</f>
        <v>0.62168339631554081</v>
      </c>
      <c r="V2" s="9">
        <f>100*Q2/(F2+0.44*J2+Q2)</f>
        <v>9.631849315068493</v>
      </c>
      <c r="W2" s="9">
        <f>IF(V2=0,0,S2/V2)</f>
        <v>2.4666727969348665</v>
      </c>
    </row>
    <row r="3" spans="1:40" x14ac:dyDescent="0.25">
      <c r="A3" s="5" t="s">
        <v>71</v>
      </c>
      <c r="B3" s="2">
        <v>10</v>
      </c>
      <c r="C3" s="2">
        <v>158</v>
      </c>
      <c r="D3" s="2">
        <v>201</v>
      </c>
      <c r="E3" s="2">
        <v>68</v>
      </c>
      <c r="F3" s="2">
        <v>158</v>
      </c>
      <c r="G3" s="2">
        <v>22</v>
      </c>
      <c r="H3" s="2">
        <v>67</v>
      </c>
      <c r="I3" s="2">
        <v>22</v>
      </c>
      <c r="J3" s="2">
        <v>26</v>
      </c>
      <c r="K3" s="2">
        <v>9</v>
      </c>
      <c r="L3" s="2">
        <v>34</v>
      </c>
      <c r="M3" s="2">
        <v>43</v>
      </c>
      <c r="N3" s="2">
        <v>30</v>
      </c>
      <c r="O3" s="2">
        <v>9</v>
      </c>
      <c r="P3" s="2">
        <v>8</v>
      </c>
      <c r="Q3" s="2">
        <v>16</v>
      </c>
      <c r="R3" s="2">
        <v>18</v>
      </c>
      <c r="S3" s="9">
        <f t="shared" ref="S3:S13" si="0">100*(N3)/((C3/($C$15/3))*$E$15-E3)</f>
        <v>28.196488739138154</v>
      </c>
      <c r="T3" s="9">
        <f t="shared" ref="T3:T13" si="1">(100*(F3+0.44*J3+Q3)*($C$15/3))/(C3*($F$15+0.44*$J$15+$Q$15))</f>
        <v>40.322248651162838</v>
      </c>
      <c r="U3" s="6">
        <f t="shared" ref="U3:U13" si="2">S3/T3</f>
        <v>0.69927867820747158</v>
      </c>
      <c r="V3" s="9">
        <f t="shared" ref="V3:V13" si="3">100*Q3/(F3+0.44*J3+Q3)</f>
        <v>8.6281276962899049</v>
      </c>
      <c r="W3" s="9">
        <f t="shared" ref="W3:W13" si="4">IF(V3=0,0,S3/V3)</f>
        <v>3.2679730448661122</v>
      </c>
    </row>
    <row r="4" spans="1:40" x14ac:dyDescent="0.25">
      <c r="A4" s="5" t="s">
        <v>88</v>
      </c>
      <c r="B4" s="2">
        <v>10</v>
      </c>
      <c r="C4" s="2">
        <v>128</v>
      </c>
      <c r="D4" s="2">
        <v>130</v>
      </c>
      <c r="E4" s="2">
        <v>49</v>
      </c>
      <c r="F4" s="2">
        <v>119</v>
      </c>
      <c r="G4" s="2">
        <v>17</v>
      </c>
      <c r="H4" s="2">
        <v>48</v>
      </c>
      <c r="I4" s="2">
        <v>8</v>
      </c>
      <c r="J4" s="2">
        <v>11</v>
      </c>
      <c r="K4" s="2">
        <v>8</v>
      </c>
      <c r="L4" s="2">
        <v>21</v>
      </c>
      <c r="M4" s="2">
        <v>29</v>
      </c>
      <c r="N4" s="2">
        <v>21</v>
      </c>
      <c r="O4" s="2">
        <v>13</v>
      </c>
      <c r="P4" s="2">
        <v>1</v>
      </c>
      <c r="Q4" s="2">
        <v>15</v>
      </c>
      <c r="R4" s="2">
        <v>21</v>
      </c>
      <c r="S4" s="9">
        <f t="shared" si="0"/>
        <v>22.756082600695152</v>
      </c>
      <c r="T4" s="9">
        <f t="shared" si="1"/>
        <v>37.265164879431047</v>
      </c>
      <c r="U4" s="6">
        <f t="shared" si="2"/>
        <v>0.61065294288435157</v>
      </c>
      <c r="V4" s="9">
        <f t="shared" si="3"/>
        <v>10.8038029386344</v>
      </c>
      <c r="W4" s="9">
        <f t="shared" si="4"/>
        <v>2.1063030055203433</v>
      </c>
    </row>
    <row r="5" spans="1:40" x14ac:dyDescent="0.25">
      <c r="A5" s="5" t="s">
        <v>101</v>
      </c>
      <c r="B5" s="2">
        <v>10</v>
      </c>
      <c r="C5" s="2">
        <v>148</v>
      </c>
      <c r="D5" s="2">
        <v>91</v>
      </c>
      <c r="E5" s="2">
        <v>32</v>
      </c>
      <c r="F5" s="2">
        <v>83</v>
      </c>
      <c r="G5" s="2">
        <v>8</v>
      </c>
      <c r="H5" s="2">
        <v>33</v>
      </c>
      <c r="I5" s="2">
        <v>11</v>
      </c>
      <c r="J5" s="2">
        <v>15</v>
      </c>
      <c r="K5" s="2">
        <v>16</v>
      </c>
      <c r="L5" s="2">
        <v>33</v>
      </c>
      <c r="M5" s="2">
        <v>49</v>
      </c>
      <c r="N5" s="2">
        <v>35</v>
      </c>
      <c r="O5" s="2">
        <v>18</v>
      </c>
      <c r="P5" s="2">
        <v>5</v>
      </c>
      <c r="Q5" s="2">
        <v>6</v>
      </c>
      <c r="R5" s="2">
        <v>24</v>
      </c>
      <c r="S5" s="9">
        <f t="shared" si="0"/>
        <v>26.644642344153976</v>
      </c>
      <c r="T5" s="9">
        <f t="shared" si="1"/>
        <v>22.191905206684631</v>
      </c>
      <c r="U5" s="6">
        <f t="shared" si="2"/>
        <v>1.2006469068788241</v>
      </c>
      <c r="V5" s="9">
        <f t="shared" si="3"/>
        <v>6.2761506276150634</v>
      </c>
      <c r="W5" s="9">
        <f t="shared" si="4"/>
        <v>4.2453796801685328</v>
      </c>
    </row>
    <row r="6" spans="1:40" x14ac:dyDescent="0.25">
      <c r="A6" s="5" t="s">
        <v>104</v>
      </c>
      <c r="B6" s="2">
        <v>10</v>
      </c>
      <c r="C6" s="2">
        <v>85</v>
      </c>
      <c r="D6" s="2">
        <v>71</v>
      </c>
      <c r="E6" s="2">
        <v>31</v>
      </c>
      <c r="F6" s="2">
        <v>59</v>
      </c>
      <c r="G6" s="2">
        <v>2</v>
      </c>
      <c r="H6" s="2">
        <v>14</v>
      </c>
      <c r="I6" s="2">
        <v>4</v>
      </c>
      <c r="J6" s="2">
        <v>9</v>
      </c>
      <c r="K6" s="2">
        <v>12</v>
      </c>
      <c r="L6" s="2">
        <v>38</v>
      </c>
      <c r="M6" s="2">
        <v>50</v>
      </c>
      <c r="N6" s="2">
        <v>5</v>
      </c>
      <c r="O6" s="2">
        <v>4</v>
      </c>
      <c r="P6" s="2">
        <v>7</v>
      </c>
      <c r="Q6" s="2">
        <v>9</v>
      </c>
      <c r="R6" s="2">
        <v>24</v>
      </c>
      <c r="S6" s="9">
        <f t="shared" si="0"/>
        <v>7.9591530259798775</v>
      </c>
      <c r="T6" s="9">
        <f t="shared" si="1"/>
        <v>29.085105316712756</v>
      </c>
      <c r="U6" s="6">
        <f t="shared" si="2"/>
        <v>0.27365047983534113</v>
      </c>
      <c r="V6" s="9">
        <f t="shared" si="3"/>
        <v>12.506948304613672</v>
      </c>
      <c r="W6" s="9">
        <f t="shared" si="4"/>
        <v>0.63637850194390233</v>
      </c>
    </row>
    <row r="7" spans="1:40" x14ac:dyDescent="0.25">
      <c r="A7" s="5" t="s">
        <v>111</v>
      </c>
      <c r="B7" s="2">
        <v>10</v>
      </c>
      <c r="C7" s="2">
        <v>55</v>
      </c>
      <c r="D7" s="2">
        <v>45</v>
      </c>
      <c r="E7" s="2">
        <v>17</v>
      </c>
      <c r="F7" s="2">
        <v>36</v>
      </c>
      <c r="G7" s="2">
        <v>2</v>
      </c>
      <c r="H7" s="2">
        <v>11</v>
      </c>
      <c r="I7" s="2">
        <v>5</v>
      </c>
      <c r="J7" s="2">
        <v>5</v>
      </c>
      <c r="K7" s="2">
        <v>9</v>
      </c>
      <c r="L7" s="2">
        <v>21</v>
      </c>
      <c r="M7" s="2">
        <v>30</v>
      </c>
      <c r="N7" s="2">
        <v>2</v>
      </c>
      <c r="O7" s="2">
        <v>2</v>
      </c>
      <c r="P7" s="2">
        <v>2</v>
      </c>
      <c r="Q7" s="2">
        <v>3</v>
      </c>
      <c r="R7" s="2">
        <v>13</v>
      </c>
      <c r="S7" s="9">
        <f t="shared" si="0"/>
        <v>4.5758687675372327</v>
      </c>
      <c r="T7" s="9">
        <f t="shared" si="1"/>
        <v>25.735519434819359</v>
      </c>
      <c r="U7" s="6">
        <f t="shared" si="2"/>
        <v>0.17780362969267385</v>
      </c>
      <c r="V7" s="9">
        <f t="shared" si="3"/>
        <v>7.2815533980582519</v>
      </c>
      <c r="W7" s="9">
        <f t="shared" si="4"/>
        <v>0.62841931074178004</v>
      </c>
    </row>
    <row r="8" spans="1:40" x14ac:dyDescent="0.25">
      <c r="S8" s="9" t="e">
        <f t="shared" si="0"/>
        <v>#DIV/0!</v>
      </c>
      <c r="T8" s="9" t="e">
        <f t="shared" si="1"/>
        <v>#DIV/0!</v>
      </c>
      <c r="U8" s="6" t="e">
        <f t="shared" si="2"/>
        <v>#DIV/0!</v>
      </c>
      <c r="V8" s="9" t="e">
        <f t="shared" si="3"/>
        <v>#DIV/0!</v>
      </c>
      <c r="W8" s="9" t="e">
        <f t="shared" si="4"/>
        <v>#DIV/0!</v>
      </c>
    </row>
    <row r="9" spans="1:40" x14ac:dyDescent="0.25">
      <c r="S9" s="9" t="e">
        <f t="shared" si="0"/>
        <v>#DIV/0!</v>
      </c>
      <c r="T9" s="9" t="e">
        <f t="shared" si="1"/>
        <v>#DIV/0!</v>
      </c>
      <c r="U9" s="6" t="e">
        <f t="shared" si="2"/>
        <v>#DIV/0!</v>
      </c>
      <c r="V9" s="9" t="e">
        <f t="shared" si="3"/>
        <v>#DIV/0!</v>
      </c>
      <c r="W9" s="9" t="e">
        <f t="shared" si="4"/>
        <v>#DIV/0!</v>
      </c>
    </row>
    <row r="10" spans="1:40" x14ac:dyDescent="0.25">
      <c r="S10" s="9" t="e">
        <f t="shared" si="0"/>
        <v>#DIV/0!</v>
      </c>
      <c r="T10" s="9" t="e">
        <f t="shared" si="1"/>
        <v>#DIV/0!</v>
      </c>
      <c r="U10" s="6" t="e">
        <f t="shared" si="2"/>
        <v>#DIV/0!</v>
      </c>
      <c r="V10" s="9" t="e">
        <f t="shared" si="3"/>
        <v>#DIV/0!</v>
      </c>
      <c r="W10" s="9" t="e">
        <f t="shared" si="4"/>
        <v>#DIV/0!</v>
      </c>
    </row>
    <row r="11" spans="1:40" x14ac:dyDescent="0.25">
      <c r="S11" s="9" t="e">
        <f t="shared" si="0"/>
        <v>#DIV/0!</v>
      </c>
      <c r="T11" s="9" t="e">
        <f t="shared" si="1"/>
        <v>#DIV/0!</v>
      </c>
      <c r="U11" s="6" t="e">
        <f t="shared" si="2"/>
        <v>#DIV/0!</v>
      </c>
      <c r="V11" s="9" t="e">
        <f t="shared" si="3"/>
        <v>#DIV/0!</v>
      </c>
      <c r="W11" s="9" t="e">
        <f t="shared" si="4"/>
        <v>#DIV/0!</v>
      </c>
    </row>
    <row r="12" spans="1:40" x14ac:dyDescent="0.25">
      <c r="S12" s="9" t="e">
        <f t="shared" si="0"/>
        <v>#DIV/0!</v>
      </c>
      <c r="T12" s="9" t="e">
        <f t="shared" si="1"/>
        <v>#DIV/0!</v>
      </c>
      <c r="U12" s="6" t="e">
        <f t="shared" si="2"/>
        <v>#DIV/0!</v>
      </c>
      <c r="V12" s="9" t="e">
        <f t="shared" si="3"/>
        <v>#DIV/0!</v>
      </c>
      <c r="W12" s="9" t="e">
        <f t="shared" si="4"/>
        <v>#DIV/0!</v>
      </c>
    </row>
    <row r="13" spans="1:40" x14ac:dyDescent="0.25">
      <c r="S13" s="9" t="e">
        <f t="shared" si="0"/>
        <v>#DIV/0!</v>
      </c>
      <c r="T13" s="9" t="e">
        <f t="shared" si="1"/>
        <v>#DIV/0!</v>
      </c>
      <c r="U13" s="6" t="e">
        <f t="shared" si="2"/>
        <v>#DIV/0!</v>
      </c>
      <c r="V13" s="9" t="e">
        <f t="shared" si="3"/>
        <v>#DIV/0!</v>
      </c>
      <c r="W13" s="9" t="e">
        <f t="shared" si="4"/>
        <v>#DIV/0!</v>
      </c>
    </row>
    <row r="15" spans="1:40" x14ac:dyDescent="0.25">
      <c r="A15" t="s">
        <v>36</v>
      </c>
      <c r="B15" s="2">
        <f>SUM(B2:B13)</f>
        <v>60</v>
      </c>
      <c r="C15" s="2">
        <f t="shared" ref="C15:R15" si="5">SUM(C2:C13)</f>
        <v>742</v>
      </c>
      <c r="D15" s="2">
        <f t="shared" si="5"/>
        <v>739</v>
      </c>
      <c r="E15" s="2">
        <f t="shared" si="5"/>
        <v>273</v>
      </c>
      <c r="F15" s="2">
        <f t="shared" si="5"/>
        <v>612</v>
      </c>
      <c r="G15" s="2">
        <f t="shared" si="5"/>
        <v>60</v>
      </c>
      <c r="H15" s="2">
        <f t="shared" si="5"/>
        <v>210</v>
      </c>
      <c r="I15" s="2">
        <f t="shared" si="5"/>
        <v>73</v>
      </c>
      <c r="J15" s="2">
        <f t="shared" si="5"/>
        <v>93</v>
      </c>
      <c r="K15" s="2">
        <f t="shared" si="5"/>
        <v>69</v>
      </c>
      <c r="L15" s="2">
        <f t="shared" si="5"/>
        <v>224</v>
      </c>
      <c r="M15" s="2">
        <f t="shared" si="5"/>
        <v>293</v>
      </c>
      <c r="N15" s="2">
        <f t="shared" si="5"/>
        <v>119</v>
      </c>
      <c r="O15" s="2">
        <f t="shared" si="5"/>
        <v>57</v>
      </c>
      <c r="P15" s="2">
        <f t="shared" si="5"/>
        <v>29</v>
      </c>
      <c r="Q15" s="2">
        <f t="shared" si="5"/>
        <v>67</v>
      </c>
      <c r="R15" s="2">
        <f t="shared" si="5"/>
        <v>119</v>
      </c>
    </row>
    <row r="21" spans="3:4" x14ac:dyDescent="0.25">
      <c r="C21" s="11"/>
      <c r="D21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64E56-64E3-4448-AF19-485FC0F1929B}">
  <dimension ref="A1:AN21"/>
  <sheetViews>
    <sheetView workbookViewId="0">
      <selection activeCell="S2" activeCellId="1" sqref="A2:A8 S2:W8"/>
    </sheetView>
  </sheetViews>
  <sheetFormatPr baseColWidth="10" defaultRowHeight="15" x14ac:dyDescent="0.25"/>
  <cols>
    <col min="1" max="1" width="19" bestFit="1" customWidth="1"/>
    <col min="2" max="21" width="7.7109375" customWidth="1"/>
  </cols>
  <sheetData>
    <row r="1" spans="1:40" x14ac:dyDescent="0.25">
      <c r="A1" s="10" t="s">
        <v>47</v>
      </c>
      <c r="B1" s="10" t="s">
        <v>48</v>
      </c>
      <c r="C1" s="10" t="s">
        <v>49</v>
      </c>
      <c r="D1" s="10" t="s">
        <v>24</v>
      </c>
      <c r="E1" s="10" t="s">
        <v>50</v>
      </c>
      <c r="F1" s="10" t="s">
        <v>6</v>
      </c>
      <c r="G1" s="10" t="s">
        <v>51</v>
      </c>
      <c r="H1" s="10" t="s">
        <v>9</v>
      </c>
      <c r="I1" s="10" t="s">
        <v>52</v>
      </c>
      <c r="J1" s="10" t="s">
        <v>15</v>
      </c>
      <c r="K1" s="10" t="s">
        <v>53</v>
      </c>
      <c r="L1" s="10" t="s">
        <v>54</v>
      </c>
      <c r="M1" s="10" t="s">
        <v>55</v>
      </c>
      <c r="N1" s="10" t="s">
        <v>19</v>
      </c>
      <c r="O1" s="10" t="s">
        <v>20</v>
      </c>
      <c r="P1" s="10" t="s">
        <v>21</v>
      </c>
      <c r="Q1" s="10" t="s">
        <v>56</v>
      </c>
      <c r="R1" s="10" t="s">
        <v>23</v>
      </c>
      <c r="S1" s="10" t="s">
        <v>57</v>
      </c>
      <c r="T1" s="10" t="s">
        <v>58</v>
      </c>
      <c r="U1" s="10" t="s">
        <v>59</v>
      </c>
      <c r="V1" s="10" t="s">
        <v>65</v>
      </c>
      <c r="W1" s="10" t="s">
        <v>66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x14ac:dyDescent="0.25">
      <c r="A2" s="5" t="s">
        <v>69</v>
      </c>
      <c r="B2" s="2">
        <v>10</v>
      </c>
      <c r="C2" s="2">
        <v>225</v>
      </c>
      <c r="D2" s="2">
        <v>259</v>
      </c>
      <c r="E2" s="2">
        <v>91</v>
      </c>
      <c r="F2" s="2">
        <v>178</v>
      </c>
      <c r="G2" s="2">
        <v>34</v>
      </c>
      <c r="H2" s="2">
        <v>73</v>
      </c>
      <c r="I2" s="2">
        <v>21</v>
      </c>
      <c r="J2" s="2">
        <v>22</v>
      </c>
      <c r="K2" s="2">
        <v>7</v>
      </c>
      <c r="L2" s="2">
        <v>50</v>
      </c>
      <c r="M2" s="2">
        <v>57</v>
      </c>
      <c r="N2" s="2">
        <v>68</v>
      </c>
      <c r="O2" s="2">
        <v>16</v>
      </c>
      <c r="P2" s="2">
        <v>5</v>
      </c>
      <c r="Q2" s="2">
        <v>23</v>
      </c>
      <c r="R2" s="2">
        <v>23</v>
      </c>
      <c r="S2" s="9">
        <f>100*(N2)/((C2/($C$15/3))*$E$15-E2)</f>
        <v>44.235952726518768</v>
      </c>
      <c r="T2" s="9">
        <f>(100*(F2+0.44*J2+Q2)*($C$15/3))/(C2*($F$15+0.44*$J$15+$Q$15))</f>
        <v>35.055373254048753</v>
      </c>
      <c r="U2" s="6">
        <f>S2/T2</f>
        <v>1.2618879395731351</v>
      </c>
      <c r="V2" s="9">
        <f>100*Q2/(F2+0.44*J2+Q2)</f>
        <v>10.91703056768559</v>
      </c>
      <c r="W2" s="9">
        <f>IF(V2=0,0,S2/V2)</f>
        <v>4.0520132697491187</v>
      </c>
    </row>
    <row r="3" spans="1:40" x14ac:dyDescent="0.25">
      <c r="A3" s="5" t="s">
        <v>85</v>
      </c>
      <c r="B3" s="2">
        <v>10</v>
      </c>
      <c r="C3" s="2">
        <v>159</v>
      </c>
      <c r="D3" s="2">
        <v>162</v>
      </c>
      <c r="E3" s="2">
        <v>64</v>
      </c>
      <c r="F3" s="2">
        <v>113</v>
      </c>
      <c r="G3" s="2">
        <v>0</v>
      </c>
      <c r="H3" s="2">
        <v>5</v>
      </c>
      <c r="I3" s="2">
        <v>20</v>
      </c>
      <c r="J3" s="2">
        <v>31</v>
      </c>
      <c r="K3" s="2">
        <v>14</v>
      </c>
      <c r="L3" s="2">
        <v>71</v>
      </c>
      <c r="M3" s="2">
        <v>85</v>
      </c>
      <c r="N3" s="2">
        <v>12</v>
      </c>
      <c r="O3" s="2">
        <v>3</v>
      </c>
      <c r="P3" s="2">
        <v>10</v>
      </c>
      <c r="Q3" s="2">
        <v>18</v>
      </c>
      <c r="R3" s="2">
        <v>26</v>
      </c>
      <c r="S3" s="9">
        <f t="shared" ref="S3:S13" si="0">100*(N3)/((C3/($C$15/3))*$E$15-E3)</f>
        <v>11.015616428336321</v>
      </c>
      <c r="T3" s="9">
        <f t="shared" ref="T3:T13" si="1">(100*(F3+0.44*J3+Q3)*($C$15/3))/(C3*($F$15+0.44*$J$15+$Q$15))</f>
        <v>34.056898332794866</v>
      </c>
      <c r="U3" s="6">
        <f t="shared" ref="U3:U13" si="2">S3/T3</f>
        <v>0.3234474355443257</v>
      </c>
      <c r="V3" s="9">
        <f t="shared" ref="V3:V13" si="3">100*Q3/(F3+0.44*J3+Q3)</f>
        <v>12.444690265486727</v>
      </c>
      <c r="W3" s="9">
        <f t="shared" ref="W3:W13" si="4">IF(V3=0,0,S3/V3)</f>
        <v>0.88516597788586959</v>
      </c>
    </row>
    <row r="4" spans="1:40" x14ac:dyDescent="0.25">
      <c r="A4" s="5" t="s">
        <v>74</v>
      </c>
      <c r="B4" s="2">
        <v>7</v>
      </c>
      <c r="C4" s="2">
        <v>126</v>
      </c>
      <c r="D4" s="2">
        <v>142</v>
      </c>
      <c r="E4" s="2">
        <v>55</v>
      </c>
      <c r="F4" s="2">
        <v>114</v>
      </c>
      <c r="G4" s="2">
        <v>16</v>
      </c>
      <c r="H4" s="2">
        <v>40</v>
      </c>
      <c r="I4" s="2">
        <v>9</v>
      </c>
      <c r="J4" s="2">
        <v>12</v>
      </c>
      <c r="K4" s="2">
        <v>7</v>
      </c>
      <c r="L4" s="2">
        <v>25</v>
      </c>
      <c r="M4" s="2">
        <v>32</v>
      </c>
      <c r="N4" s="2">
        <v>4</v>
      </c>
      <c r="O4" s="2">
        <v>1</v>
      </c>
      <c r="P4" s="2">
        <v>2</v>
      </c>
      <c r="Q4" s="2">
        <v>4</v>
      </c>
      <c r="R4" s="2">
        <v>25</v>
      </c>
      <c r="S4" s="9">
        <f t="shared" si="0"/>
        <v>4.875443111736999</v>
      </c>
      <c r="T4" s="9">
        <f t="shared" si="1"/>
        <v>36.629912788853183</v>
      </c>
      <c r="U4" s="6">
        <f t="shared" si="2"/>
        <v>0.13310004694361818</v>
      </c>
      <c r="V4" s="9">
        <f t="shared" si="3"/>
        <v>3.2446463335496429</v>
      </c>
      <c r="W4" s="9">
        <f t="shared" si="4"/>
        <v>1.5026115670373432</v>
      </c>
    </row>
    <row r="5" spans="1:40" x14ac:dyDescent="0.25">
      <c r="A5" s="5" t="s">
        <v>94</v>
      </c>
      <c r="B5" s="2">
        <v>8</v>
      </c>
      <c r="C5" s="2">
        <v>84</v>
      </c>
      <c r="D5" s="2">
        <v>79</v>
      </c>
      <c r="E5" s="2">
        <v>30</v>
      </c>
      <c r="F5" s="2">
        <v>77</v>
      </c>
      <c r="G5" s="2">
        <v>7</v>
      </c>
      <c r="H5" s="2">
        <v>26</v>
      </c>
      <c r="I5" s="2">
        <v>7</v>
      </c>
      <c r="J5" s="2">
        <v>7</v>
      </c>
      <c r="K5" s="2">
        <v>14</v>
      </c>
      <c r="L5" s="2">
        <v>36</v>
      </c>
      <c r="M5" s="2">
        <v>50</v>
      </c>
      <c r="N5" s="2">
        <v>12</v>
      </c>
      <c r="O5" s="2">
        <v>2</v>
      </c>
      <c r="P5" s="2">
        <v>3</v>
      </c>
      <c r="Q5" s="2">
        <v>5</v>
      </c>
      <c r="R5" s="2">
        <v>12</v>
      </c>
      <c r="S5" s="9">
        <f t="shared" si="0"/>
        <v>19.555901830931049</v>
      </c>
      <c r="T5" s="9">
        <f t="shared" si="1"/>
        <v>37.919447356533446</v>
      </c>
      <c r="U5" s="6">
        <f t="shared" si="2"/>
        <v>0.51572222683149427</v>
      </c>
      <c r="V5" s="9">
        <f t="shared" si="3"/>
        <v>5.8768218147625761</v>
      </c>
      <c r="W5" s="9">
        <f t="shared" si="4"/>
        <v>3.3276322555512272</v>
      </c>
    </row>
    <row r="6" spans="1:40" x14ac:dyDescent="0.25">
      <c r="A6" s="5" t="s">
        <v>109</v>
      </c>
      <c r="B6" s="2">
        <v>8</v>
      </c>
      <c r="C6" s="2">
        <v>58</v>
      </c>
      <c r="D6" s="2">
        <v>42</v>
      </c>
      <c r="E6" s="2">
        <v>17</v>
      </c>
      <c r="F6" s="2">
        <v>41</v>
      </c>
      <c r="G6" s="2">
        <v>6</v>
      </c>
      <c r="H6" s="2">
        <v>23</v>
      </c>
      <c r="I6" s="2">
        <v>1</v>
      </c>
      <c r="J6" s="2">
        <v>1</v>
      </c>
      <c r="K6" s="2">
        <v>1</v>
      </c>
      <c r="L6" s="2">
        <v>7</v>
      </c>
      <c r="M6" s="2">
        <v>8</v>
      </c>
      <c r="N6" s="2">
        <v>12</v>
      </c>
      <c r="O6" s="2">
        <v>6</v>
      </c>
      <c r="P6" s="2">
        <v>0</v>
      </c>
      <c r="Q6" s="2">
        <v>2</v>
      </c>
      <c r="R6" s="2">
        <v>18</v>
      </c>
      <c r="S6" s="9">
        <f t="shared" si="0"/>
        <v>26.039595400708915</v>
      </c>
      <c r="T6" s="9">
        <f t="shared" si="1"/>
        <v>28.039846194676063</v>
      </c>
      <c r="U6" s="6">
        <f t="shared" si="2"/>
        <v>0.92866398837997421</v>
      </c>
      <c r="V6" s="9">
        <f t="shared" si="3"/>
        <v>4.6040515653775325</v>
      </c>
      <c r="W6" s="9">
        <f t="shared" si="4"/>
        <v>5.6558001210339759</v>
      </c>
    </row>
    <row r="7" spans="1:40" x14ac:dyDescent="0.25">
      <c r="A7" s="5" t="s">
        <v>112</v>
      </c>
      <c r="B7" s="2">
        <v>9</v>
      </c>
      <c r="C7" s="2">
        <v>91</v>
      </c>
      <c r="D7" s="2">
        <v>37</v>
      </c>
      <c r="E7" s="2">
        <v>13</v>
      </c>
      <c r="F7" s="2">
        <v>46</v>
      </c>
      <c r="G7" s="2">
        <v>5</v>
      </c>
      <c r="H7" s="2">
        <v>22</v>
      </c>
      <c r="I7" s="2">
        <v>3</v>
      </c>
      <c r="J7" s="2">
        <v>3</v>
      </c>
      <c r="K7" s="2">
        <v>11</v>
      </c>
      <c r="L7" s="2">
        <v>18</v>
      </c>
      <c r="M7" s="2">
        <v>29</v>
      </c>
      <c r="N7" s="2">
        <v>5</v>
      </c>
      <c r="O7" s="2">
        <v>11</v>
      </c>
      <c r="P7" s="2">
        <v>2</v>
      </c>
      <c r="Q7" s="2">
        <v>10</v>
      </c>
      <c r="R7" s="2">
        <v>18</v>
      </c>
      <c r="S7" s="9">
        <f t="shared" si="0"/>
        <v>5.815569972196478</v>
      </c>
      <c r="T7" s="9">
        <f t="shared" si="1"/>
        <v>23.58188914480305</v>
      </c>
      <c r="U7" s="6">
        <f t="shared" si="2"/>
        <v>0.24661170852285627</v>
      </c>
      <c r="V7" s="9">
        <f t="shared" si="3"/>
        <v>17.445917655268666</v>
      </c>
      <c r="W7" s="9">
        <f t="shared" si="4"/>
        <v>0.33334847080630214</v>
      </c>
    </row>
    <row r="8" spans="1:40" x14ac:dyDescent="0.25">
      <c r="A8" s="5" t="s">
        <v>114</v>
      </c>
      <c r="B8" s="2">
        <v>2</v>
      </c>
      <c r="C8" s="2">
        <v>10</v>
      </c>
      <c r="D8" s="2">
        <v>6</v>
      </c>
      <c r="E8" s="2">
        <v>3</v>
      </c>
      <c r="F8" s="2">
        <v>6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2</v>
      </c>
      <c r="M8" s="2">
        <v>3</v>
      </c>
      <c r="N8" s="2">
        <v>3</v>
      </c>
      <c r="O8" s="2">
        <v>0</v>
      </c>
      <c r="P8" s="2">
        <v>1</v>
      </c>
      <c r="Q8" s="2">
        <v>0</v>
      </c>
      <c r="R8" s="2">
        <v>2</v>
      </c>
      <c r="S8" s="9">
        <f t="shared" si="0"/>
        <v>38.088012139605468</v>
      </c>
      <c r="T8" s="9">
        <f t="shared" si="1"/>
        <v>22.462860211204582</v>
      </c>
      <c r="U8" s="6">
        <f t="shared" si="2"/>
        <v>1.6955993930197271</v>
      </c>
      <c r="V8" s="9">
        <f t="shared" si="3"/>
        <v>0</v>
      </c>
      <c r="W8" s="9">
        <f t="shared" si="4"/>
        <v>0</v>
      </c>
    </row>
    <row r="9" spans="1:40" x14ac:dyDescent="0.25">
      <c r="S9" s="9" t="e">
        <f t="shared" si="0"/>
        <v>#DIV/0!</v>
      </c>
      <c r="T9" s="9" t="e">
        <f t="shared" si="1"/>
        <v>#DIV/0!</v>
      </c>
      <c r="U9" s="6" t="e">
        <f t="shared" si="2"/>
        <v>#DIV/0!</v>
      </c>
      <c r="V9" s="9" t="e">
        <f t="shared" si="3"/>
        <v>#DIV/0!</v>
      </c>
      <c r="W9" s="9" t="e">
        <f t="shared" si="4"/>
        <v>#DIV/0!</v>
      </c>
    </row>
    <row r="10" spans="1:40" x14ac:dyDescent="0.25">
      <c r="S10" s="9" t="e">
        <f t="shared" si="0"/>
        <v>#DIV/0!</v>
      </c>
      <c r="T10" s="9" t="e">
        <f t="shared" si="1"/>
        <v>#DIV/0!</v>
      </c>
      <c r="U10" s="6" t="e">
        <f t="shared" si="2"/>
        <v>#DIV/0!</v>
      </c>
      <c r="V10" s="9" t="e">
        <f t="shared" si="3"/>
        <v>#DIV/0!</v>
      </c>
      <c r="W10" s="9" t="e">
        <f t="shared" si="4"/>
        <v>#DIV/0!</v>
      </c>
    </row>
    <row r="11" spans="1:40" x14ac:dyDescent="0.25">
      <c r="S11" s="9" t="e">
        <f t="shared" si="0"/>
        <v>#DIV/0!</v>
      </c>
      <c r="T11" s="9" t="e">
        <f t="shared" si="1"/>
        <v>#DIV/0!</v>
      </c>
      <c r="U11" s="6" t="e">
        <f t="shared" si="2"/>
        <v>#DIV/0!</v>
      </c>
      <c r="V11" s="9" t="e">
        <f t="shared" si="3"/>
        <v>#DIV/0!</v>
      </c>
      <c r="W11" s="9" t="e">
        <f t="shared" si="4"/>
        <v>#DIV/0!</v>
      </c>
    </row>
    <row r="12" spans="1:40" x14ac:dyDescent="0.25">
      <c r="S12" s="9" t="e">
        <f t="shared" si="0"/>
        <v>#DIV/0!</v>
      </c>
      <c r="T12" s="9" t="e">
        <f t="shared" si="1"/>
        <v>#DIV/0!</v>
      </c>
      <c r="U12" s="6" t="e">
        <f t="shared" si="2"/>
        <v>#DIV/0!</v>
      </c>
      <c r="V12" s="9" t="e">
        <f t="shared" si="3"/>
        <v>#DIV/0!</v>
      </c>
      <c r="W12" s="9" t="e">
        <f t="shared" si="4"/>
        <v>#DIV/0!</v>
      </c>
    </row>
    <row r="13" spans="1:40" x14ac:dyDescent="0.25">
      <c r="S13" s="9" t="e">
        <f t="shared" si="0"/>
        <v>#DIV/0!</v>
      </c>
      <c r="T13" s="9" t="e">
        <f t="shared" si="1"/>
        <v>#DIV/0!</v>
      </c>
      <c r="U13" s="6" t="e">
        <f t="shared" si="2"/>
        <v>#DIV/0!</v>
      </c>
      <c r="V13" s="9" t="e">
        <f t="shared" si="3"/>
        <v>#DIV/0!</v>
      </c>
      <c r="W13" s="9" t="e">
        <f t="shared" si="4"/>
        <v>#DIV/0!</v>
      </c>
    </row>
    <row r="15" spans="1:40" x14ac:dyDescent="0.25">
      <c r="A15" t="s">
        <v>36</v>
      </c>
      <c r="B15" s="2">
        <f>SUM(B2:B13)</f>
        <v>54</v>
      </c>
      <c r="C15" s="2">
        <f t="shared" ref="C15:R15" si="5">SUM(C2:C13)</f>
        <v>753</v>
      </c>
      <c r="D15" s="2">
        <f t="shared" si="5"/>
        <v>727</v>
      </c>
      <c r="E15" s="2">
        <f t="shared" si="5"/>
        <v>273</v>
      </c>
      <c r="F15" s="2">
        <f t="shared" si="5"/>
        <v>575</v>
      </c>
      <c r="G15" s="2">
        <f t="shared" si="5"/>
        <v>68</v>
      </c>
      <c r="H15" s="2">
        <f t="shared" si="5"/>
        <v>189</v>
      </c>
      <c r="I15" s="2">
        <f t="shared" si="5"/>
        <v>61</v>
      </c>
      <c r="J15" s="2">
        <f t="shared" si="5"/>
        <v>76</v>
      </c>
      <c r="K15" s="2">
        <f t="shared" si="5"/>
        <v>55</v>
      </c>
      <c r="L15" s="2">
        <f t="shared" si="5"/>
        <v>209</v>
      </c>
      <c r="M15" s="2">
        <f t="shared" si="5"/>
        <v>264</v>
      </c>
      <c r="N15" s="2">
        <f t="shared" si="5"/>
        <v>116</v>
      </c>
      <c r="O15" s="2">
        <f t="shared" si="5"/>
        <v>39</v>
      </c>
      <c r="P15" s="2">
        <f t="shared" si="5"/>
        <v>23</v>
      </c>
      <c r="Q15" s="2">
        <f t="shared" si="5"/>
        <v>62</v>
      </c>
      <c r="R15" s="2">
        <f t="shared" si="5"/>
        <v>124</v>
      </c>
    </row>
    <row r="21" spans="3:4" x14ac:dyDescent="0.25">
      <c r="C21" s="11"/>
      <c r="D21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0BAB-8335-40AC-8072-197F21113278}">
  <dimension ref="A1:AN21"/>
  <sheetViews>
    <sheetView workbookViewId="0">
      <selection activeCell="S2" activeCellId="1" sqref="A2:A7 S2:W7"/>
    </sheetView>
  </sheetViews>
  <sheetFormatPr baseColWidth="10" defaultRowHeight="15" x14ac:dyDescent="0.25"/>
  <cols>
    <col min="1" max="1" width="19" bestFit="1" customWidth="1"/>
    <col min="2" max="21" width="7.7109375" customWidth="1"/>
  </cols>
  <sheetData>
    <row r="1" spans="1:40" x14ac:dyDescent="0.25">
      <c r="A1" s="10" t="s">
        <v>47</v>
      </c>
      <c r="B1" s="10" t="s">
        <v>48</v>
      </c>
      <c r="C1" s="10" t="s">
        <v>49</v>
      </c>
      <c r="D1" s="10" t="s">
        <v>24</v>
      </c>
      <c r="E1" s="10" t="s">
        <v>50</v>
      </c>
      <c r="F1" s="10" t="s">
        <v>6</v>
      </c>
      <c r="G1" s="10" t="s">
        <v>51</v>
      </c>
      <c r="H1" s="10" t="s">
        <v>9</v>
      </c>
      <c r="I1" s="10" t="s">
        <v>52</v>
      </c>
      <c r="J1" s="10" t="s">
        <v>15</v>
      </c>
      <c r="K1" s="10" t="s">
        <v>53</v>
      </c>
      <c r="L1" s="10" t="s">
        <v>54</v>
      </c>
      <c r="M1" s="10" t="s">
        <v>55</v>
      </c>
      <c r="N1" s="10" t="s">
        <v>19</v>
      </c>
      <c r="O1" s="10" t="s">
        <v>20</v>
      </c>
      <c r="P1" s="10" t="s">
        <v>21</v>
      </c>
      <c r="Q1" s="10" t="s">
        <v>56</v>
      </c>
      <c r="R1" s="10" t="s">
        <v>23</v>
      </c>
      <c r="S1" s="10" t="s">
        <v>57</v>
      </c>
      <c r="T1" s="10" t="s">
        <v>58</v>
      </c>
      <c r="U1" s="10" t="s">
        <v>59</v>
      </c>
      <c r="V1" s="10" t="s">
        <v>65</v>
      </c>
      <c r="W1" s="10" t="s">
        <v>66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x14ac:dyDescent="0.25">
      <c r="A2" s="5" t="s">
        <v>80</v>
      </c>
      <c r="B2" s="2">
        <v>10</v>
      </c>
      <c r="C2" s="2">
        <v>179</v>
      </c>
      <c r="D2" s="2">
        <v>174</v>
      </c>
      <c r="E2" s="2">
        <v>74</v>
      </c>
      <c r="F2" s="2">
        <v>143</v>
      </c>
      <c r="G2" s="2">
        <v>18</v>
      </c>
      <c r="H2" s="2">
        <v>48</v>
      </c>
      <c r="I2" s="2">
        <v>5</v>
      </c>
      <c r="J2" s="2">
        <v>9</v>
      </c>
      <c r="K2" s="2">
        <v>6</v>
      </c>
      <c r="L2" s="2">
        <v>24</v>
      </c>
      <c r="M2" s="2">
        <v>30</v>
      </c>
      <c r="N2" s="2">
        <v>21</v>
      </c>
      <c r="O2" s="2">
        <v>10</v>
      </c>
      <c r="P2" s="2">
        <v>2</v>
      </c>
      <c r="Q2" s="2">
        <v>10</v>
      </c>
      <c r="R2" s="2">
        <v>25</v>
      </c>
      <c r="S2" s="9">
        <f>100*(N2)/((C2/($C$15/3))*$E$15-E2)</f>
        <v>17.459190915542937</v>
      </c>
      <c r="T2" s="9">
        <f>(100*(F2+0.44*J2+Q2)*($C$15/3))/(C2*($F$15+0.44*$J$15+$Q$15))</f>
        <v>31.645794123210568</v>
      </c>
      <c r="U2" s="6">
        <f>S2/T2</f>
        <v>0.55170651896321088</v>
      </c>
      <c r="V2" s="9">
        <f>100*Q2/(F2+0.44*J2+Q2)</f>
        <v>6.3710499490316002</v>
      </c>
      <c r="W2" s="9">
        <f>IF(V2=0,0,S2/V2)</f>
        <v>2.7403946061036195</v>
      </c>
    </row>
    <row r="3" spans="1:40" x14ac:dyDescent="0.25">
      <c r="A3" s="5" t="s">
        <v>82</v>
      </c>
      <c r="B3" s="2">
        <v>10</v>
      </c>
      <c r="C3" s="2">
        <v>173</v>
      </c>
      <c r="D3" s="2">
        <v>166</v>
      </c>
      <c r="E3" s="2">
        <v>66</v>
      </c>
      <c r="F3" s="2">
        <v>139</v>
      </c>
      <c r="G3" s="2">
        <v>11</v>
      </c>
      <c r="H3" s="2">
        <v>47</v>
      </c>
      <c r="I3" s="2">
        <v>12</v>
      </c>
      <c r="J3" s="2">
        <v>14</v>
      </c>
      <c r="K3" s="2">
        <v>3</v>
      </c>
      <c r="L3" s="2">
        <v>40</v>
      </c>
      <c r="M3" s="2">
        <v>43</v>
      </c>
      <c r="N3" s="2">
        <v>30</v>
      </c>
      <c r="O3" s="2">
        <v>8</v>
      </c>
      <c r="P3" s="2">
        <v>12</v>
      </c>
      <c r="Q3" s="2">
        <v>13</v>
      </c>
      <c r="R3" s="2">
        <v>30</v>
      </c>
      <c r="S3" s="9">
        <f t="shared" ref="S3:S13" si="0">100*(N3)/((C3/($C$15/3))*$E$15-E3)</f>
        <v>24.636955433149723</v>
      </c>
      <c r="T3" s="9">
        <f t="shared" ref="T3:T13" si="1">(100*(F3+0.44*J3+Q3)*($C$15/3))/(C3*($F$15+0.44*$J$15+$Q$15))</f>
        <v>32.993667431794044</v>
      </c>
      <c r="U3" s="6">
        <f t="shared" ref="U3:U13" si="2">S3/T3</f>
        <v>0.74671769920941089</v>
      </c>
      <c r="V3" s="9">
        <f t="shared" ref="V3:V13" si="3">100*Q3/(F3+0.44*J3+Q3)</f>
        <v>8.2195245321193724</v>
      </c>
      <c r="W3" s="9">
        <f t="shared" ref="W3:W13" si="4">IF(V3=0,0,S3/V3)</f>
        <v>2.9973699010053543</v>
      </c>
    </row>
    <row r="4" spans="1:40" x14ac:dyDescent="0.25">
      <c r="A4" s="5" t="s">
        <v>87</v>
      </c>
      <c r="B4" s="2">
        <v>10</v>
      </c>
      <c r="C4" s="2">
        <v>139</v>
      </c>
      <c r="D4" s="2">
        <v>145</v>
      </c>
      <c r="E4" s="2">
        <v>55</v>
      </c>
      <c r="F4" s="2">
        <v>119</v>
      </c>
      <c r="G4" s="2">
        <v>4</v>
      </c>
      <c r="H4" s="2">
        <v>15</v>
      </c>
      <c r="I4" s="2">
        <v>17</v>
      </c>
      <c r="J4" s="2">
        <v>20</v>
      </c>
      <c r="K4" s="2">
        <v>23</v>
      </c>
      <c r="L4" s="2">
        <v>86</v>
      </c>
      <c r="M4" s="2">
        <v>109</v>
      </c>
      <c r="N4" s="2">
        <v>11</v>
      </c>
      <c r="O4" s="2">
        <v>9</v>
      </c>
      <c r="P4" s="2">
        <v>5</v>
      </c>
      <c r="Q4" s="2">
        <v>18</v>
      </c>
      <c r="R4" s="2">
        <v>25</v>
      </c>
      <c r="S4" s="9">
        <f t="shared" si="0"/>
        <v>11.474367128864012</v>
      </c>
      <c r="T4" s="9">
        <f t="shared" si="1"/>
        <v>37.854957510430843</v>
      </c>
      <c r="U4" s="6">
        <f t="shared" si="2"/>
        <v>0.30311398779677079</v>
      </c>
      <c r="V4" s="9">
        <f t="shared" si="3"/>
        <v>12.345679012345679</v>
      </c>
      <c r="W4" s="9">
        <f t="shared" si="4"/>
        <v>0.92942373743798501</v>
      </c>
    </row>
    <row r="5" spans="1:40" x14ac:dyDescent="0.25">
      <c r="A5" s="5" t="s">
        <v>96</v>
      </c>
      <c r="B5" s="2">
        <v>7</v>
      </c>
      <c r="C5" s="2">
        <v>81</v>
      </c>
      <c r="D5" s="2">
        <v>64</v>
      </c>
      <c r="E5" s="2">
        <v>30</v>
      </c>
      <c r="F5" s="2">
        <v>59</v>
      </c>
      <c r="G5" s="2">
        <v>1</v>
      </c>
      <c r="H5" s="2">
        <v>10</v>
      </c>
      <c r="I5" s="2">
        <v>2</v>
      </c>
      <c r="J5" s="2">
        <v>3</v>
      </c>
      <c r="K5" s="2">
        <v>5</v>
      </c>
      <c r="L5" s="2">
        <v>39</v>
      </c>
      <c r="M5" s="2">
        <v>44</v>
      </c>
      <c r="N5" s="2">
        <v>8</v>
      </c>
      <c r="O5" s="2">
        <v>4</v>
      </c>
      <c r="P5" s="2">
        <v>7</v>
      </c>
      <c r="Q5" s="2">
        <v>8</v>
      </c>
      <c r="R5" s="2">
        <v>22</v>
      </c>
      <c r="S5" s="9">
        <f t="shared" si="0"/>
        <v>13.813434407243628</v>
      </c>
      <c r="T5" s="9">
        <f t="shared" si="1"/>
        <v>30.439875941900468</v>
      </c>
      <c r="U5" s="6">
        <f t="shared" si="2"/>
        <v>0.45379404415474128</v>
      </c>
      <c r="V5" s="9">
        <f t="shared" si="3"/>
        <v>11.7096018735363</v>
      </c>
      <c r="W5" s="9">
        <f t="shared" si="4"/>
        <v>1.1796672983786058</v>
      </c>
    </row>
    <row r="6" spans="1:40" x14ac:dyDescent="0.25">
      <c r="A6" s="5" t="s">
        <v>108</v>
      </c>
      <c r="B6" s="2">
        <v>10</v>
      </c>
      <c r="C6" s="2">
        <v>80</v>
      </c>
      <c r="D6" s="2">
        <v>56</v>
      </c>
      <c r="E6" s="2">
        <v>21</v>
      </c>
      <c r="F6" s="2">
        <v>61</v>
      </c>
      <c r="G6" s="2">
        <v>10</v>
      </c>
      <c r="H6" s="2">
        <v>28</v>
      </c>
      <c r="I6" s="2">
        <v>2</v>
      </c>
      <c r="J6" s="2">
        <v>4</v>
      </c>
      <c r="K6" s="2">
        <v>3</v>
      </c>
      <c r="L6" s="2">
        <v>15</v>
      </c>
      <c r="M6" s="2">
        <v>18</v>
      </c>
      <c r="N6" s="2">
        <v>13</v>
      </c>
      <c r="O6" s="2">
        <v>2</v>
      </c>
      <c r="P6" s="2">
        <v>1</v>
      </c>
      <c r="Q6" s="2">
        <v>6</v>
      </c>
      <c r="R6" s="2">
        <v>20</v>
      </c>
      <c r="S6" s="9">
        <f t="shared" si="0"/>
        <v>19.748054835124119</v>
      </c>
      <c r="T6" s="9">
        <f t="shared" si="1"/>
        <v>31.018866263716916</v>
      </c>
      <c r="U6" s="6">
        <f t="shared" si="2"/>
        <v>0.63664657074277464</v>
      </c>
      <c r="V6" s="9">
        <f t="shared" si="3"/>
        <v>8.7260034904013981</v>
      </c>
      <c r="W6" s="9">
        <f t="shared" si="4"/>
        <v>2.2631270841052236</v>
      </c>
    </row>
    <row r="7" spans="1:40" x14ac:dyDescent="0.25">
      <c r="A7" s="5" t="s">
        <v>106</v>
      </c>
      <c r="B7" s="2">
        <v>9</v>
      </c>
      <c r="C7" s="2">
        <v>86</v>
      </c>
      <c r="D7" s="2">
        <v>52</v>
      </c>
      <c r="E7" s="2">
        <v>21</v>
      </c>
      <c r="F7" s="2">
        <v>70</v>
      </c>
      <c r="G7" s="2">
        <v>3</v>
      </c>
      <c r="H7" s="2">
        <v>19</v>
      </c>
      <c r="I7" s="2">
        <v>4</v>
      </c>
      <c r="J7" s="2">
        <v>6</v>
      </c>
      <c r="K7" s="2">
        <v>4</v>
      </c>
      <c r="L7" s="2">
        <v>22</v>
      </c>
      <c r="M7" s="2">
        <v>26</v>
      </c>
      <c r="N7" s="2">
        <v>11</v>
      </c>
      <c r="O7" s="2">
        <v>10</v>
      </c>
      <c r="P7" s="2">
        <v>11</v>
      </c>
      <c r="Q7" s="2">
        <v>11</v>
      </c>
      <c r="R7" s="2">
        <v>16</v>
      </c>
      <c r="S7" s="9">
        <f t="shared" si="0"/>
        <v>15.205664194200944</v>
      </c>
      <c r="T7" s="9">
        <f t="shared" si="1"/>
        <v>35.099070231439086</v>
      </c>
      <c r="U7" s="6">
        <f t="shared" si="2"/>
        <v>0.43322128175865077</v>
      </c>
      <c r="V7" s="9">
        <f t="shared" si="3"/>
        <v>13.151602104256337</v>
      </c>
      <c r="W7" s="9">
        <f t="shared" si="4"/>
        <v>1.1561834120026973</v>
      </c>
    </row>
    <row r="8" spans="1:40" x14ac:dyDescent="0.25">
      <c r="S8" s="9" t="e">
        <f t="shared" si="0"/>
        <v>#DIV/0!</v>
      </c>
      <c r="T8" s="9" t="e">
        <f t="shared" si="1"/>
        <v>#DIV/0!</v>
      </c>
      <c r="U8" s="6" t="e">
        <f t="shared" si="2"/>
        <v>#DIV/0!</v>
      </c>
      <c r="V8" s="9" t="e">
        <f t="shared" si="3"/>
        <v>#DIV/0!</v>
      </c>
      <c r="W8" s="9" t="e">
        <f t="shared" si="4"/>
        <v>#DIV/0!</v>
      </c>
    </row>
    <row r="9" spans="1:40" x14ac:dyDescent="0.25">
      <c r="S9" s="9" t="e">
        <f t="shared" si="0"/>
        <v>#DIV/0!</v>
      </c>
      <c r="T9" s="9" t="e">
        <f t="shared" si="1"/>
        <v>#DIV/0!</v>
      </c>
      <c r="U9" s="6" t="e">
        <f t="shared" si="2"/>
        <v>#DIV/0!</v>
      </c>
      <c r="V9" s="9" t="e">
        <f t="shared" si="3"/>
        <v>#DIV/0!</v>
      </c>
      <c r="W9" s="9" t="e">
        <f t="shared" si="4"/>
        <v>#DIV/0!</v>
      </c>
    </row>
    <row r="10" spans="1:40" x14ac:dyDescent="0.25">
      <c r="S10" s="9" t="e">
        <f t="shared" si="0"/>
        <v>#DIV/0!</v>
      </c>
      <c r="T10" s="9" t="e">
        <f t="shared" si="1"/>
        <v>#DIV/0!</v>
      </c>
      <c r="U10" s="6" t="e">
        <f t="shared" si="2"/>
        <v>#DIV/0!</v>
      </c>
      <c r="V10" s="9" t="e">
        <f t="shared" si="3"/>
        <v>#DIV/0!</v>
      </c>
      <c r="W10" s="9" t="e">
        <f t="shared" si="4"/>
        <v>#DIV/0!</v>
      </c>
    </row>
    <row r="11" spans="1:40" x14ac:dyDescent="0.25">
      <c r="S11" s="9" t="e">
        <f t="shared" si="0"/>
        <v>#DIV/0!</v>
      </c>
      <c r="T11" s="9" t="e">
        <f t="shared" si="1"/>
        <v>#DIV/0!</v>
      </c>
      <c r="U11" s="6" t="e">
        <f t="shared" si="2"/>
        <v>#DIV/0!</v>
      </c>
      <c r="V11" s="9" t="e">
        <f t="shared" si="3"/>
        <v>#DIV/0!</v>
      </c>
      <c r="W11" s="9" t="e">
        <f t="shared" si="4"/>
        <v>#DIV/0!</v>
      </c>
    </row>
    <row r="12" spans="1:40" x14ac:dyDescent="0.25">
      <c r="S12" s="9" t="e">
        <f t="shared" si="0"/>
        <v>#DIV/0!</v>
      </c>
      <c r="T12" s="9" t="e">
        <f t="shared" si="1"/>
        <v>#DIV/0!</v>
      </c>
      <c r="U12" s="6" t="e">
        <f t="shared" si="2"/>
        <v>#DIV/0!</v>
      </c>
      <c r="V12" s="9" t="e">
        <f t="shared" si="3"/>
        <v>#DIV/0!</v>
      </c>
      <c r="W12" s="9" t="e">
        <f t="shared" si="4"/>
        <v>#DIV/0!</v>
      </c>
    </row>
    <row r="13" spans="1:40" x14ac:dyDescent="0.25">
      <c r="S13" s="9" t="e">
        <f t="shared" si="0"/>
        <v>#DIV/0!</v>
      </c>
      <c r="T13" s="9" t="e">
        <f t="shared" si="1"/>
        <v>#DIV/0!</v>
      </c>
      <c r="U13" s="6" t="e">
        <f t="shared" si="2"/>
        <v>#DIV/0!</v>
      </c>
      <c r="V13" s="9" t="e">
        <f t="shared" si="3"/>
        <v>#DIV/0!</v>
      </c>
      <c r="W13" s="9" t="e">
        <f t="shared" si="4"/>
        <v>#DIV/0!</v>
      </c>
    </row>
    <row r="15" spans="1:40" x14ac:dyDescent="0.25">
      <c r="A15" t="s">
        <v>36</v>
      </c>
      <c r="B15" s="2">
        <f>SUM(B2:B13)</f>
        <v>56</v>
      </c>
      <c r="C15" s="2">
        <f t="shared" ref="C15:R15" si="5">SUM(C2:C13)</f>
        <v>738</v>
      </c>
      <c r="D15" s="2">
        <f t="shared" si="5"/>
        <v>657</v>
      </c>
      <c r="E15" s="2">
        <f t="shared" si="5"/>
        <v>267</v>
      </c>
      <c r="F15" s="2">
        <f t="shared" si="5"/>
        <v>591</v>
      </c>
      <c r="G15" s="2">
        <f t="shared" si="5"/>
        <v>47</v>
      </c>
      <c r="H15" s="2">
        <f t="shared" si="5"/>
        <v>167</v>
      </c>
      <c r="I15" s="2">
        <f t="shared" si="5"/>
        <v>42</v>
      </c>
      <c r="J15" s="2">
        <f t="shared" si="5"/>
        <v>56</v>
      </c>
      <c r="K15" s="2">
        <f t="shared" si="5"/>
        <v>44</v>
      </c>
      <c r="L15" s="2">
        <f t="shared" si="5"/>
        <v>226</v>
      </c>
      <c r="M15" s="2">
        <f t="shared" si="5"/>
        <v>270</v>
      </c>
      <c r="N15" s="2">
        <f t="shared" si="5"/>
        <v>94</v>
      </c>
      <c r="O15" s="2">
        <f t="shared" si="5"/>
        <v>43</v>
      </c>
      <c r="P15" s="2">
        <f t="shared" si="5"/>
        <v>38</v>
      </c>
      <c r="Q15" s="2">
        <f t="shared" si="5"/>
        <v>66</v>
      </c>
      <c r="R15" s="2">
        <f t="shared" si="5"/>
        <v>138</v>
      </c>
    </row>
    <row r="21" spans="3:4" x14ac:dyDescent="0.25">
      <c r="C21" s="11"/>
      <c r="D21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BD4DC-03A2-41F3-8EF7-6CF439039EA4}">
  <dimension ref="A1:AN21"/>
  <sheetViews>
    <sheetView workbookViewId="0">
      <selection activeCell="S2" activeCellId="1" sqref="A2:A7 S2:W7"/>
    </sheetView>
  </sheetViews>
  <sheetFormatPr baseColWidth="10" defaultRowHeight="15" x14ac:dyDescent="0.25"/>
  <cols>
    <col min="1" max="1" width="19" bestFit="1" customWidth="1"/>
    <col min="2" max="21" width="7.7109375" customWidth="1"/>
  </cols>
  <sheetData>
    <row r="1" spans="1:40" x14ac:dyDescent="0.25">
      <c r="A1" s="10" t="s">
        <v>47</v>
      </c>
      <c r="B1" s="10" t="s">
        <v>48</v>
      </c>
      <c r="C1" s="10" t="s">
        <v>49</v>
      </c>
      <c r="D1" s="10" t="s">
        <v>24</v>
      </c>
      <c r="E1" s="10" t="s">
        <v>50</v>
      </c>
      <c r="F1" s="10" t="s">
        <v>6</v>
      </c>
      <c r="G1" s="10" t="s">
        <v>51</v>
      </c>
      <c r="H1" s="10" t="s">
        <v>9</v>
      </c>
      <c r="I1" s="10" t="s">
        <v>52</v>
      </c>
      <c r="J1" s="10" t="s">
        <v>15</v>
      </c>
      <c r="K1" s="10" t="s">
        <v>53</v>
      </c>
      <c r="L1" s="10" t="s">
        <v>54</v>
      </c>
      <c r="M1" s="10" t="s">
        <v>55</v>
      </c>
      <c r="N1" s="10" t="s">
        <v>19</v>
      </c>
      <c r="O1" s="10" t="s">
        <v>20</v>
      </c>
      <c r="P1" s="10" t="s">
        <v>21</v>
      </c>
      <c r="Q1" s="10" t="s">
        <v>56</v>
      </c>
      <c r="R1" s="10" t="s">
        <v>23</v>
      </c>
      <c r="S1" s="10" t="s">
        <v>57</v>
      </c>
      <c r="T1" s="10" t="s">
        <v>58</v>
      </c>
      <c r="U1" s="10" t="s">
        <v>59</v>
      </c>
      <c r="V1" s="10" t="s">
        <v>65</v>
      </c>
      <c r="W1" s="10" t="s">
        <v>66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x14ac:dyDescent="0.25">
      <c r="A2" s="5" t="s">
        <v>68</v>
      </c>
      <c r="B2" s="2">
        <v>9</v>
      </c>
      <c r="C2" s="2">
        <v>189</v>
      </c>
      <c r="D2" s="2">
        <v>241</v>
      </c>
      <c r="E2" s="2">
        <v>88</v>
      </c>
      <c r="F2" s="2">
        <v>203</v>
      </c>
      <c r="G2" s="2">
        <v>34</v>
      </c>
      <c r="H2" s="2">
        <v>104</v>
      </c>
      <c r="I2" s="2">
        <v>19</v>
      </c>
      <c r="J2" s="2">
        <v>22</v>
      </c>
      <c r="K2" s="2">
        <v>7</v>
      </c>
      <c r="L2" s="2">
        <v>59</v>
      </c>
      <c r="M2" s="2">
        <v>66</v>
      </c>
      <c r="N2" s="2">
        <v>43</v>
      </c>
      <c r="O2" s="2">
        <v>4</v>
      </c>
      <c r="P2" s="2">
        <v>2</v>
      </c>
      <c r="Q2" s="2">
        <v>31</v>
      </c>
      <c r="R2" s="2">
        <v>28</v>
      </c>
      <c r="S2" s="9">
        <f>100*(N2)/((C2/($C$15/3))*$E$15-E2)</f>
        <v>37.442664769800579</v>
      </c>
      <c r="T2" s="9">
        <f>(100*(F2+0.44*J2+Q2)*($C$15/3))/(C2*($F$15+0.44*$J$15+$Q$15))</f>
        <v>43.952698404569027</v>
      </c>
      <c r="U2" s="6">
        <f>S2/T2</f>
        <v>0.85188546161953715</v>
      </c>
      <c r="V2" s="9">
        <f>100*Q2/(F2+0.44*J2+Q2)</f>
        <v>12.721602101116218</v>
      </c>
      <c r="W2" s="9">
        <f>IF(V2=0,0,S2/V2)</f>
        <v>2.9432350164854855</v>
      </c>
    </row>
    <row r="3" spans="1:40" x14ac:dyDescent="0.25">
      <c r="A3" s="5" t="s">
        <v>72</v>
      </c>
      <c r="B3" s="2">
        <v>8</v>
      </c>
      <c r="C3" s="2">
        <v>155</v>
      </c>
      <c r="D3" s="2">
        <v>178</v>
      </c>
      <c r="E3" s="2">
        <v>74</v>
      </c>
      <c r="F3" s="2">
        <v>128</v>
      </c>
      <c r="G3" s="2">
        <v>1</v>
      </c>
      <c r="H3" s="2">
        <v>2</v>
      </c>
      <c r="I3" s="2">
        <v>17</v>
      </c>
      <c r="J3" s="2">
        <v>24</v>
      </c>
      <c r="K3" s="2">
        <v>35</v>
      </c>
      <c r="L3" s="2">
        <v>74</v>
      </c>
      <c r="M3" s="2">
        <v>109</v>
      </c>
      <c r="N3" s="2">
        <v>15</v>
      </c>
      <c r="O3" s="2">
        <v>7</v>
      </c>
      <c r="P3" s="2">
        <v>4</v>
      </c>
      <c r="Q3" s="2">
        <v>30</v>
      </c>
      <c r="R3" s="2">
        <v>29</v>
      </c>
      <c r="S3" s="9">
        <f t="shared" ref="S3:S13" si="0">100*(N3)/((C3/($C$15/3))*$E$15-E3)</f>
        <v>16.24218392557572</v>
      </c>
      <c r="T3" s="9">
        <f t="shared" ref="T3:T13" si="1">(100*(F3+0.44*J3+Q3)*($C$15/3))/(C3*($F$15+0.44*$J$15+$Q$15))</f>
        <v>37.072364426667853</v>
      </c>
      <c r="U3" s="6">
        <f t="shared" ref="U3:U13" si="2">S3/T3</f>
        <v>0.43812106880056378</v>
      </c>
      <c r="V3" s="9">
        <f t="shared" ref="V3:V13" si="3">100*Q3/(F3+0.44*J3+Q3)</f>
        <v>17.79781680113906</v>
      </c>
      <c r="W3" s="9">
        <f t="shared" ref="W3:W13" si="4">IF(V3=0,0,S3/V3)</f>
        <v>0.91259417416501443</v>
      </c>
    </row>
    <row r="4" spans="1:40" x14ac:dyDescent="0.25">
      <c r="A4" s="5" t="s">
        <v>86</v>
      </c>
      <c r="B4" s="2">
        <v>7</v>
      </c>
      <c r="C4" s="2">
        <v>113</v>
      </c>
      <c r="D4" s="2">
        <v>108</v>
      </c>
      <c r="E4" s="2">
        <v>38</v>
      </c>
      <c r="F4" s="2">
        <v>106</v>
      </c>
      <c r="G4" s="2">
        <v>6</v>
      </c>
      <c r="H4" s="2">
        <v>34</v>
      </c>
      <c r="I4" s="2">
        <v>15</v>
      </c>
      <c r="J4" s="2">
        <v>18</v>
      </c>
      <c r="K4" s="2">
        <v>9</v>
      </c>
      <c r="L4" s="2">
        <v>15</v>
      </c>
      <c r="M4" s="2">
        <v>24</v>
      </c>
      <c r="N4" s="2">
        <v>25</v>
      </c>
      <c r="O4" s="2">
        <v>6</v>
      </c>
      <c r="P4" s="2">
        <v>8</v>
      </c>
      <c r="Q4" s="2">
        <v>12</v>
      </c>
      <c r="R4" s="2">
        <v>24</v>
      </c>
      <c r="S4" s="9">
        <f t="shared" si="0"/>
        <v>30.020633900483709</v>
      </c>
      <c r="T4" s="9">
        <f t="shared" si="1"/>
        <v>37.987764128732948</v>
      </c>
      <c r="U4" s="6">
        <f t="shared" si="2"/>
        <v>0.79027114622355177</v>
      </c>
      <c r="V4" s="9">
        <f t="shared" si="3"/>
        <v>9.529860228716645</v>
      </c>
      <c r="W4" s="9">
        <f t="shared" si="4"/>
        <v>3.1501651839574238</v>
      </c>
    </row>
    <row r="5" spans="1:40" x14ac:dyDescent="0.25">
      <c r="A5" s="5" t="s">
        <v>107</v>
      </c>
      <c r="B5" s="2">
        <v>10</v>
      </c>
      <c r="C5" s="2">
        <v>87</v>
      </c>
      <c r="D5" s="2">
        <v>54</v>
      </c>
      <c r="E5" s="2">
        <v>25</v>
      </c>
      <c r="F5" s="2">
        <v>47</v>
      </c>
      <c r="G5" s="2">
        <v>2</v>
      </c>
      <c r="H5" s="2">
        <v>7</v>
      </c>
      <c r="I5" s="2">
        <v>1</v>
      </c>
      <c r="J5" s="2">
        <v>5</v>
      </c>
      <c r="K5" s="2">
        <v>12</v>
      </c>
      <c r="L5" s="2">
        <v>35</v>
      </c>
      <c r="M5" s="2">
        <v>47</v>
      </c>
      <c r="N5" s="2">
        <v>6</v>
      </c>
      <c r="O5" s="2">
        <v>6</v>
      </c>
      <c r="P5" s="2">
        <v>4</v>
      </c>
      <c r="Q5" s="2">
        <v>10</v>
      </c>
      <c r="R5" s="2">
        <v>21</v>
      </c>
      <c r="S5" s="9">
        <f t="shared" si="0"/>
        <v>8.7755438365194465</v>
      </c>
      <c r="T5" s="9">
        <f t="shared" si="1"/>
        <v>23.196898132327398</v>
      </c>
      <c r="U5" s="6">
        <f t="shared" si="2"/>
        <v>0.37830677991768963</v>
      </c>
      <c r="V5" s="9">
        <f t="shared" si="3"/>
        <v>16.891891891891891</v>
      </c>
      <c r="W5" s="9">
        <f t="shared" si="4"/>
        <v>0.51951219512195124</v>
      </c>
    </row>
    <row r="6" spans="1:40" x14ac:dyDescent="0.25">
      <c r="A6" s="5" t="s">
        <v>115</v>
      </c>
      <c r="B6" s="2">
        <v>10</v>
      </c>
      <c r="C6" s="2">
        <v>60</v>
      </c>
      <c r="D6" s="2">
        <v>41</v>
      </c>
      <c r="E6" s="2">
        <v>14</v>
      </c>
      <c r="F6" s="2">
        <v>35</v>
      </c>
      <c r="G6" s="2">
        <v>13</v>
      </c>
      <c r="H6" s="2">
        <v>32</v>
      </c>
      <c r="I6" s="2">
        <v>0</v>
      </c>
      <c r="J6" s="2">
        <v>1</v>
      </c>
      <c r="K6" s="2">
        <v>1</v>
      </c>
      <c r="L6" s="2">
        <v>14</v>
      </c>
      <c r="M6" s="2">
        <v>15</v>
      </c>
      <c r="N6" s="2">
        <v>6</v>
      </c>
      <c r="O6" s="2">
        <v>1</v>
      </c>
      <c r="P6" s="2">
        <v>0</v>
      </c>
      <c r="Q6" s="2">
        <v>5</v>
      </c>
      <c r="R6" s="2">
        <v>23</v>
      </c>
      <c r="S6" s="9">
        <f t="shared" si="0"/>
        <v>11.906092789267746</v>
      </c>
      <c r="T6" s="9">
        <f t="shared" si="1"/>
        <v>22.97668433586848</v>
      </c>
      <c r="U6" s="6">
        <f t="shared" si="2"/>
        <v>0.51818150152680487</v>
      </c>
      <c r="V6" s="9">
        <f t="shared" si="3"/>
        <v>12.363996043521267</v>
      </c>
      <c r="W6" s="9">
        <f t="shared" si="4"/>
        <v>0.96296478479597525</v>
      </c>
    </row>
    <row r="7" spans="1:40" x14ac:dyDescent="0.25">
      <c r="A7" s="5" t="s">
        <v>113</v>
      </c>
      <c r="B7" s="2">
        <v>9</v>
      </c>
      <c r="C7" s="2">
        <v>106</v>
      </c>
      <c r="D7" s="2">
        <v>37</v>
      </c>
      <c r="E7" s="2">
        <v>15</v>
      </c>
      <c r="F7" s="2">
        <v>43</v>
      </c>
      <c r="G7" s="2">
        <v>7</v>
      </c>
      <c r="H7" s="2">
        <v>20</v>
      </c>
      <c r="I7" s="2">
        <v>0</v>
      </c>
      <c r="J7" s="2">
        <v>1</v>
      </c>
      <c r="K7" s="2">
        <v>6</v>
      </c>
      <c r="L7" s="2">
        <v>25</v>
      </c>
      <c r="M7" s="2">
        <v>31</v>
      </c>
      <c r="N7" s="2">
        <v>12</v>
      </c>
      <c r="O7" s="2">
        <v>3</v>
      </c>
      <c r="P7" s="2">
        <v>8</v>
      </c>
      <c r="Q7" s="2">
        <v>13</v>
      </c>
      <c r="R7" s="2">
        <v>34</v>
      </c>
      <c r="S7" s="9">
        <f t="shared" si="0"/>
        <v>12.150252417215709</v>
      </c>
      <c r="T7" s="9">
        <f t="shared" si="1"/>
        <v>18.151336206209294</v>
      </c>
      <c r="U7" s="6">
        <f t="shared" si="2"/>
        <v>0.66938611456380237</v>
      </c>
      <c r="V7" s="9">
        <f t="shared" si="3"/>
        <v>23.033309709425939</v>
      </c>
      <c r="W7" s="9">
        <f t="shared" si="4"/>
        <v>0.52750788186742659</v>
      </c>
    </row>
    <row r="8" spans="1:40" x14ac:dyDescent="0.25">
      <c r="S8" s="9" t="e">
        <f t="shared" si="0"/>
        <v>#DIV/0!</v>
      </c>
      <c r="T8" s="9" t="e">
        <f t="shared" si="1"/>
        <v>#DIV/0!</v>
      </c>
      <c r="U8" s="6" t="e">
        <f t="shared" si="2"/>
        <v>#DIV/0!</v>
      </c>
      <c r="V8" s="9" t="e">
        <f t="shared" si="3"/>
        <v>#DIV/0!</v>
      </c>
      <c r="W8" s="9" t="e">
        <f t="shared" si="4"/>
        <v>#DIV/0!</v>
      </c>
    </row>
    <row r="9" spans="1:40" x14ac:dyDescent="0.25">
      <c r="S9" s="9" t="e">
        <f t="shared" si="0"/>
        <v>#DIV/0!</v>
      </c>
      <c r="T9" s="9" t="e">
        <f t="shared" si="1"/>
        <v>#DIV/0!</v>
      </c>
      <c r="U9" s="6" t="e">
        <f t="shared" si="2"/>
        <v>#DIV/0!</v>
      </c>
      <c r="V9" s="9" t="e">
        <f t="shared" si="3"/>
        <v>#DIV/0!</v>
      </c>
      <c r="W9" s="9" t="e">
        <f t="shared" si="4"/>
        <v>#DIV/0!</v>
      </c>
    </row>
    <row r="10" spans="1:40" x14ac:dyDescent="0.25">
      <c r="S10" s="9" t="e">
        <f t="shared" si="0"/>
        <v>#DIV/0!</v>
      </c>
      <c r="T10" s="9" t="e">
        <f t="shared" si="1"/>
        <v>#DIV/0!</v>
      </c>
      <c r="U10" s="6" t="e">
        <f t="shared" si="2"/>
        <v>#DIV/0!</v>
      </c>
      <c r="V10" s="9" t="e">
        <f t="shared" si="3"/>
        <v>#DIV/0!</v>
      </c>
      <c r="W10" s="9" t="e">
        <f t="shared" si="4"/>
        <v>#DIV/0!</v>
      </c>
    </row>
    <row r="11" spans="1:40" x14ac:dyDescent="0.25">
      <c r="S11" s="9" t="e">
        <f t="shared" si="0"/>
        <v>#DIV/0!</v>
      </c>
      <c r="T11" s="9" t="e">
        <f t="shared" si="1"/>
        <v>#DIV/0!</v>
      </c>
      <c r="U11" s="6" t="e">
        <f t="shared" si="2"/>
        <v>#DIV/0!</v>
      </c>
      <c r="V11" s="9" t="e">
        <f t="shared" si="3"/>
        <v>#DIV/0!</v>
      </c>
      <c r="W11" s="9" t="e">
        <f t="shared" si="4"/>
        <v>#DIV/0!</v>
      </c>
    </row>
    <row r="12" spans="1:40" x14ac:dyDescent="0.25">
      <c r="S12" s="9" t="e">
        <f t="shared" si="0"/>
        <v>#DIV/0!</v>
      </c>
      <c r="T12" s="9" t="e">
        <f t="shared" si="1"/>
        <v>#DIV/0!</v>
      </c>
      <c r="U12" s="6" t="e">
        <f t="shared" si="2"/>
        <v>#DIV/0!</v>
      </c>
      <c r="V12" s="9" t="e">
        <f t="shared" si="3"/>
        <v>#DIV/0!</v>
      </c>
      <c r="W12" s="9" t="e">
        <f t="shared" si="4"/>
        <v>#DIV/0!</v>
      </c>
    </row>
    <row r="13" spans="1:40" x14ac:dyDescent="0.25">
      <c r="S13" s="9" t="e">
        <f t="shared" si="0"/>
        <v>#DIV/0!</v>
      </c>
      <c r="T13" s="9" t="e">
        <f t="shared" si="1"/>
        <v>#DIV/0!</v>
      </c>
      <c r="U13" s="6" t="e">
        <f t="shared" si="2"/>
        <v>#DIV/0!</v>
      </c>
      <c r="V13" s="9" t="e">
        <f t="shared" si="3"/>
        <v>#DIV/0!</v>
      </c>
      <c r="W13" s="9" t="e">
        <f t="shared" si="4"/>
        <v>#DIV/0!</v>
      </c>
    </row>
    <row r="15" spans="1:40" x14ac:dyDescent="0.25">
      <c r="A15" t="s">
        <v>36</v>
      </c>
      <c r="B15" s="2">
        <f>SUM(B2:B13)</f>
        <v>53</v>
      </c>
      <c r="C15" s="2">
        <f t="shared" ref="C15:R15" si="5">SUM(C2:C13)</f>
        <v>710</v>
      </c>
      <c r="D15" s="2">
        <f t="shared" si="5"/>
        <v>659</v>
      </c>
      <c r="E15" s="2">
        <f t="shared" si="5"/>
        <v>254</v>
      </c>
      <c r="F15" s="2">
        <f t="shared" si="5"/>
        <v>562</v>
      </c>
      <c r="G15" s="2">
        <f t="shared" si="5"/>
        <v>63</v>
      </c>
      <c r="H15" s="2">
        <f t="shared" si="5"/>
        <v>199</v>
      </c>
      <c r="I15" s="2">
        <f t="shared" si="5"/>
        <v>52</v>
      </c>
      <c r="J15" s="2">
        <f t="shared" si="5"/>
        <v>71</v>
      </c>
      <c r="K15" s="2">
        <f t="shared" si="5"/>
        <v>70</v>
      </c>
      <c r="L15" s="2">
        <f t="shared" si="5"/>
        <v>222</v>
      </c>
      <c r="M15" s="2">
        <f t="shared" si="5"/>
        <v>292</v>
      </c>
      <c r="N15" s="2">
        <f t="shared" si="5"/>
        <v>107</v>
      </c>
      <c r="O15" s="2">
        <f t="shared" si="5"/>
        <v>27</v>
      </c>
      <c r="P15" s="2">
        <f t="shared" si="5"/>
        <v>26</v>
      </c>
      <c r="Q15" s="2">
        <f t="shared" si="5"/>
        <v>101</v>
      </c>
      <c r="R15" s="2">
        <f t="shared" si="5"/>
        <v>159</v>
      </c>
    </row>
    <row r="21" spans="3:4" x14ac:dyDescent="0.25">
      <c r="C21" s="11"/>
      <c r="D21" s="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54CC-1EC4-4732-A549-2A9A5A00CA6C}">
  <dimension ref="A1:AN21"/>
  <sheetViews>
    <sheetView workbookViewId="0">
      <selection activeCell="S2" activeCellId="1" sqref="A2:A7 S2:W7"/>
    </sheetView>
  </sheetViews>
  <sheetFormatPr baseColWidth="10" defaultRowHeight="15" x14ac:dyDescent="0.25"/>
  <cols>
    <col min="1" max="1" width="19" bestFit="1" customWidth="1"/>
    <col min="2" max="21" width="7.7109375" customWidth="1"/>
  </cols>
  <sheetData>
    <row r="1" spans="1:40" x14ac:dyDescent="0.25">
      <c r="A1" s="10" t="s">
        <v>47</v>
      </c>
      <c r="B1" s="10" t="s">
        <v>48</v>
      </c>
      <c r="C1" s="10" t="s">
        <v>49</v>
      </c>
      <c r="D1" s="10" t="s">
        <v>24</v>
      </c>
      <c r="E1" s="10" t="s">
        <v>50</v>
      </c>
      <c r="F1" s="10" t="s">
        <v>6</v>
      </c>
      <c r="G1" s="10" t="s">
        <v>51</v>
      </c>
      <c r="H1" s="10" t="s">
        <v>9</v>
      </c>
      <c r="I1" s="10" t="s">
        <v>52</v>
      </c>
      <c r="J1" s="10" t="s">
        <v>15</v>
      </c>
      <c r="K1" s="10" t="s">
        <v>53</v>
      </c>
      <c r="L1" s="10" t="s">
        <v>54</v>
      </c>
      <c r="M1" s="10" t="s">
        <v>55</v>
      </c>
      <c r="N1" s="10" t="s">
        <v>19</v>
      </c>
      <c r="O1" s="10" t="s">
        <v>20</v>
      </c>
      <c r="P1" s="10" t="s">
        <v>21</v>
      </c>
      <c r="Q1" s="10" t="s">
        <v>56</v>
      </c>
      <c r="R1" s="10" t="s">
        <v>23</v>
      </c>
      <c r="S1" s="10" t="s">
        <v>57</v>
      </c>
      <c r="T1" s="10" t="s">
        <v>58</v>
      </c>
      <c r="U1" s="10" t="s">
        <v>59</v>
      </c>
      <c r="V1" s="10" t="s">
        <v>65</v>
      </c>
      <c r="W1" s="10" t="s">
        <v>66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x14ac:dyDescent="0.25">
      <c r="A2" s="5" t="s">
        <v>73</v>
      </c>
      <c r="B2" s="2">
        <v>10</v>
      </c>
      <c r="C2" s="2">
        <v>186</v>
      </c>
      <c r="D2" s="2">
        <v>216</v>
      </c>
      <c r="E2" s="2">
        <v>82</v>
      </c>
      <c r="F2" s="2">
        <v>167</v>
      </c>
      <c r="G2" s="2">
        <v>27</v>
      </c>
      <c r="H2" s="2">
        <v>71</v>
      </c>
      <c r="I2" s="2">
        <v>16</v>
      </c>
      <c r="J2" s="2">
        <v>16</v>
      </c>
      <c r="K2" s="2">
        <v>9</v>
      </c>
      <c r="L2" s="2">
        <v>46</v>
      </c>
      <c r="M2" s="2">
        <v>55</v>
      </c>
      <c r="N2" s="2">
        <v>56</v>
      </c>
      <c r="O2" s="2">
        <v>3</v>
      </c>
      <c r="P2" s="2">
        <v>1</v>
      </c>
      <c r="Q2" s="2">
        <v>15</v>
      </c>
      <c r="R2" s="2">
        <v>32</v>
      </c>
      <c r="S2" s="9">
        <f>100*(N2)/((C2/($C$15/3))*$E$15-E2)</f>
        <v>43.208796701237034</v>
      </c>
      <c r="T2" s="9">
        <f>(100*(F2+0.44*J2+Q2)*($C$15/3))/(C2*($F$15+0.44*$J$15+$Q$15))</f>
        <v>37.225960799470876</v>
      </c>
      <c r="U2" s="6">
        <f>S2/T2</f>
        <v>1.1607167625301749</v>
      </c>
      <c r="V2" s="9">
        <f>100*Q2/(F2+0.44*J2+Q2)</f>
        <v>7.934828607702074</v>
      </c>
      <c r="W2" s="9">
        <f>IF(V2=0,0,S2/V2)</f>
        <v>5.4454606189345656</v>
      </c>
    </row>
    <row r="3" spans="1:40" x14ac:dyDescent="0.25">
      <c r="A3" s="5" t="s">
        <v>76</v>
      </c>
      <c r="B3" s="2">
        <v>10</v>
      </c>
      <c r="C3" s="2">
        <v>177</v>
      </c>
      <c r="D3" s="2">
        <v>186</v>
      </c>
      <c r="E3" s="2">
        <v>78</v>
      </c>
      <c r="F3" s="2">
        <v>149</v>
      </c>
      <c r="G3" s="2">
        <v>10</v>
      </c>
      <c r="H3" s="2">
        <v>32</v>
      </c>
      <c r="I3" s="2">
        <v>11</v>
      </c>
      <c r="J3" s="2">
        <v>15</v>
      </c>
      <c r="K3" s="2">
        <v>19</v>
      </c>
      <c r="L3" s="2">
        <v>76</v>
      </c>
      <c r="M3" s="2">
        <v>95</v>
      </c>
      <c r="N3" s="2">
        <v>26</v>
      </c>
      <c r="O3" s="2">
        <v>12</v>
      </c>
      <c r="P3" s="2">
        <v>18</v>
      </c>
      <c r="Q3" s="2">
        <v>14</v>
      </c>
      <c r="R3" s="2">
        <v>31</v>
      </c>
      <c r="S3" s="9">
        <f t="shared" ref="S3:S13" si="0">100*(N3)/((C3/($C$15/3))*$E$15-E3)</f>
        <v>21.075776968264911</v>
      </c>
      <c r="T3" s="9">
        <f t="shared" ref="T3:T13" si="1">(100*(F3+0.44*J3+Q3)*($C$15/3))/(C3*($F$15+0.44*$J$15+$Q$15))</f>
        <v>35.096009005232162</v>
      </c>
      <c r="U3" s="6">
        <f t="shared" ref="U3:U13" si="2">S3/T3</f>
        <v>0.60051776728011741</v>
      </c>
      <c r="V3" s="9">
        <f t="shared" ref="V3:V13" si="3">100*Q3/(F3+0.44*J3+Q3)</f>
        <v>8.2547169811320753</v>
      </c>
      <c r="W3" s="9">
        <f t="shared" ref="W3:W13" si="4">IF(V3=0,0,S3/V3)</f>
        <v>2.5531798384412352</v>
      </c>
    </row>
    <row r="4" spans="1:40" x14ac:dyDescent="0.25">
      <c r="A4" s="5" t="s">
        <v>92</v>
      </c>
      <c r="B4" s="2">
        <v>10</v>
      </c>
      <c r="C4" s="2">
        <v>101</v>
      </c>
      <c r="D4" s="2">
        <v>119</v>
      </c>
      <c r="E4" s="2">
        <v>46</v>
      </c>
      <c r="F4" s="2">
        <v>98</v>
      </c>
      <c r="G4" s="2">
        <v>2</v>
      </c>
      <c r="H4" s="2">
        <v>11</v>
      </c>
      <c r="I4" s="2">
        <v>13</v>
      </c>
      <c r="J4" s="2">
        <v>22</v>
      </c>
      <c r="K4" s="2">
        <v>17</v>
      </c>
      <c r="L4" s="2">
        <v>31</v>
      </c>
      <c r="M4" s="2">
        <v>48</v>
      </c>
      <c r="N4" s="2">
        <v>7</v>
      </c>
      <c r="O4" s="2">
        <v>5</v>
      </c>
      <c r="P4" s="2">
        <v>1</v>
      </c>
      <c r="Q4" s="2">
        <v>12</v>
      </c>
      <c r="R4" s="2">
        <v>29</v>
      </c>
      <c r="S4" s="9">
        <f t="shared" si="0"/>
        <v>10.15923379752042</v>
      </c>
      <c r="T4" s="9">
        <f t="shared" si="1"/>
        <v>43.401561818202104</v>
      </c>
      <c r="U4" s="6">
        <f t="shared" si="2"/>
        <v>0.23407530448039676</v>
      </c>
      <c r="V4" s="9">
        <f t="shared" si="3"/>
        <v>10.026737967914437</v>
      </c>
      <c r="W4" s="9">
        <f t="shared" si="4"/>
        <v>1.01321425073937</v>
      </c>
    </row>
    <row r="5" spans="1:40" x14ac:dyDescent="0.25">
      <c r="A5" s="5" t="s">
        <v>89</v>
      </c>
      <c r="B5" s="2">
        <v>9</v>
      </c>
      <c r="C5" s="2">
        <v>106</v>
      </c>
      <c r="D5" s="2">
        <v>106</v>
      </c>
      <c r="E5" s="2">
        <v>37</v>
      </c>
      <c r="F5" s="2">
        <v>81</v>
      </c>
      <c r="G5" s="2">
        <v>14</v>
      </c>
      <c r="H5" s="2">
        <v>40</v>
      </c>
      <c r="I5" s="2">
        <v>10</v>
      </c>
      <c r="J5" s="2">
        <v>10</v>
      </c>
      <c r="K5" s="2">
        <v>7</v>
      </c>
      <c r="L5" s="2">
        <v>21</v>
      </c>
      <c r="M5" s="2">
        <v>28</v>
      </c>
      <c r="N5" s="2">
        <v>23</v>
      </c>
      <c r="O5" s="2">
        <v>9</v>
      </c>
      <c r="P5" s="2">
        <v>3</v>
      </c>
      <c r="Q5" s="2">
        <v>6</v>
      </c>
      <c r="R5" s="2">
        <v>24</v>
      </c>
      <c r="S5" s="9">
        <f t="shared" si="0"/>
        <v>27.514893204823945</v>
      </c>
      <c r="T5" s="9">
        <f t="shared" si="1"/>
        <v>31.582425601017093</v>
      </c>
      <c r="U5" s="6">
        <f t="shared" si="2"/>
        <v>0.87120899301470511</v>
      </c>
      <c r="V5" s="9">
        <f t="shared" si="3"/>
        <v>6.5645514223194743</v>
      </c>
      <c r="W5" s="9">
        <f t="shared" si="4"/>
        <v>4.1914353982015147</v>
      </c>
    </row>
    <row r="6" spans="1:40" x14ac:dyDescent="0.25">
      <c r="A6" s="5" t="s">
        <v>93</v>
      </c>
      <c r="B6" s="2">
        <v>10</v>
      </c>
      <c r="C6" s="2">
        <v>164</v>
      </c>
      <c r="D6" s="2">
        <v>99</v>
      </c>
      <c r="E6" s="2">
        <v>36</v>
      </c>
      <c r="F6" s="2">
        <v>82</v>
      </c>
      <c r="G6" s="2">
        <v>17</v>
      </c>
      <c r="H6" s="2">
        <v>41</v>
      </c>
      <c r="I6" s="2">
        <v>5</v>
      </c>
      <c r="J6" s="2">
        <v>6</v>
      </c>
      <c r="K6" s="2">
        <v>4</v>
      </c>
      <c r="L6" s="2">
        <v>39</v>
      </c>
      <c r="M6" s="2">
        <v>43</v>
      </c>
      <c r="N6" s="2">
        <v>39</v>
      </c>
      <c r="O6" s="2">
        <v>4</v>
      </c>
      <c r="P6" s="2">
        <v>3</v>
      </c>
      <c r="Q6" s="2">
        <v>12</v>
      </c>
      <c r="R6" s="2">
        <v>29</v>
      </c>
      <c r="S6" s="9">
        <f t="shared" si="0"/>
        <v>25.900731340073129</v>
      </c>
      <c r="T6" s="9">
        <f t="shared" si="1"/>
        <v>21.583318745578463</v>
      </c>
      <c r="U6" s="6">
        <f t="shared" si="2"/>
        <v>1.2000346955622443</v>
      </c>
      <c r="V6" s="9">
        <f t="shared" si="3"/>
        <v>12.417218543046358</v>
      </c>
      <c r="W6" s="9">
        <f t="shared" si="4"/>
        <v>2.0858722305872224</v>
      </c>
    </row>
    <row r="7" spans="1:40" x14ac:dyDescent="0.25">
      <c r="A7" s="5" t="s">
        <v>110</v>
      </c>
      <c r="B7" s="2">
        <v>1</v>
      </c>
      <c r="C7" s="2">
        <v>7</v>
      </c>
      <c r="D7" s="2">
        <v>5</v>
      </c>
      <c r="E7" s="2">
        <v>2</v>
      </c>
      <c r="F7" s="2">
        <v>7</v>
      </c>
      <c r="G7" s="2">
        <v>1</v>
      </c>
      <c r="H7" s="2">
        <v>5</v>
      </c>
      <c r="I7" s="2">
        <v>0</v>
      </c>
      <c r="J7" s="2">
        <v>0</v>
      </c>
      <c r="K7" s="2">
        <v>1</v>
      </c>
      <c r="L7" s="2">
        <v>1</v>
      </c>
      <c r="M7" s="2">
        <v>2</v>
      </c>
      <c r="N7" s="2">
        <v>0</v>
      </c>
      <c r="O7" s="2">
        <v>0</v>
      </c>
      <c r="P7" s="2">
        <v>0</v>
      </c>
      <c r="Q7" s="2">
        <v>1</v>
      </c>
      <c r="R7" s="2">
        <v>1</v>
      </c>
      <c r="S7" s="9">
        <f t="shared" si="0"/>
        <v>0</v>
      </c>
      <c r="T7" s="9">
        <f t="shared" si="1"/>
        <v>41.859795107318682</v>
      </c>
      <c r="U7" s="6">
        <f t="shared" si="2"/>
        <v>0</v>
      </c>
      <c r="V7" s="9">
        <f t="shared" si="3"/>
        <v>12.5</v>
      </c>
      <c r="W7" s="9">
        <f t="shared" si="4"/>
        <v>0</v>
      </c>
    </row>
    <row r="8" spans="1:40" x14ac:dyDescent="0.25">
      <c r="S8" s="9" t="e">
        <f t="shared" si="0"/>
        <v>#DIV/0!</v>
      </c>
      <c r="T8" s="9" t="e">
        <f t="shared" si="1"/>
        <v>#DIV/0!</v>
      </c>
      <c r="U8" s="6" t="e">
        <f t="shared" si="2"/>
        <v>#DIV/0!</v>
      </c>
      <c r="V8" s="9" t="e">
        <f t="shared" si="3"/>
        <v>#DIV/0!</v>
      </c>
      <c r="W8" s="9" t="e">
        <f t="shared" si="4"/>
        <v>#DIV/0!</v>
      </c>
    </row>
    <row r="9" spans="1:40" x14ac:dyDescent="0.25">
      <c r="S9" s="9" t="e">
        <f t="shared" si="0"/>
        <v>#DIV/0!</v>
      </c>
      <c r="T9" s="9" t="e">
        <f t="shared" si="1"/>
        <v>#DIV/0!</v>
      </c>
      <c r="U9" s="6" t="e">
        <f t="shared" si="2"/>
        <v>#DIV/0!</v>
      </c>
      <c r="V9" s="9" t="e">
        <f t="shared" si="3"/>
        <v>#DIV/0!</v>
      </c>
      <c r="W9" s="9" t="e">
        <f t="shared" si="4"/>
        <v>#DIV/0!</v>
      </c>
    </row>
    <row r="10" spans="1:40" x14ac:dyDescent="0.25">
      <c r="S10" s="9" t="e">
        <f t="shared" si="0"/>
        <v>#DIV/0!</v>
      </c>
      <c r="T10" s="9" t="e">
        <f t="shared" si="1"/>
        <v>#DIV/0!</v>
      </c>
      <c r="U10" s="6" t="e">
        <f t="shared" si="2"/>
        <v>#DIV/0!</v>
      </c>
      <c r="V10" s="9" t="e">
        <f t="shared" si="3"/>
        <v>#DIV/0!</v>
      </c>
      <c r="W10" s="9" t="e">
        <f t="shared" si="4"/>
        <v>#DIV/0!</v>
      </c>
    </row>
    <row r="11" spans="1:40" x14ac:dyDescent="0.25">
      <c r="S11" s="9" t="e">
        <f t="shared" si="0"/>
        <v>#DIV/0!</v>
      </c>
      <c r="T11" s="9" t="e">
        <f t="shared" si="1"/>
        <v>#DIV/0!</v>
      </c>
      <c r="U11" s="6" t="e">
        <f t="shared" si="2"/>
        <v>#DIV/0!</v>
      </c>
      <c r="V11" s="9" t="e">
        <f t="shared" si="3"/>
        <v>#DIV/0!</v>
      </c>
      <c r="W11" s="9" t="e">
        <f t="shared" si="4"/>
        <v>#DIV/0!</v>
      </c>
    </row>
    <row r="12" spans="1:40" x14ac:dyDescent="0.25">
      <c r="S12" s="9" t="e">
        <f t="shared" si="0"/>
        <v>#DIV/0!</v>
      </c>
      <c r="T12" s="9" t="e">
        <f t="shared" si="1"/>
        <v>#DIV/0!</v>
      </c>
      <c r="U12" s="6" t="e">
        <f t="shared" si="2"/>
        <v>#DIV/0!</v>
      </c>
      <c r="V12" s="9" t="e">
        <f t="shared" si="3"/>
        <v>#DIV/0!</v>
      </c>
      <c r="W12" s="9" t="e">
        <f t="shared" si="4"/>
        <v>#DIV/0!</v>
      </c>
    </row>
    <row r="13" spans="1:40" x14ac:dyDescent="0.25">
      <c r="S13" s="9" t="e">
        <f t="shared" si="0"/>
        <v>#DIV/0!</v>
      </c>
      <c r="T13" s="9" t="e">
        <f t="shared" si="1"/>
        <v>#DIV/0!</v>
      </c>
      <c r="U13" s="6" t="e">
        <f t="shared" si="2"/>
        <v>#DIV/0!</v>
      </c>
      <c r="V13" s="9" t="e">
        <f t="shared" si="3"/>
        <v>#DIV/0!</v>
      </c>
      <c r="W13" s="9" t="e">
        <f t="shared" si="4"/>
        <v>#DIV/0!</v>
      </c>
    </row>
    <row r="15" spans="1:40" x14ac:dyDescent="0.25">
      <c r="A15" t="s">
        <v>36</v>
      </c>
      <c r="B15" s="2">
        <f>SUM(B2:B13)</f>
        <v>50</v>
      </c>
      <c r="C15" s="2">
        <f t="shared" ref="C15:R15" si="5">SUM(C2:C13)</f>
        <v>741</v>
      </c>
      <c r="D15" s="2">
        <f t="shared" si="5"/>
        <v>731</v>
      </c>
      <c r="E15" s="2">
        <f t="shared" si="5"/>
        <v>281</v>
      </c>
      <c r="F15" s="2">
        <f t="shared" si="5"/>
        <v>584</v>
      </c>
      <c r="G15" s="2">
        <f t="shared" si="5"/>
        <v>71</v>
      </c>
      <c r="H15" s="2">
        <f t="shared" si="5"/>
        <v>200</v>
      </c>
      <c r="I15" s="2">
        <f t="shared" si="5"/>
        <v>55</v>
      </c>
      <c r="J15" s="2">
        <f t="shared" si="5"/>
        <v>69</v>
      </c>
      <c r="K15" s="2">
        <f t="shared" si="5"/>
        <v>57</v>
      </c>
      <c r="L15" s="2">
        <f t="shared" si="5"/>
        <v>214</v>
      </c>
      <c r="M15" s="2">
        <f t="shared" si="5"/>
        <v>271</v>
      </c>
      <c r="N15" s="2">
        <f t="shared" si="5"/>
        <v>151</v>
      </c>
      <c r="O15" s="2">
        <f t="shared" si="5"/>
        <v>33</v>
      </c>
      <c r="P15" s="2">
        <f t="shared" si="5"/>
        <v>26</v>
      </c>
      <c r="Q15" s="2">
        <f t="shared" si="5"/>
        <v>60</v>
      </c>
      <c r="R15" s="2">
        <f t="shared" si="5"/>
        <v>146</v>
      </c>
    </row>
    <row r="21" spans="3:4" x14ac:dyDescent="0.25">
      <c r="C21" s="11"/>
      <c r="D21" s="1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88B2-ACCA-47FC-A788-9874047B9AA9}">
  <dimension ref="A1:AN21"/>
  <sheetViews>
    <sheetView workbookViewId="0">
      <selection activeCell="S2" activeCellId="1" sqref="A2:A7 S2:W7"/>
    </sheetView>
  </sheetViews>
  <sheetFormatPr baseColWidth="10" defaultRowHeight="15" x14ac:dyDescent="0.25"/>
  <cols>
    <col min="1" max="1" width="19" bestFit="1" customWidth="1"/>
    <col min="2" max="21" width="7.7109375" customWidth="1"/>
  </cols>
  <sheetData>
    <row r="1" spans="1:40" x14ac:dyDescent="0.25">
      <c r="A1" s="10" t="s">
        <v>47</v>
      </c>
      <c r="B1" s="10" t="s">
        <v>48</v>
      </c>
      <c r="C1" s="10" t="s">
        <v>49</v>
      </c>
      <c r="D1" s="10" t="s">
        <v>24</v>
      </c>
      <c r="E1" s="10" t="s">
        <v>50</v>
      </c>
      <c r="F1" s="10" t="s">
        <v>6</v>
      </c>
      <c r="G1" s="10" t="s">
        <v>51</v>
      </c>
      <c r="H1" s="10" t="s">
        <v>9</v>
      </c>
      <c r="I1" s="10" t="s">
        <v>52</v>
      </c>
      <c r="J1" s="10" t="s">
        <v>15</v>
      </c>
      <c r="K1" s="10" t="s">
        <v>53</v>
      </c>
      <c r="L1" s="10" t="s">
        <v>54</v>
      </c>
      <c r="M1" s="10" t="s">
        <v>55</v>
      </c>
      <c r="N1" s="10" t="s">
        <v>19</v>
      </c>
      <c r="O1" s="10" t="s">
        <v>20</v>
      </c>
      <c r="P1" s="10" t="s">
        <v>21</v>
      </c>
      <c r="Q1" s="10" t="s">
        <v>56</v>
      </c>
      <c r="R1" s="10" t="s">
        <v>23</v>
      </c>
      <c r="S1" s="10" t="s">
        <v>57</v>
      </c>
      <c r="T1" s="10" t="s">
        <v>58</v>
      </c>
      <c r="U1" s="10" t="s">
        <v>59</v>
      </c>
      <c r="V1" s="10" t="s">
        <v>65</v>
      </c>
      <c r="W1" s="10" t="s">
        <v>66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x14ac:dyDescent="0.25">
      <c r="A2" s="5" t="s">
        <v>78</v>
      </c>
      <c r="B2" s="2">
        <v>10</v>
      </c>
      <c r="C2" s="2">
        <v>158</v>
      </c>
      <c r="D2" s="2">
        <v>192</v>
      </c>
      <c r="E2" s="2">
        <v>78</v>
      </c>
      <c r="F2" s="2">
        <v>138</v>
      </c>
      <c r="G2" s="2">
        <v>3</v>
      </c>
      <c r="H2" s="2">
        <v>14</v>
      </c>
      <c r="I2" s="2">
        <v>18</v>
      </c>
      <c r="J2" s="2">
        <v>30</v>
      </c>
      <c r="K2" s="2">
        <v>18</v>
      </c>
      <c r="L2" s="2">
        <v>65</v>
      </c>
      <c r="M2" s="2">
        <v>83</v>
      </c>
      <c r="N2" s="2">
        <v>8</v>
      </c>
      <c r="O2" s="2">
        <v>7</v>
      </c>
      <c r="P2" s="2">
        <v>0</v>
      </c>
      <c r="Q2" s="2">
        <v>10</v>
      </c>
      <c r="R2" s="2">
        <v>33</v>
      </c>
      <c r="S2" s="9">
        <f>100*(N2)/((C2/($C$15/3))*$E$15-E2)</f>
        <v>8.910475505186783</v>
      </c>
      <c r="T2" s="9">
        <f>(100*(F2+0.44*J2+Q2)*($C$15/3))/(C2*($F$15+0.44*$J$15+$Q$15))</f>
        <v>38.125822382452306</v>
      </c>
      <c r="U2" s="6">
        <f>S2/T2</f>
        <v>0.23371234896398971</v>
      </c>
      <c r="V2" s="9">
        <f>100*Q2/(F2+0.44*J2+Q2)</f>
        <v>6.2034739454094296</v>
      </c>
      <c r="W2" s="9">
        <f>IF(V2=0,0,S2/V2)</f>
        <v>1.4363686514361094</v>
      </c>
    </row>
    <row r="3" spans="1:40" x14ac:dyDescent="0.25">
      <c r="A3" s="5" t="s">
        <v>79</v>
      </c>
      <c r="B3" s="2">
        <v>10</v>
      </c>
      <c r="C3" s="2">
        <v>204</v>
      </c>
      <c r="D3" s="2">
        <v>170</v>
      </c>
      <c r="E3" s="2">
        <v>58</v>
      </c>
      <c r="F3" s="2">
        <v>149</v>
      </c>
      <c r="G3" s="2">
        <v>29</v>
      </c>
      <c r="H3" s="2">
        <v>81</v>
      </c>
      <c r="I3" s="2">
        <v>15</v>
      </c>
      <c r="J3" s="2">
        <v>18</v>
      </c>
      <c r="K3" s="2">
        <v>6</v>
      </c>
      <c r="L3" s="2">
        <v>40</v>
      </c>
      <c r="M3" s="2">
        <v>46</v>
      </c>
      <c r="N3" s="2">
        <v>30</v>
      </c>
      <c r="O3" s="2">
        <v>13</v>
      </c>
      <c r="P3" s="2">
        <v>7</v>
      </c>
      <c r="Q3" s="2">
        <v>12</v>
      </c>
      <c r="R3" s="2">
        <v>23</v>
      </c>
      <c r="S3" s="9">
        <f t="shared" ref="S3:S13" si="0">100*(N3)/((C3/($C$15/3))*$E$15-E3)</f>
        <v>18.911947871239246</v>
      </c>
      <c r="T3" s="9">
        <f t="shared" ref="T3:T13" si="1">(100*(F3+0.44*J3+Q3)*($C$15/3))/(C3*($F$15+0.44*$J$15+$Q$15))</f>
        <v>30.942982741610933</v>
      </c>
      <c r="U3" s="6">
        <f t="shared" ref="U3:U13" si="2">S3/T3</f>
        <v>0.61118697021432211</v>
      </c>
      <c r="V3" s="9">
        <f t="shared" ref="V3:V13" si="3">100*Q3/(F3+0.44*J3+Q3)</f>
        <v>7.1039545346909785</v>
      </c>
      <c r="W3" s="9">
        <f t="shared" ref="W3:W13" si="4">IF(V3=0,0,S3/V3)</f>
        <v>2.662171862008111</v>
      </c>
    </row>
    <row r="4" spans="1:40" x14ac:dyDescent="0.25">
      <c r="A4" s="5" t="s">
        <v>95</v>
      </c>
      <c r="B4" s="2">
        <v>10</v>
      </c>
      <c r="C4" s="2">
        <v>101</v>
      </c>
      <c r="D4" s="2">
        <v>89</v>
      </c>
      <c r="E4" s="2">
        <v>32</v>
      </c>
      <c r="F4" s="2">
        <v>73</v>
      </c>
      <c r="G4" s="2">
        <v>8</v>
      </c>
      <c r="H4" s="2">
        <v>21</v>
      </c>
      <c r="I4" s="2">
        <v>9</v>
      </c>
      <c r="J4" s="2">
        <v>10</v>
      </c>
      <c r="K4" s="2">
        <v>7</v>
      </c>
      <c r="L4" s="2">
        <v>23</v>
      </c>
      <c r="M4" s="2">
        <v>30</v>
      </c>
      <c r="N4" s="2">
        <v>19</v>
      </c>
      <c r="O4" s="2">
        <v>13</v>
      </c>
      <c r="P4" s="2">
        <v>3</v>
      </c>
      <c r="Q4" s="2">
        <v>9</v>
      </c>
      <c r="R4" s="2">
        <v>13</v>
      </c>
      <c r="S4" s="9">
        <f t="shared" si="0"/>
        <v>25.248153381145706</v>
      </c>
      <c r="T4" s="9">
        <f t="shared" si="1"/>
        <v>31.967129358237294</v>
      </c>
      <c r="U4" s="6">
        <f t="shared" si="2"/>
        <v>0.78981609822402643</v>
      </c>
      <c r="V4" s="9">
        <f t="shared" si="3"/>
        <v>10.416666666666666</v>
      </c>
      <c r="W4" s="9">
        <f t="shared" si="4"/>
        <v>2.4238227245899879</v>
      </c>
    </row>
    <row r="5" spans="1:40" x14ac:dyDescent="0.25">
      <c r="A5" s="5" t="s">
        <v>103</v>
      </c>
      <c r="B5" s="2">
        <v>10</v>
      </c>
      <c r="C5" s="2">
        <v>104</v>
      </c>
      <c r="D5" s="2">
        <v>84</v>
      </c>
      <c r="E5" s="2">
        <v>32</v>
      </c>
      <c r="F5" s="2">
        <v>73</v>
      </c>
      <c r="G5" s="2">
        <v>11</v>
      </c>
      <c r="H5" s="2">
        <v>28</v>
      </c>
      <c r="I5" s="2">
        <v>5</v>
      </c>
      <c r="J5" s="2">
        <v>6</v>
      </c>
      <c r="K5" s="2">
        <v>6</v>
      </c>
      <c r="L5" s="2">
        <v>25</v>
      </c>
      <c r="M5" s="2">
        <v>31</v>
      </c>
      <c r="N5" s="2">
        <v>27</v>
      </c>
      <c r="O5" s="2">
        <v>6</v>
      </c>
      <c r="P5" s="2">
        <v>0</v>
      </c>
      <c r="Q5" s="2">
        <v>10</v>
      </c>
      <c r="R5" s="2">
        <v>16</v>
      </c>
      <c r="S5" s="9">
        <f t="shared" si="0"/>
        <v>34.421757035003431</v>
      </c>
      <c r="T5" s="9">
        <f t="shared" si="1"/>
        <v>30.771919602718079</v>
      </c>
      <c r="U5" s="6">
        <f t="shared" si="2"/>
        <v>1.1186093516233859</v>
      </c>
      <c r="V5" s="9">
        <f t="shared" si="3"/>
        <v>11.676786548341896</v>
      </c>
      <c r="W5" s="9">
        <f t="shared" si="4"/>
        <v>2.9478792724776937</v>
      </c>
    </row>
    <row r="6" spans="1:40" x14ac:dyDescent="0.25">
      <c r="A6" s="5" t="s">
        <v>99</v>
      </c>
      <c r="B6" s="2">
        <v>9</v>
      </c>
      <c r="C6" s="2">
        <v>61</v>
      </c>
      <c r="D6" s="2">
        <v>79</v>
      </c>
      <c r="E6" s="2">
        <v>29</v>
      </c>
      <c r="F6" s="2">
        <v>42</v>
      </c>
      <c r="G6" s="2">
        <v>0</v>
      </c>
      <c r="H6" s="2">
        <v>1</v>
      </c>
      <c r="I6" s="2">
        <v>12</v>
      </c>
      <c r="J6" s="2">
        <v>14</v>
      </c>
      <c r="K6" s="2">
        <v>8</v>
      </c>
      <c r="L6" s="2">
        <v>28</v>
      </c>
      <c r="M6" s="2">
        <v>36</v>
      </c>
      <c r="N6" s="2">
        <v>0</v>
      </c>
      <c r="O6" s="2">
        <v>1</v>
      </c>
      <c r="P6" s="2">
        <v>7</v>
      </c>
      <c r="Q6" s="2">
        <v>13</v>
      </c>
      <c r="R6" s="2">
        <v>15</v>
      </c>
      <c r="S6" s="9">
        <f t="shared" si="0"/>
        <v>0</v>
      </c>
      <c r="T6" s="9">
        <f t="shared" si="1"/>
        <v>37.466999238488356</v>
      </c>
      <c r="U6" s="6">
        <f t="shared" si="2"/>
        <v>0</v>
      </c>
      <c r="V6" s="9">
        <f t="shared" si="3"/>
        <v>21.255722694571617</v>
      </c>
      <c r="W6" s="9">
        <f t="shared" si="4"/>
        <v>0</v>
      </c>
    </row>
    <row r="7" spans="1:40" x14ac:dyDescent="0.25">
      <c r="A7" s="5" t="s">
        <v>102</v>
      </c>
      <c r="B7" s="2">
        <v>10</v>
      </c>
      <c r="C7" s="2">
        <v>115</v>
      </c>
      <c r="D7" s="2">
        <v>72</v>
      </c>
      <c r="E7" s="2">
        <v>34</v>
      </c>
      <c r="F7" s="2">
        <v>85</v>
      </c>
      <c r="G7" s="2">
        <v>4</v>
      </c>
      <c r="H7" s="2">
        <v>14</v>
      </c>
      <c r="I7" s="2">
        <v>0</v>
      </c>
      <c r="J7" s="2">
        <v>1</v>
      </c>
      <c r="K7" s="2">
        <v>5</v>
      </c>
      <c r="L7" s="2">
        <v>44</v>
      </c>
      <c r="M7" s="2">
        <v>49</v>
      </c>
      <c r="N7" s="2">
        <v>40</v>
      </c>
      <c r="O7" s="2">
        <v>3</v>
      </c>
      <c r="P7" s="2">
        <v>1</v>
      </c>
      <c r="Q7" s="2">
        <v>14</v>
      </c>
      <c r="R7" s="2">
        <v>21</v>
      </c>
      <c r="S7" s="9">
        <f t="shared" si="0"/>
        <v>45.392757319811224</v>
      </c>
      <c r="T7" s="9">
        <f t="shared" si="1"/>
        <v>32.312796465548985</v>
      </c>
      <c r="U7" s="6">
        <f t="shared" si="2"/>
        <v>1.4047919798030397</v>
      </c>
      <c r="V7" s="9">
        <f t="shared" si="3"/>
        <v>14.078841512469831</v>
      </c>
      <c r="W7" s="9">
        <f t="shared" si="4"/>
        <v>3.2241827056300201</v>
      </c>
    </row>
    <row r="8" spans="1:40" x14ac:dyDescent="0.25">
      <c r="S8" s="9" t="e">
        <f t="shared" si="0"/>
        <v>#DIV/0!</v>
      </c>
      <c r="T8" s="9" t="e">
        <f t="shared" si="1"/>
        <v>#DIV/0!</v>
      </c>
      <c r="U8" s="6" t="e">
        <f t="shared" si="2"/>
        <v>#DIV/0!</v>
      </c>
      <c r="V8" s="9" t="e">
        <f t="shared" si="3"/>
        <v>#DIV/0!</v>
      </c>
      <c r="W8" s="9" t="e">
        <f t="shared" si="4"/>
        <v>#DIV/0!</v>
      </c>
    </row>
    <row r="9" spans="1:40" x14ac:dyDescent="0.25">
      <c r="S9" s="9" t="e">
        <f t="shared" si="0"/>
        <v>#DIV/0!</v>
      </c>
      <c r="T9" s="9" t="e">
        <f t="shared" si="1"/>
        <v>#DIV/0!</v>
      </c>
      <c r="U9" s="6" t="e">
        <f t="shared" si="2"/>
        <v>#DIV/0!</v>
      </c>
      <c r="V9" s="9" t="e">
        <f t="shared" si="3"/>
        <v>#DIV/0!</v>
      </c>
      <c r="W9" s="9" t="e">
        <f t="shared" si="4"/>
        <v>#DIV/0!</v>
      </c>
    </row>
    <row r="10" spans="1:40" x14ac:dyDescent="0.25">
      <c r="S10" s="9" t="e">
        <f t="shared" si="0"/>
        <v>#DIV/0!</v>
      </c>
      <c r="T10" s="9" t="e">
        <f t="shared" si="1"/>
        <v>#DIV/0!</v>
      </c>
      <c r="U10" s="6" t="e">
        <f t="shared" si="2"/>
        <v>#DIV/0!</v>
      </c>
      <c r="V10" s="9" t="e">
        <f t="shared" si="3"/>
        <v>#DIV/0!</v>
      </c>
      <c r="W10" s="9" t="e">
        <f t="shared" si="4"/>
        <v>#DIV/0!</v>
      </c>
    </row>
    <row r="11" spans="1:40" x14ac:dyDescent="0.25">
      <c r="S11" s="9" t="e">
        <f t="shared" si="0"/>
        <v>#DIV/0!</v>
      </c>
      <c r="T11" s="9" t="e">
        <f t="shared" si="1"/>
        <v>#DIV/0!</v>
      </c>
      <c r="U11" s="6" t="e">
        <f t="shared" si="2"/>
        <v>#DIV/0!</v>
      </c>
      <c r="V11" s="9" t="e">
        <f t="shared" si="3"/>
        <v>#DIV/0!</v>
      </c>
      <c r="W11" s="9" t="e">
        <f t="shared" si="4"/>
        <v>#DIV/0!</v>
      </c>
    </row>
    <row r="12" spans="1:40" x14ac:dyDescent="0.25">
      <c r="S12" s="9" t="e">
        <f t="shared" si="0"/>
        <v>#DIV/0!</v>
      </c>
      <c r="T12" s="9" t="e">
        <f t="shared" si="1"/>
        <v>#DIV/0!</v>
      </c>
      <c r="U12" s="6" t="e">
        <f t="shared" si="2"/>
        <v>#DIV/0!</v>
      </c>
      <c r="V12" s="9" t="e">
        <f t="shared" si="3"/>
        <v>#DIV/0!</v>
      </c>
      <c r="W12" s="9" t="e">
        <f t="shared" si="4"/>
        <v>#DIV/0!</v>
      </c>
    </row>
    <row r="13" spans="1:40" x14ac:dyDescent="0.25">
      <c r="S13" s="9" t="e">
        <f t="shared" si="0"/>
        <v>#DIV/0!</v>
      </c>
      <c r="T13" s="9" t="e">
        <f t="shared" si="1"/>
        <v>#DIV/0!</v>
      </c>
      <c r="U13" s="6" t="e">
        <f t="shared" si="2"/>
        <v>#DIV/0!</v>
      </c>
      <c r="V13" s="9" t="e">
        <f t="shared" si="3"/>
        <v>#DIV/0!</v>
      </c>
      <c r="W13" s="9" t="e">
        <f t="shared" si="4"/>
        <v>#DIV/0!</v>
      </c>
    </row>
    <row r="15" spans="1:40" x14ac:dyDescent="0.25">
      <c r="A15" t="s">
        <v>36</v>
      </c>
      <c r="B15" s="2">
        <f>SUM(B2:B13)</f>
        <v>59</v>
      </c>
      <c r="C15" s="2">
        <f t="shared" ref="C15:R15" si="5">SUM(C2:C13)</f>
        <v>743</v>
      </c>
      <c r="D15" s="2">
        <f t="shared" si="5"/>
        <v>686</v>
      </c>
      <c r="E15" s="2">
        <f t="shared" si="5"/>
        <v>263</v>
      </c>
      <c r="F15" s="2">
        <f t="shared" si="5"/>
        <v>560</v>
      </c>
      <c r="G15" s="2">
        <f t="shared" si="5"/>
        <v>55</v>
      </c>
      <c r="H15" s="2">
        <f t="shared" si="5"/>
        <v>159</v>
      </c>
      <c r="I15" s="2">
        <f t="shared" si="5"/>
        <v>59</v>
      </c>
      <c r="J15" s="2">
        <f t="shared" si="5"/>
        <v>79</v>
      </c>
      <c r="K15" s="2">
        <f t="shared" si="5"/>
        <v>50</v>
      </c>
      <c r="L15" s="2">
        <f t="shared" si="5"/>
        <v>225</v>
      </c>
      <c r="M15" s="2">
        <f t="shared" si="5"/>
        <v>275</v>
      </c>
      <c r="N15" s="2">
        <f t="shared" si="5"/>
        <v>124</v>
      </c>
      <c r="O15" s="2">
        <f t="shared" si="5"/>
        <v>43</v>
      </c>
      <c r="P15" s="2">
        <f t="shared" si="5"/>
        <v>18</v>
      </c>
      <c r="Q15" s="2">
        <f t="shared" si="5"/>
        <v>68</v>
      </c>
      <c r="R15" s="2">
        <f t="shared" si="5"/>
        <v>121</v>
      </c>
    </row>
    <row r="21" spans="3:4" x14ac:dyDescent="0.25">
      <c r="C21" s="11"/>
      <c r="D2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EXP</vt:lpstr>
      <vt:lpstr>TOTAL_BASIC</vt:lpstr>
      <vt:lpstr>PER_GAME_BASIC</vt:lpstr>
      <vt:lpstr>ADVANCED</vt:lpstr>
      <vt:lpstr>BREEZE</vt:lpstr>
      <vt:lpstr>LACES</vt:lpstr>
      <vt:lpstr>MIST</vt:lpstr>
      <vt:lpstr>ROSE</vt:lpstr>
      <vt:lpstr>HIVE</vt:lpstr>
      <vt:lpstr>LUNAR OWLS</vt:lpstr>
      <vt:lpstr>PHANTOM</vt:lpstr>
      <vt:lpstr>VINYL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2026-02-09T08:00:48Z</dcterms:modified>
</cp:coreProperties>
</file>