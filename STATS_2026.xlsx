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ADVANCED!$A$2:$K$2</definedName>
    <definedName name="_xlnm._FilterDatabase" localSheetId="2" hidden="1">PER_GAME_BASIC!$A$2:$BN$2</definedName>
    <definedName name="_xlnm._FilterDatabase" localSheetId="1" hidden="1">TOTAL_BASIC!$A$2:$U$2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D80" i="7"/>
  <c r="E80"/>
  <c r="F80"/>
  <c r="G80"/>
  <c r="H80"/>
  <c r="I80"/>
  <c r="J80"/>
  <c r="K80"/>
  <c r="L80"/>
  <c r="M80"/>
  <c r="N80"/>
  <c r="O80"/>
  <c r="P80"/>
  <c r="Q80"/>
  <c r="R80"/>
  <c r="S80"/>
  <c r="T80"/>
  <c r="U80"/>
  <c r="C80"/>
  <c r="M51" i="17"/>
  <c r="M52"/>
  <c r="M53"/>
  <c r="M54"/>
  <c r="M55"/>
  <c r="M56"/>
  <c r="M57"/>
  <c r="M58"/>
  <c r="L51"/>
  <c r="L52"/>
  <c r="L53"/>
  <c r="L54"/>
  <c r="L55"/>
  <c r="L56"/>
  <c r="L57"/>
  <c r="K51"/>
  <c r="K52"/>
  <c r="K53"/>
  <c r="K54"/>
  <c r="K55"/>
  <c r="K56"/>
  <c r="K57"/>
  <c r="K58"/>
  <c r="J51"/>
  <c r="J52"/>
  <c r="J53"/>
  <c r="J54"/>
  <c r="J55"/>
  <c r="J56"/>
  <c r="J57"/>
  <c r="J58"/>
  <c r="I58"/>
  <c r="I51"/>
  <c r="I52"/>
  <c r="I53"/>
  <c r="I54"/>
  <c r="I55"/>
  <c r="I56"/>
  <c r="I57"/>
  <c r="BO51" i="8"/>
  <c r="BO52"/>
  <c r="BO53"/>
  <c r="BO54"/>
  <c r="BN51"/>
  <c r="BN52"/>
  <c r="BN53"/>
  <c r="BN54"/>
  <c r="BM51"/>
  <c r="BM52"/>
  <c r="BM53"/>
  <c r="BM54"/>
  <c r="BL51"/>
  <c r="BL52"/>
  <c r="BL53"/>
  <c r="BL54"/>
  <c r="BK51"/>
  <c r="BK52"/>
  <c r="BK53"/>
  <c r="BK54"/>
  <c r="BJ51"/>
  <c r="BJ52"/>
  <c r="BJ53"/>
  <c r="BJ54"/>
  <c r="BI51"/>
  <c r="BI52"/>
  <c r="BI53"/>
  <c r="BI54"/>
  <c r="BH51"/>
  <c r="BH52"/>
  <c r="BH53"/>
  <c r="BH54"/>
  <c r="BG51"/>
  <c r="BG52"/>
  <c r="BG53"/>
  <c r="BG54"/>
  <c r="BF51"/>
  <c r="BF52"/>
  <c r="BF53"/>
  <c r="BF54"/>
  <c r="BE51"/>
  <c r="BE52"/>
  <c r="BE53"/>
  <c r="BE54"/>
  <c r="BD51"/>
  <c r="BD52"/>
  <c r="BD53"/>
  <c r="BD54"/>
  <c r="BC51"/>
  <c r="BC52"/>
  <c r="BC53"/>
  <c r="BC54"/>
  <c r="BB51"/>
  <c r="BB52"/>
  <c r="BB53"/>
  <c r="BB54"/>
  <c r="BA51"/>
  <c r="BA52"/>
  <c r="BA53"/>
  <c r="BA54"/>
  <c r="AZ51"/>
  <c r="AZ52"/>
  <c r="AZ53"/>
  <c r="AZ54"/>
  <c r="AY51"/>
  <c r="AY52"/>
  <c r="AY53"/>
  <c r="AY54"/>
  <c r="AX51"/>
  <c r="AX52"/>
  <c r="AX53"/>
  <c r="AX54"/>
  <c r="AW51"/>
  <c r="AW52"/>
  <c r="AW53"/>
  <c r="AW54"/>
  <c r="AV51"/>
  <c r="AV52"/>
  <c r="AV53"/>
  <c r="AV54"/>
  <c r="AU51"/>
  <c r="AU52"/>
  <c r="AU53"/>
  <c r="AU54"/>
  <c r="AT51"/>
  <c r="AT52"/>
  <c r="AT53"/>
  <c r="AT54"/>
  <c r="AS51"/>
  <c r="AS52"/>
  <c r="AS53"/>
  <c r="AS54"/>
  <c r="AR51"/>
  <c r="AR52"/>
  <c r="AR53"/>
  <c r="AR54"/>
  <c r="AQ51"/>
  <c r="AQ52"/>
  <c r="AQ53"/>
  <c r="AQ54"/>
  <c r="AP51"/>
  <c r="AP52"/>
  <c r="AP53"/>
  <c r="AP54"/>
  <c r="AO51"/>
  <c r="AO52"/>
  <c r="AO53"/>
  <c r="AO54"/>
  <c r="AN51"/>
  <c r="AN52"/>
  <c r="AN53"/>
  <c r="AN54"/>
  <c r="AM51"/>
  <c r="AM52"/>
  <c r="AM53"/>
  <c r="AM54"/>
  <c r="AJ51"/>
  <c r="AJ52"/>
  <c r="AJ53"/>
  <c r="AJ54"/>
  <c r="AI51"/>
  <c r="AI52"/>
  <c r="AI53"/>
  <c r="AI54"/>
  <c r="AD51"/>
  <c r="AD52"/>
  <c r="AD53"/>
  <c r="AD54"/>
  <c r="AC51"/>
  <c r="AC52"/>
  <c r="AC53"/>
  <c r="AC54"/>
  <c r="AB51"/>
  <c r="AB52"/>
  <c r="AB53"/>
  <c r="AB54"/>
  <c r="AA51"/>
  <c r="AA52"/>
  <c r="AA53"/>
  <c r="AA54"/>
  <c r="Z51"/>
  <c r="Z52"/>
  <c r="Z53"/>
  <c r="Z54"/>
  <c r="Y51"/>
  <c r="Y52"/>
  <c r="Y53"/>
  <c r="Y54"/>
  <c r="X51"/>
  <c r="X52"/>
  <c r="X53"/>
  <c r="X54"/>
  <c r="W51"/>
  <c r="W52"/>
  <c r="W53"/>
  <c r="W54"/>
  <c r="U51" i="7"/>
  <c r="U52"/>
  <c r="U53"/>
  <c r="U54"/>
  <c r="T51"/>
  <c r="T52"/>
  <c r="T53"/>
  <c r="T54"/>
  <c r="M50" i="17" l="1"/>
  <c r="L50"/>
  <c r="K50"/>
  <c r="J50"/>
  <c r="I50"/>
  <c r="BE50" i="8"/>
  <c r="BD50"/>
  <c r="BC50"/>
  <c r="BB50"/>
  <c r="BA50"/>
  <c r="AZ50"/>
  <c r="AY50"/>
  <c r="AX50"/>
  <c r="AW50"/>
  <c r="AV50"/>
  <c r="AU50"/>
  <c r="AT50"/>
  <c r="AS50"/>
  <c r="AR50"/>
  <c r="AQ50"/>
  <c r="U50" i="7"/>
  <c r="T50"/>
  <c r="AP50" i="8"/>
  <c r="AO50"/>
  <c r="AN50"/>
  <c r="AM50"/>
  <c r="AJ50"/>
  <c r="AI50"/>
  <c r="AD50"/>
  <c r="AC50"/>
  <c r="AA50"/>
  <c r="AB50" s="1"/>
  <c r="Z50"/>
  <c r="X50"/>
  <c r="W50"/>
  <c r="M4" i="17"/>
  <c r="M5"/>
  <c r="M6"/>
  <c r="M7"/>
  <c r="M8"/>
  <c r="M9"/>
  <c r="M10"/>
  <c r="M11"/>
  <c r="M12"/>
  <c r="M13"/>
  <c r="M14"/>
  <c r="M15"/>
  <c r="M16"/>
  <c r="M17"/>
  <c r="M18"/>
  <c r="M19"/>
  <c r="M20"/>
  <c r="M21"/>
  <c r="M22"/>
  <c r="M23"/>
  <c r="M24"/>
  <c r="M25"/>
  <c r="M26"/>
  <c r="M27"/>
  <c r="M28"/>
  <c r="M29"/>
  <c r="M30"/>
  <c r="M31"/>
  <c r="M32"/>
  <c r="M33"/>
  <c r="M34"/>
  <c r="M35"/>
  <c r="M36"/>
  <c r="M37"/>
  <c r="M38"/>
  <c r="M39"/>
  <c r="M40"/>
  <c r="M41"/>
  <c r="M42"/>
  <c r="M43"/>
  <c r="M44"/>
  <c r="M45"/>
  <c r="M46"/>
  <c r="M47"/>
  <c r="M48"/>
  <c r="M49"/>
  <c r="M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3"/>
  <c r="W13" i="16"/>
  <c r="V13"/>
  <c r="V12"/>
  <c r="W12" s="1"/>
  <c r="V11"/>
  <c r="W11" s="1"/>
  <c r="V10"/>
  <c r="W10" s="1"/>
  <c r="W9"/>
  <c r="V9"/>
  <c r="V8"/>
  <c r="V7"/>
  <c r="V6"/>
  <c r="V5"/>
  <c r="V4"/>
  <c r="V3"/>
  <c r="V2"/>
  <c r="V13" i="15"/>
  <c r="W13" s="1"/>
  <c r="W12"/>
  <c r="V12"/>
  <c r="V11"/>
  <c r="W11" s="1"/>
  <c r="V10"/>
  <c r="W10" s="1"/>
  <c r="V9"/>
  <c r="W9" s="1"/>
  <c r="W8"/>
  <c r="V8"/>
  <c r="V7"/>
  <c r="V6"/>
  <c r="V5"/>
  <c r="V4"/>
  <c r="V3"/>
  <c r="V2"/>
  <c r="V13" i="14"/>
  <c r="W13" s="1"/>
  <c r="V12"/>
  <c r="W12" s="1"/>
  <c r="V11"/>
  <c r="W11" s="1"/>
  <c r="V10"/>
  <c r="W10" s="1"/>
  <c r="V9"/>
  <c r="W9" s="1"/>
  <c r="V8"/>
  <c r="V7"/>
  <c r="V6"/>
  <c r="V5"/>
  <c r="V4"/>
  <c r="V3"/>
  <c r="V2"/>
  <c r="V13" i="13"/>
  <c r="W13" s="1"/>
  <c r="W12"/>
  <c r="V12"/>
  <c r="V11"/>
  <c r="W11" s="1"/>
  <c r="V10"/>
  <c r="W10" s="1"/>
  <c r="V9"/>
  <c r="W9" s="1"/>
  <c r="V8"/>
  <c r="V7"/>
  <c r="V6"/>
  <c r="V5"/>
  <c r="V4"/>
  <c r="V3"/>
  <c r="V2"/>
  <c r="V13" i="12"/>
  <c r="W13" s="1"/>
  <c r="V12"/>
  <c r="W12" s="1"/>
  <c r="V11"/>
  <c r="W11" s="1"/>
  <c r="V10"/>
  <c r="W10" s="1"/>
  <c r="V9"/>
  <c r="V8"/>
  <c r="V7"/>
  <c r="V6"/>
  <c r="V5"/>
  <c r="V4"/>
  <c r="V3"/>
  <c r="V2"/>
  <c r="W13" i="11"/>
  <c r="V13"/>
  <c r="W12"/>
  <c r="V12"/>
  <c r="V11"/>
  <c r="W11" s="1"/>
  <c r="V10"/>
  <c r="W10" s="1"/>
  <c r="W9"/>
  <c r="V9"/>
  <c r="W8"/>
  <c r="V8"/>
  <c r="V7"/>
  <c r="V6"/>
  <c r="V5"/>
  <c r="V4"/>
  <c r="V3"/>
  <c r="V2"/>
  <c r="W13" i="10"/>
  <c r="V13"/>
  <c r="V12"/>
  <c r="W12" s="1"/>
  <c r="V11"/>
  <c r="W11" s="1"/>
  <c r="V10"/>
  <c r="W10" s="1"/>
  <c r="W9"/>
  <c r="V9"/>
  <c r="V8"/>
  <c r="W8" s="1"/>
  <c r="V7"/>
  <c r="V6"/>
  <c r="V5"/>
  <c r="V4"/>
  <c r="V3"/>
  <c r="V2"/>
  <c r="V13" i="9"/>
  <c r="W13" s="1"/>
  <c r="W12"/>
  <c r="V12"/>
  <c r="V11"/>
  <c r="W11" s="1"/>
  <c r="W10"/>
  <c r="V10"/>
  <c r="V9"/>
  <c r="W9" s="1"/>
  <c r="V8"/>
  <c r="V7"/>
  <c r="V6"/>
  <c r="V5"/>
  <c r="V4"/>
  <c r="V3"/>
  <c r="V2"/>
  <c r="AJ4" i="8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3"/>
  <c r="K4" i="17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3"/>
  <c r="K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3"/>
  <c r="R15" i="16"/>
  <c r="Q15"/>
  <c r="P15"/>
  <c r="O15"/>
  <c r="N15"/>
  <c r="M15"/>
  <c r="L15"/>
  <c r="K15"/>
  <c r="J15"/>
  <c r="I15"/>
  <c r="H15"/>
  <c r="G15"/>
  <c r="F15"/>
  <c r="E15"/>
  <c r="S10" s="1"/>
  <c r="D15"/>
  <c r="C15"/>
  <c r="B15"/>
  <c r="R15" i="15"/>
  <c r="Q15"/>
  <c r="P15"/>
  <c r="O15"/>
  <c r="N15"/>
  <c r="M15"/>
  <c r="L15"/>
  <c r="K15"/>
  <c r="J15"/>
  <c r="I15"/>
  <c r="H15"/>
  <c r="G15"/>
  <c r="F15"/>
  <c r="E15"/>
  <c r="D15"/>
  <c r="C15"/>
  <c r="B15"/>
  <c r="R15" i="14"/>
  <c r="Q15"/>
  <c r="P15"/>
  <c r="O15"/>
  <c r="N15"/>
  <c r="M15"/>
  <c r="L15"/>
  <c r="K15"/>
  <c r="J15"/>
  <c r="I15"/>
  <c r="H15"/>
  <c r="G15"/>
  <c r="F15"/>
  <c r="E15"/>
  <c r="D15"/>
  <c r="C15"/>
  <c r="B15"/>
  <c r="R15" i="13"/>
  <c r="Q15"/>
  <c r="P15"/>
  <c r="O15"/>
  <c r="N15"/>
  <c r="M15"/>
  <c r="L15"/>
  <c r="K15"/>
  <c r="J15"/>
  <c r="I15"/>
  <c r="H15"/>
  <c r="G15"/>
  <c r="F15"/>
  <c r="E15"/>
  <c r="D15"/>
  <c r="C15"/>
  <c r="S10" s="1"/>
  <c r="B15"/>
  <c r="R15" i="12"/>
  <c r="Q15"/>
  <c r="P15"/>
  <c r="O15"/>
  <c r="N15"/>
  <c r="M15"/>
  <c r="L15"/>
  <c r="K15"/>
  <c r="J15"/>
  <c r="I15"/>
  <c r="H15"/>
  <c r="G15"/>
  <c r="F15"/>
  <c r="T9" s="1"/>
  <c r="E15"/>
  <c r="S7" s="1"/>
  <c r="D15"/>
  <c r="C15"/>
  <c r="B15"/>
  <c r="R15" i="11"/>
  <c r="Q15"/>
  <c r="P15"/>
  <c r="O15"/>
  <c r="N15"/>
  <c r="M15"/>
  <c r="L15"/>
  <c r="K15"/>
  <c r="J15"/>
  <c r="I15"/>
  <c r="H15"/>
  <c r="G15"/>
  <c r="F15"/>
  <c r="E15"/>
  <c r="D15"/>
  <c r="C15"/>
  <c r="S11" s="1"/>
  <c r="B15"/>
  <c r="R15" i="10"/>
  <c r="Q15"/>
  <c r="P15"/>
  <c r="O15"/>
  <c r="N15"/>
  <c r="M15"/>
  <c r="L15"/>
  <c r="K15"/>
  <c r="J15"/>
  <c r="I15"/>
  <c r="H15"/>
  <c r="G15"/>
  <c r="F15"/>
  <c r="E15"/>
  <c r="D15"/>
  <c r="C15"/>
  <c r="B15"/>
  <c r="C15" i="9"/>
  <c r="D15"/>
  <c r="E15"/>
  <c r="F15"/>
  <c r="G15"/>
  <c r="H15"/>
  <c r="I15"/>
  <c r="J15"/>
  <c r="K15"/>
  <c r="L15"/>
  <c r="M15"/>
  <c r="N15"/>
  <c r="O15"/>
  <c r="P15"/>
  <c r="Q15"/>
  <c r="R15"/>
  <c r="B15"/>
  <c r="BE4" i="8"/>
  <c r="BE5"/>
  <c r="BE6"/>
  <c r="BE7"/>
  <c r="BE8"/>
  <c r="BE9"/>
  <c r="BE10"/>
  <c r="BE11"/>
  <c r="BE12"/>
  <c r="BE13"/>
  <c r="BE14"/>
  <c r="BE15"/>
  <c r="BE16"/>
  <c r="BE17"/>
  <c r="BE18"/>
  <c r="BE19"/>
  <c r="BE20"/>
  <c r="BE21"/>
  <c r="BE22"/>
  <c r="BE23"/>
  <c r="BE24"/>
  <c r="BE25"/>
  <c r="BE26"/>
  <c r="BE27"/>
  <c r="BE28"/>
  <c r="BE29"/>
  <c r="BE30"/>
  <c r="BE31"/>
  <c r="BE32"/>
  <c r="BE33"/>
  <c r="BE34"/>
  <c r="BE35"/>
  <c r="BE36"/>
  <c r="BE37"/>
  <c r="BE38"/>
  <c r="BE39"/>
  <c r="BE40"/>
  <c r="BE41"/>
  <c r="BE42"/>
  <c r="BE43"/>
  <c r="BE44"/>
  <c r="BE45"/>
  <c r="BE46"/>
  <c r="BE47"/>
  <c r="BE48"/>
  <c r="BE49"/>
  <c r="BE3"/>
  <c r="BD4"/>
  <c r="BD5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3"/>
  <c r="BC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Y4"/>
  <c r="AY5"/>
  <c r="AY6"/>
  <c r="AY7"/>
  <c r="AY8"/>
  <c r="AY9"/>
  <c r="AY10"/>
  <c r="AY11"/>
  <c r="AY12"/>
  <c r="AY13"/>
  <c r="AY14"/>
  <c r="AY15"/>
  <c r="AY16"/>
  <c r="AY17"/>
  <c r="AY18"/>
  <c r="AY19"/>
  <c r="AY20"/>
  <c r="AY21"/>
  <c r="AY22"/>
  <c r="AY23"/>
  <c r="AY24"/>
  <c r="AY25"/>
  <c r="AY26"/>
  <c r="AY27"/>
  <c r="AY28"/>
  <c r="AY29"/>
  <c r="AY30"/>
  <c r="AY31"/>
  <c r="AY32"/>
  <c r="AY33"/>
  <c r="AY34"/>
  <c r="AY35"/>
  <c r="AY36"/>
  <c r="AY37"/>
  <c r="AY38"/>
  <c r="AY39"/>
  <c r="AY40"/>
  <c r="AY41"/>
  <c r="AY42"/>
  <c r="AY43"/>
  <c r="AY44"/>
  <c r="AY45"/>
  <c r="AY46"/>
  <c r="AY47"/>
  <c r="AY48"/>
  <c r="AY49"/>
  <c r="AX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N3"/>
  <c r="AO3"/>
  <c r="AP3"/>
  <c r="AQ3"/>
  <c r="AR3"/>
  <c r="AS3"/>
  <c r="AT3"/>
  <c r="AU3"/>
  <c r="AV3"/>
  <c r="AW3"/>
  <c r="AX3"/>
  <c r="AY3"/>
  <c r="AZ3"/>
  <c r="BA3"/>
  <c r="BB3"/>
  <c r="BC3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3"/>
  <c r="Z4"/>
  <c r="Z5"/>
  <c r="Z6"/>
  <c r="Z7"/>
  <c r="Z8"/>
  <c r="Z9"/>
  <c r="Z10"/>
  <c r="Z11"/>
  <c r="Z12"/>
  <c r="Z13"/>
  <c r="Z14"/>
  <c r="Z15"/>
  <c r="Z16"/>
  <c r="Z17"/>
  <c r="Z18"/>
  <c r="Z19"/>
  <c r="Z20"/>
  <c r="Z21"/>
  <c r="Z22"/>
  <c r="Z23"/>
  <c r="Z24"/>
  <c r="Z25"/>
  <c r="Z26"/>
  <c r="Z27"/>
  <c r="Z28"/>
  <c r="Z29"/>
  <c r="Z30"/>
  <c r="Z31"/>
  <c r="Z32"/>
  <c r="Z33"/>
  <c r="Z34"/>
  <c r="Z35"/>
  <c r="Z36"/>
  <c r="Z37"/>
  <c r="Z38"/>
  <c r="Z39"/>
  <c r="Z40"/>
  <c r="Z41"/>
  <c r="Z42"/>
  <c r="Z43"/>
  <c r="Z44"/>
  <c r="Z45"/>
  <c r="Z46"/>
  <c r="Z47"/>
  <c r="Z48"/>
  <c r="Z49"/>
  <c r="Z3"/>
  <c r="AM3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3"/>
  <c r="U4" i="7"/>
  <c r="U5"/>
  <c r="U6"/>
  <c r="U7"/>
  <c r="U8"/>
  <c r="U9"/>
  <c r="U10"/>
  <c r="U11"/>
  <c r="U12"/>
  <c r="U13"/>
  <c r="U14"/>
  <c r="U15"/>
  <c r="U16"/>
  <c r="U17"/>
  <c r="U18"/>
  <c r="U19"/>
  <c r="U20"/>
  <c r="U21"/>
  <c r="U22"/>
  <c r="U23"/>
  <c r="U24"/>
  <c r="U25"/>
  <c r="U26"/>
  <c r="U27"/>
  <c r="U28"/>
  <c r="U29"/>
  <c r="U30"/>
  <c r="U31"/>
  <c r="U32"/>
  <c r="U33"/>
  <c r="U34"/>
  <c r="U35"/>
  <c r="U36"/>
  <c r="U37"/>
  <c r="U38"/>
  <c r="U39"/>
  <c r="U40"/>
  <c r="U41"/>
  <c r="U42"/>
  <c r="U43"/>
  <c r="U44"/>
  <c r="U45"/>
  <c r="U46"/>
  <c r="U47"/>
  <c r="U48"/>
  <c r="U49"/>
  <c r="T4"/>
  <c r="T5"/>
  <c r="T6"/>
  <c r="T7"/>
  <c r="T8"/>
  <c r="T9"/>
  <c r="T10"/>
  <c r="T11"/>
  <c r="T12"/>
  <c r="T13"/>
  <c r="T14"/>
  <c r="T15"/>
  <c r="T16"/>
  <c r="T17"/>
  <c r="T18"/>
  <c r="T19"/>
  <c r="T20"/>
  <c r="T21"/>
  <c r="T22"/>
  <c r="T23"/>
  <c r="T24"/>
  <c r="T25"/>
  <c r="T26"/>
  <c r="T27"/>
  <c r="T28"/>
  <c r="T29"/>
  <c r="T30"/>
  <c r="T31"/>
  <c r="T32"/>
  <c r="T33"/>
  <c r="T34"/>
  <c r="T35"/>
  <c r="T36"/>
  <c r="T37"/>
  <c r="T38"/>
  <c r="T39"/>
  <c r="T40"/>
  <c r="T41"/>
  <c r="T42"/>
  <c r="T43"/>
  <c r="T44"/>
  <c r="T45"/>
  <c r="T46"/>
  <c r="T47"/>
  <c r="T48"/>
  <c r="T49"/>
  <c r="AC4" i="8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A4"/>
  <c r="AA5"/>
  <c r="AA6"/>
  <c r="AA7"/>
  <c r="AA8"/>
  <c r="AA9"/>
  <c r="AB9" s="1"/>
  <c r="AA10"/>
  <c r="AA11"/>
  <c r="AA12"/>
  <c r="AA13"/>
  <c r="AA14"/>
  <c r="AB14" s="1"/>
  <c r="AA15"/>
  <c r="AB15" s="1"/>
  <c r="AA16"/>
  <c r="AB16" s="1"/>
  <c r="AA17"/>
  <c r="AB17" s="1"/>
  <c r="AA18"/>
  <c r="AA19"/>
  <c r="AA20"/>
  <c r="AA21"/>
  <c r="AA22"/>
  <c r="AA23"/>
  <c r="AA24"/>
  <c r="AA25"/>
  <c r="AA26"/>
  <c r="AA27"/>
  <c r="AA28"/>
  <c r="AA29"/>
  <c r="AA30"/>
  <c r="AB30" s="1"/>
  <c r="AA31"/>
  <c r="AB31" s="1"/>
  <c r="AA32"/>
  <c r="AB32" s="1"/>
  <c r="AA33"/>
  <c r="AA34"/>
  <c r="AB34" s="1"/>
  <c r="AA35"/>
  <c r="AA36"/>
  <c r="AA37"/>
  <c r="AA38"/>
  <c r="AA39"/>
  <c r="AA40"/>
  <c r="AA41"/>
  <c r="AA42"/>
  <c r="AA43"/>
  <c r="AA44"/>
  <c r="AA45"/>
  <c r="AA46"/>
  <c r="AB46" s="1"/>
  <c r="AA47"/>
  <c r="AB47" s="1"/>
  <c r="AA48"/>
  <c r="AA49"/>
  <c r="AB49" s="1"/>
  <c r="X4"/>
  <c r="X5"/>
  <c r="X6"/>
  <c r="X7"/>
  <c r="X8"/>
  <c r="X9"/>
  <c r="X10"/>
  <c r="X11"/>
  <c r="X12"/>
  <c r="X13"/>
  <c r="X14"/>
  <c r="X15"/>
  <c r="X16"/>
  <c r="X17"/>
  <c r="X18"/>
  <c r="X19"/>
  <c r="X20"/>
  <c r="X21"/>
  <c r="X22"/>
  <c r="X23"/>
  <c r="X24"/>
  <c r="X25"/>
  <c r="X26"/>
  <c r="X27"/>
  <c r="X28"/>
  <c r="X29"/>
  <c r="X30"/>
  <c r="X31"/>
  <c r="X32"/>
  <c r="X33"/>
  <c r="X34"/>
  <c r="X35"/>
  <c r="X36"/>
  <c r="X37"/>
  <c r="X38"/>
  <c r="X39"/>
  <c r="X40"/>
  <c r="X41"/>
  <c r="X42"/>
  <c r="X43"/>
  <c r="X44"/>
  <c r="X45"/>
  <c r="X46"/>
  <c r="X47"/>
  <c r="X48"/>
  <c r="X49"/>
  <c r="W4"/>
  <c r="W5"/>
  <c r="W6"/>
  <c r="W7"/>
  <c r="W8"/>
  <c r="W9"/>
  <c r="W10"/>
  <c r="W11"/>
  <c r="W12"/>
  <c r="W13"/>
  <c r="W14"/>
  <c r="W15"/>
  <c r="W16"/>
  <c r="W17"/>
  <c r="W18"/>
  <c r="W19"/>
  <c r="W20"/>
  <c r="W21"/>
  <c r="W22"/>
  <c r="W23"/>
  <c r="W24"/>
  <c r="W25"/>
  <c r="W26"/>
  <c r="W27"/>
  <c r="W28"/>
  <c r="W29"/>
  <c r="W30"/>
  <c r="W31"/>
  <c r="W32"/>
  <c r="W33"/>
  <c r="W34"/>
  <c r="W35"/>
  <c r="W36"/>
  <c r="W37"/>
  <c r="W38"/>
  <c r="W39"/>
  <c r="W40"/>
  <c r="W41"/>
  <c r="W42"/>
  <c r="W43"/>
  <c r="W44"/>
  <c r="W45"/>
  <c r="W46"/>
  <c r="W47"/>
  <c r="W48"/>
  <c r="W49"/>
  <c r="AA3"/>
  <c r="AB3" s="1"/>
  <c r="AC3"/>
  <c r="X3"/>
  <c r="W3"/>
  <c r="U3" i="7"/>
  <c r="T3"/>
  <c r="W8" i="16" l="1"/>
  <c r="W8" i="14"/>
  <c r="T9"/>
  <c r="W8" i="13"/>
  <c r="W8" i="12"/>
  <c r="W9"/>
  <c r="W8" i="9"/>
  <c r="T9" i="11"/>
  <c r="Y50" i="8"/>
  <c r="BM50"/>
  <c r="BN50"/>
  <c r="BI50"/>
  <c r="T11" i="15"/>
  <c r="S13"/>
  <c r="S11" i="12"/>
  <c r="S13" i="11"/>
  <c r="T13" i="10"/>
  <c r="S6" i="9"/>
  <c r="W6" s="1"/>
  <c r="S2"/>
  <c r="W2" s="1"/>
  <c r="BF50" i="8"/>
  <c r="BL50"/>
  <c r="BJ50"/>
  <c r="BO50"/>
  <c r="BG50"/>
  <c r="T5" i="16"/>
  <c r="S8"/>
  <c r="T12"/>
  <c r="T5" i="15"/>
  <c r="T13" i="14"/>
  <c r="T11"/>
  <c r="S12"/>
  <c r="T10"/>
  <c r="S11"/>
  <c r="T8" i="13"/>
  <c r="S3" i="12"/>
  <c r="W3" s="1"/>
  <c r="W7"/>
  <c r="S5"/>
  <c r="W5" s="1"/>
  <c r="S9" i="11"/>
  <c r="U9" s="1"/>
  <c r="T8"/>
  <c r="S12"/>
  <c r="T9" i="10"/>
  <c r="S10"/>
  <c r="S9"/>
  <c r="T8" i="9"/>
  <c r="S7"/>
  <c r="W7" s="1"/>
  <c r="S8"/>
  <c r="S9"/>
  <c r="S4"/>
  <c r="W4" s="1"/>
  <c r="S10"/>
  <c r="T5"/>
  <c r="S13"/>
  <c r="C81" i="7"/>
  <c r="BO48" i="8"/>
  <c r="BO40"/>
  <c r="BO32"/>
  <c r="BO24"/>
  <c r="BO16"/>
  <c r="BO8"/>
  <c r="BO9"/>
  <c r="BO6"/>
  <c r="BO45"/>
  <c r="BO37"/>
  <c r="BO29"/>
  <c r="BO21"/>
  <c r="BO13"/>
  <c r="BO5"/>
  <c r="BO43"/>
  <c r="BO35"/>
  <c r="BO27"/>
  <c r="BO19"/>
  <c r="BO11"/>
  <c r="BO46"/>
  <c r="BO38"/>
  <c r="BO30"/>
  <c r="BO22"/>
  <c r="BO14"/>
  <c r="BO47"/>
  <c r="BO31"/>
  <c r="BO15"/>
  <c r="BO44"/>
  <c r="BO36"/>
  <c r="BO28"/>
  <c r="BO20"/>
  <c r="BO12"/>
  <c r="BO4"/>
  <c r="BO39"/>
  <c r="BO23"/>
  <c r="BO7"/>
  <c r="BO3"/>
  <c r="BO34"/>
  <c r="BO18"/>
  <c r="BO49"/>
  <c r="BO41"/>
  <c r="BO33"/>
  <c r="BO25"/>
  <c r="BO17"/>
  <c r="BO42"/>
  <c r="BO26"/>
  <c r="BO10"/>
  <c r="S13" i="16"/>
  <c r="T11"/>
  <c r="S12"/>
  <c r="T10"/>
  <c r="U10" s="1"/>
  <c r="S11"/>
  <c r="T9"/>
  <c r="T8"/>
  <c r="S9"/>
  <c r="T13"/>
  <c r="S12" i="15"/>
  <c r="S11"/>
  <c r="T9"/>
  <c r="T10"/>
  <c r="S10"/>
  <c r="T8"/>
  <c r="S9"/>
  <c r="S8"/>
  <c r="T13"/>
  <c r="T12"/>
  <c r="S10" i="14"/>
  <c r="S9"/>
  <c r="T8"/>
  <c r="S8"/>
  <c r="T12"/>
  <c r="S13"/>
  <c r="T5" i="13"/>
  <c r="S9"/>
  <c r="S8"/>
  <c r="T12"/>
  <c r="T13"/>
  <c r="S13"/>
  <c r="T11"/>
  <c r="S12"/>
  <c r="T10"/>
  <c r="U10" s="1"/>
  <c r="S11"/>
  <c r="T9"/>
  <c r="T12" i="12"/>
  <c r="S13"/>
  <c r="T11"/>
  <c r="S12"/>
  <c r="T10"/>
  <c r="S10"/>
  <c r="T8"/>
  <c r="S9"/>
  <c r="U9" s="1"/>
  <c r="S8"/>
  <c r="T13"/>
  <c r="T11" i="11"/>
  <c r="U11" s="1"/>
  <c r="T10"/>
  <c r="S10"/>
  <c r="T5"/>
  <c r="S8"/>
  <c r="U8" s="1"/>
  <c r="T13"/>
  <c r="U13" s="1"/>
  <c r="T12"/>
  <c r="T8" i="10"/>
  <c r="T2"/>
  <c r="S8"/>
  <c r="T12"/>
  <c r="S13"/>
  <c r="T11"/>
  <c r="S12"/>
  <c r="T10"/>
  <c r="S11"/>
  <c r="T4" i="9"/>
  <c r="T13"/>
  <c r="S5"/>
  <c r="T3"/>
  <c r="T12"/>
  <c r="T11"/>
  <c r="S3"/>
  <c r="W3" s="1"/>
  <c r="S12"/>
  <c r="T10"/>
  <c r="T2"/>
  <c r="S11"/>
  <c r="T9"/>
  <c r="T7"/>
  <c r="T6"/>
  <c r="U6" s="1"/>
  <c r="C83" i="7"/>
  <c r="S3" i="16"/>
  <c r="W3" s="1"/>
  <c r="S3" i="15"/>
  <c r="W3" s="1"/>
  <c r="T5" i="14"/>
  <c r="T5" i="12"/>
  <c r="S4"/>
  <c r="W4" s="1"/>
  <c r="T3" i="16"/>
  <c r="S6"/>
  <c r="W6" s="1"/>
  <c r="T6"/>
  <c r="S4"/>
  <c r="W4" s="1"/>
  <c r="T4"/>
  <c r="S7"/>
  <c r="W7" s="1"/>
  <c r="S2"/>
  <c r="W2" s="1"/>
  <c r="T7"/>
  <c r="T2"/>
  <c r="S5"/>
  <c r="T3" i="15"/>
  <c r="S6"/>
  <c r="W6" s="1"/>
  <c r="T6"/>
  <c r="S4"/>
  <c r="W4" s="1"/>
  <c r="T4"/>
  <c r="S7"/>
  <c r="W7" s="1"/>
  <c r="S2"/>
  <c r="W2" s="1"/>
  <c r="T7"/>
  <c r="T2"/>
  <c r="S5"/>
  <c r="W5" s="1"/>
  <c r="T3" i="14"/>
  <c r="S6"/>
  <c r="W6" s="1"/>
  <c r="T6"/>
  <c r="S4"/>
  <c r="W4" s="1"/>
  <c r="T4"/>
  <c r="S7"/>
  <c r="W7" s="1"/>
  <c r="S3"/>
  <c r="W3" s="1"/>
  <c r="S2"/>
  <c r="W2" s="1"/>
  <c r="T7"/>
  <c r="T2"/>
  <c r="S5"/>
  <c r="T3" i="13"/>
  <c r="S6"/>
  <c r="W6" s="1"/>
  <c r="T6"/>
  <c r="S4"/>
  <c r="W4" s="1"/>
  <c r="S3"/>
  <c r="W3" s="1"/>
  <c r="T4"/>
  <c r="S7"/>
  <c r="W7" s="1"/>
  <c r="S2"/>
  <c r="W2" s="1"/>
  <c r="T7"/>
  <c r="T2"/>
  <c r="S5"/>
  <c r="W5" s="1"/>
  <c r="T3" i="12"/>
  <c r="U3" s="1"/>
  <c r="S6"/>
  <c r="W6" s="1"/>
  <c r="T6"/>
  <c r="T4"/>
  <c r="S2"/>
  <c r="W2" s="1"/>
  <c r="T7"/>
  <c r="U7" s="1"/>
  <c r="T2"/>
  <c r="T6" i="11"/>
  <c r="S3"/>
  <c r="W3" s="1"/>
  <c r="S4"/>
  <c r="W4" s="1"/>
  <c r="S6"/>
  <c r="T4"/>
  <c r="S7"/>
  <c r="W7" s="1"/>
  <c r="T3"/>
  <c r="S2"/>
  <c r="W2" s="1"/>
  <c r="T7"/>
  <c r="T2"/>
  <c r="S5"/>
  <c r="T5" i="10"/>
  <c r="S5"/>
  <c r="W5" s="1"/>
  <c r="T3"/>
  <c r="S6"/>
  <c r="W6" s="1"/>
  <c r="T6"/>
  <c r="S3"/>
  <c r="W3" s="1"/>
  <c r="S4"/>
  <c r="W4" s="1"/>
  <c r="T4"/>
  <c r="S7"/>
  <c r="W7" s="1"/>
  <c r="S2"/>
  <c r="W2" s="1"/>
  <c r="T7"/>
  <c r="Y10" i="8"/>
  <c r="Y41"/>
  <c r="Y25"/>
  <c r="BM23"/>
  <c r="BM39"/>
  <c r="BJ44"/>
  <c r="BJ12"/>
  <c r="BN38"/>
  <c r="BN30"/>
  <c r="BI46"/>
  <c r="BI38"/>
  <c r="BI30"/>
  <c r="BJ28"/>
  <c r="BN46"/>
  <c r="Y21"/>
  <c r="BF46"/>
  <c r="BF38"/>
  <c r="BF30"/>
  <c r="BF22"/>
  <c r="BG44"/>
  <c r="BG36"/>
  <c r="BG28"/>
  <c r="BG20"/>
  <c r="BG12"/>
  <c r="BI22"/>
  <c r="BM7"/>
  <c r="BF29"/>
  <c r="BF5"/>
  <c r="BG11"/>
  <c r="BJ27"/>
  <c r="BN45"/>
  <c r="BN37"/>
  <c r="BN29"/>
  <c r="BN21"/>
  <c r="BN13"/>
  <c r="BN5"/>
  <c r="BI45"/>
  <c r="BI37"/>
  <c r="BI29"/>
  <c r="BI21"/>
  <c r="BI13"/>
  <c r="BI5"/>
  <c r="C85" i="7"/>
  <c r="BM38" i="8"/>
  <c r="BM22"/>
  <c r="BM6"/>
  <c r="BL27"/>
  <c r="BF45"/>
  <c r="BF21"/>
  <c r="BG43"/>
  <c r="BG27"/>
  <c r="BJ11"/>
  <c r="BL26"/>
  <c r="Y3"/>
  <c r="BF36"/>
  <c r="BF12"/>
  <c r="BG34"/>
  <c r="BG18"/>
  <c r="BL9"/>
  <c r="BN28"/>
  <c r="BN20"/>
  <c r="BN4"/>
  <c r="BI44"/>
  <c r="BI36"/>
  <c r="BI28"/>
  <c r="BI20"/>
  <c r="BI12"/>
  <c r="BI4"/>
  <c r="C82" i="7"/>
  <c r="BM37" i="8"/>
  <c r="BM21"/>
  <c r="BM5"/>
  <c r="BL11"/>
  <c r="BN22"/>
  <c r="BI14"/>
  <c r="BF3"/>
  <c r="Y37"/>
  <c r="BF13"/>
  <c r="BG35"/>
  <c r="BG19"/>
  <c r="BJ43"/>
  <c r="BL42"/>
  <c r="BL10"/>
  <c r="BF44"/>
  <c r="BF28"/>
  <c r="BF20"/>
  <c r="BF4"/>
  <c r="BG42"/>
  <c r="BG26"/>
  <c r="BG10"/>
  <c r="BJ42"/>
  <c r="BJ26"/>
  <c r="BJ10"/>
  <c r="BL41"/>
  <c r="BL25"/>
  <c r="BN44"/>
  <c r="BN36"/>
  <c r="BN12"/>
  <c r="BF43"/>
  <c r="BF35"/>
  <c r="BF27"/>
  <c r="BF19"/>
  <c r="BF11"/>
  <c r="BG49"/>
  <c r="BG41"/>
  <c r="BG33"/>
  <c r="BG25"/>
  <c r="BG17"/>
  <c r="BG9"/>
  <c r="BJ41"/>
  <c r="BJ33"/>
  <c r="BJ25"/>
  <c r="BJ9"/>
  <c r="BL40"/>
  <c r="BL24"/>
  <c r="BL8"/>
  <c r="BN43"/>
  <c r="BN35"/>
  <c r="BN27"/>
  <c r="BN19"/>
  <c r="BN11"/>
  <c r="BI43"/>
  <c r="BI35"/>
  <c r="BI27"/>
  <c r="BI19"/>
  <c r="BI11"/>
  <c r="BM36"/>
  <c r="BM20"/>
  <c r="BM4"/>
  <c r="BF6"/>
  <c r="BF42"/>
  <c r="BF10"/>
  <c r="BG32"/>
  <c r="BG16"/>
  <c r="BG8"/>
  <c r="BJ48"/>
  <c r="BJ40"/>
  <c r="BJ24"/>
  <c r="BJ8"/>
  <c r="BL39"/>
  <c r="BL23"/>
  <c r="BL7"/>
  <c r="BN3"/>
  <c r="BN42"/>
  <c r="BN34"/>
  <c r="BN26"/>
  <c r="BN18"/>
  <c r="BN10"/>
  <c r="BI3"/>
  <c r="BI42"/>
  <c r="BI34"/>
  <c r="BI26"/>
  <c r="BI18"/>
  <c r="BI10"/>
  <c r="BM43"/>
  <c r="BM27"/>
  <c r="BM11"/>
  <c r="BF26"/>
  <c r="BG48"/>
  <c r="BG24"/>
  <c r="BF33"/>
  <c r="BF17"/>
  <c r="BG47"/>
  <c r="BG23"/>
  <c r="BL38"/>
  <c r="BL6"/>
  <c r="BN41"/>
  <c r="BN33"/>
  <c r="BN25"/>
  <c r="BN17"/>
  <c r="BN9"/>
  <c r="BI49"/>
  <c r="BI41"/>
  <c r="BI33"/>
  <c r="BI25"/>
  <c r="BI17"/>
  <c r="BI9"/>
  <c r="C87" i="7"/>
  <c r="BM42" i="8"/>
  <c r="BM26"/>
  <c r="BM10"/>
  <c r="BF14"/>
  <c r="BG4"/>
  <c r="BL43"/>
  <c r="BN6"/>
  <c r="BF34"/>
  <c r="BF18"/>
  <c r="BG40"/>
  <c r="BF49"/>
  <c r="BF9"/>
  <c r="BG31"/>
  <c r="BG15"/>
  <c r="BJ39"/>
  <c r="BJ23"/>
  <c r="BJ7"/>
  <c r="BL22"/>
  <c r="BN49"/>
  <c r="BF48"/>
  <c r="Y40"/>
  <c r="BF32"/>
  <c r="BF24"/>
  <c r="BF16"/>
  <c r="Y8"/>
  <c r="BG46"/>
  <c r="BG38"/>
  <c r="BG30"/>
  <c r="BG22"/>
  <c r="BG14"/>
  <c r="BG6"/>
  <c r="BL45"/>
  <c r="BL29"/>
  <c r="BL13"/>
  <c r="BN48"/>
  <c r="BN40"/>
  <c r="BN32"/>
  <c r="BN24"/>
  <c r="BN16"/>
  <c r="BN8"/>
  <c r="BI48"/>
  <c r="BI40"/>
  <c r="BI32"/>
  <c r="BI24"/>
  <c r="BI16"/>
  <c r="BI8"/>
  <c r="BM41"/>
  <c r="BM25"/>
  <c r="BM9"/>
  <c r="BN14"/>
  <c r="BI6"/>
  <c r="BF47"/>
  <c r="BF39"/>
  <c r="BF31"/>
  <c r="BF23"/>
  <c r="BF15"/>
  <c r="BF7"/>
  <c r="BG45"/>
  <c r="BG37"/>
  <c r="BG29"/>
  <c r="BG21"/>
  <c r="BG13"/>
  <c r="BJ45"/>
  <c r="BJ29"/>
  <c r="BJ13"/>
  <c r="BL44"/>
  <c r="BL28"/>
  <c r="BL12"/>
  <c r="BN47"/>
  <c r="BN39"/>
  <c r="BN31"/>
  <c r="BN23"/>
  <c r="BN15"/>
  <c r="BN7"/>
  <c r="BI47"/>
  <c r="BI39"/>
  <c r="BI31"/>
  <c r="BI23"/>
  <c r="BI15"/>
  <c r="BI7"/>
  <c r="BM40"/>
  <c r="BM24"/>
  <c r="BM8"/>
  <c r="C86" i="7"/>
  <c r="AE18" i="8"/>
  <c r="AE35"/>
  <c r="BJ34"/>
  <c r="BJ18"/>
  <c r="BL46"/>
  <c r="BL30"/>
  <c r="BL14"/>
  <c r="BM44"/>
  <c r="BM28"/>
  <c r="BM12"/>
  <c r="AE39"/>
  <c r="AE23"/>
  <c r="BJ35"/>
  <c r="BJ19"/>
  <c r="BL47"/>
  <c r="BL31"/>
  <c r="BL15"/>
  <c r="BM45"/>
  <c r="BM29"/>
  <c r="BM13"/>
  <c r="AE24"/>
  <c r="AE8"/>
  <c r="AB18"/>
  <c r="BJ36"/>
  <c r="BJ20"/>
  <c r="BJ4"/>
  <c r="BL48"/>
  <c r="BL32"/>
  <c r="BL16"/>
  <c r="BM46"/>
  <c r="BM30"/>
  <c r="BM14"/>
  <c r="BJ37"/>
  <c r="BJ21"/>
  <c r="BJ5"/>
  <c r="BL49"/>
  <c r="BL33"/>
  <c r="BL17"/>
  <c r="BM47"/>
  <c r="BM31"/>
  <c r="BM15"/>
  <c r="AB35"/>
  <c r="BJ38"/>
  <c r="BJ22"/>
  <c r="BJ6"/>
  <c r="BL34"/>
  <c r="BL18"/>
  <c r="BM48"/>
  <c r="BM32"/>
  <c r="BM16"/>
  <c r="AE43"/>
  <c r="AE27"/>
  <c r="AE11"/>
  <c r="BL35"/>
  <c r="BL19"/>
  <c r="BM49"/>
  <c r="BM33"/>
  <c r="BM17"/>
  <c r="BL36"/>
  <c r="BL20"/>
  <c r="BL4"/>
  <c r="BM34"/>
  <c r="BM18"/>
  <c r="AE45"/>
  <c r="AE29"/>
  <c r="AE13"/>
  <c r="Y5"/>
  <c r="BG3"/>
  <c r="BL37"/>
  <c r="BL21"/>
  <c r="BL5"/>
  <c r="BM35"/>
  <c r="BM19"/>
  <c r="AE14"/>
  <c r="AE47"/>
  <c r="AE31"/>
  <c r="AE15"/>
  <c r="Y39"/>
  <c r="Y7"/>
  <c r="BJ3"/>
  <c r="BF37"/>
  <c r="Y42"/>
  <c r="Y26"/>
  <c r="BL3"/>
  <c r="BJ46"/>
  <c r="BJ30"/>
  <c r="BJ14"/>
  <c r="BM3"/>
  <c r="BG5"/>
  <c r="BJ47"/>
  <c r="BJ31"/>
  <c r="BJ15"/>
  <c r="BF40"/>
  <c r="BF8"/>
  <c r="BJ32"/>
  <c r="BJ16"/>
  <c r="BF41"/>
  <c r="BF25"/>
  <c r="BG39"/>
  <c r="BG7"/>
  <c r="BJ49"/>
  <c r="BJ17"/>
  <c r="AB48"/>
  <c r="AB4"/>
  <c r="Y36"/>
  <c r="Y4"/>
  <c r="Y20"/>
  <c r="AB36"/>
  <c r="AB41"/>
  <c r="Y17"/>
  <c r="AB19"/>
  <c r="Y18"/>
  <c r="AB20"/>
  <c r="AB25"/>
  <c r="Y24"/>
  <c r="AB27"/>
  <c r="AB28"/>
  <c r="Y33"/>
  <c r="Y34"/>
  <c r="Y38"/>
  <c r="Y22"/>
  <c r="Y6"/>
  <c r="AB43"/>
  <c r="AB11"/>
  <c r="AB44"/>
  <c r="AB12"/>
  <c r="Y49"/>
  <c r="Y23"/>
  <c r="AB33"/>
  <c r="Y9"/>
  <c r="Y43"/>
  <c r="Y27"/>
  <c r="Y11"/>
  <c r="AB37"/>
  <c r="AB21"/>
  <c r="AB5"/>
  <c r="Y44"/>
  <c r="AB38"/>
  <c r="AB6"/>
  <c r="Y45"/>
  <c r="Y29"/>
  <c r="Y13"/>
  <c r="AB39"/>
  <c r="AB23"/>
  <c r="AB7"/>
  <c r="Y12"/>
  <c r="AB22"/>
  <c r="Y46"/>
  <c r="Y14"/>
  <c r="AB24"/>
  <c r="AB8"/>
  <c r="Y47"/>
  <c r="Y15"/>
  <c r="Y28"/>
  <c r="Y30"/>
  <c r="AB40"/>
  <c r="Y31"/>
  <c r="Y48"/>
  <c r="Y32"/>
  <c r="Y16"/>
  <c r="AB42"/>
  <c r="AB26"/>
  <c r="AB10"/>
  <c r="AB45"/>
  <c r="AB29"/>
  <c r="AB13"/>
  <c r="Y35"/>
  <c r="Y19"/>
  <c r="AF9" l="1"/>
  <c r="AF52"/>
  <c r="AF51"/>
  <c r="AF54"/>
  <c r="AF53"/>
  <c r="AH8"/>
  <c r="AH54"/>
  <c r="AH53"/>
  <c r="AH52"/>
  <c r="AH51"/>
  <c r="AE22"/>
  <c r="AE54"/>
  <c r="AE53"/>
  <c r="AE52"/>
  <c r="AE51"/>
  <c r="AE48"/>
  <c r="AE26"/>
  <c r="AE37"/>
  <c r="AE49"/>
  <c r="AE33"/>
  <c r="AE5"/>
  <c r="AE7"/>
  <c r="AE32"/>
  <c r="AE16"/>
  <c r="AE21"/>
  <c r="AE17"/>
  <c r="AE44"/>
  <c r="AE41"/>
  <c r="AG32"/>
  <c r="AG54"/>
  <c r="AG53"/>
  <c r="AG52"/>
  <c r="AG51"/>
  <c r="AE42"/>
  <c r="AE28"/>
  <c r="AE25"/>
  <c r="AE38"/>
  <c r="AE19"/>
  <c r="AE20"/>
  <c r="AE10"/>
  <c r="AE3"/>
  <c r="AE46"/>
  <c r="AE12"/>
  <c r="AE9"/>
  <c r="AE6"/>
  <c r="AE36"/>
  <c r="AE34"/>
  <c r="AE30"/>
  <c r="AE40"/>
  <c r="U5" i="16"/>
  <c r="U9" i="14"/>
  <c r="U11"/>
  <c r="U11" i="12"/>
  <c r="U9" i="10"/>
  <c r="U13"/>
  <c r="U10"/>
  <c r="U7" i="9"/>
  <c r="AF34" i="8"/>
  <c r="U11" i="16"/>
  <c r="U8"/>
  <c r="U13" i="15"/>
  <c r="U11"/>
  <c r="U13" i="14"/>
  <c r="U8" i="13"/>
  <c r="U12"/>
  <c r="U12" i="12"/>
  <c r="U13" i="9"/>
  <c r="U5" i="14"/>
  <c r="U12"/>
  <c r="U10"/>
  <c r="U10" i="12"/>
  <c r="U8" i="10"/>
  <c r="U9" i="9"/>
  <c r="U10"/>
  <c r="U8"/>
  <c r="U5"/>
  <c r="W5"/>
  <c r="U2"/>
  <c r="AG18" i="8"/>
  <c r="AG6"/>
  <c r="AG11"/>
  <c r="AG16"/>
  <c r="AG39"/>
  <c r="AG24"/>
  <c r="AG41"/>
  <c r="AG29"/>
  <c r="AG19"/>
  <c r="AG25"/>
  <c r="AG13"/>
  <c r="AG36"/>
  <c r="AG5"/>
  <c r="AG9"/>
  <c r="AG46"/>
  <c r="AG38"/>
  <c r="AG10"/>
  <c r="AG31"/>
  <c r="AG4"/>
  <c r="AG22"/>
  <c r="AG27"/>
  <c r="AG48"/>
  <c r="BH50"/>
  <c r="BK50"/>
  <c r="AG23"/>
  <c r="AG20"/>
  <c r="AG44"/>
  <c r="AG30"/>
  <c r="AG49"/>
  <c r="AE4"/>
  <c r="AG37"/>
  <c r="AG7"/>
  <c r="AG42"/>
  <c r="AG28"/>
  <c r="AG14"/>
  <c r="AG33"/>
  <c r="AG21"/>
  <c r="AG40"/>
  <c r="AG26"/>
  <c r="AG12"/>
  <c r="AG47"/>
  <c r="AG3"/>
  <c r="AG8"/>
  <c r="AG43"/>
  <c r="AG45"/>
  <c r="AG15"/>
  <c r="AG35"/>
  <c r="U12" i="16"/>
  <c r="U9"/>
  <c r="W5"/>
  <c r="U12" i="15"/>
  <c r="U9"/>
  <c r="U5"/>
  <c r="W5" i="14"/>
  <c r="U13" i="13"/>
  <c r="U5"/>
  <c r="U5" i="12"/>
  <c r="U12" i="11"/>
  <c r="U6"/>
  <c r="W6"/>
  <c r="U5"/>
  <c r="W5"/>
  <c r="U12" i="9"/>
  <c r="U4"/>
  <c r="U3"/>
  <c r="AF31" i="8"/>
  <c r="AF50"/>
  <c r="AG34"/>
  <c r="AG50"/>
  <c r="AF23"/>
  <c r="AH49"/>
  <c r="AH50"/>
  <c r="AF24"/>
  <c r="AF47"/>
  <c r="AE50"/>
  <c r="U13" i="16"/>
  <c r="U3"/>
  <c r="U10" i="15"/>
  <c r="U3"/>
  <c r="U8"/>
  <c r="U8" i="14"/>
  <c r="U2"/>
  <c r="U7" i="13"/>
  <c r="U3"/>
  <c r="U11"/>
  <c r="U9"/>
  <c r="U2" i="12"/>
  <c r="U13"/>
  <c r="U8"/>
  <c r="U10" i="11"/>
  <c r="U7"/>
  <c r="U11" i="10"/>
  <c r="U2"/>
  <c r="U12"/>
  <c r="U11" i="9"/>
  <c r="AF10" i="8"/>
  <c r="AF25"/>
  <c r="AF40"/>
  <c r="AF39"/>
  <c r="AF21"/>
  <c r="AF16"/>
  <c r="AF14"/>
  <c r="AF12"/>
  <c r="AF26"/>
  <c r="AF41"/>
  <c r="AF19"/>
  <c r="AF32"/>
  <c r="AF30"/>
  <c r="AF42"/>
  <c r="AF17"/>
  <c r="AF46"/>
  <c r="AF13"/>
  <c r="AF11"/>
  <c r="AF6"/>
  <c r="AF36"/>
  <c r="AF49"/>
  <c r="AF5"/>
  <c r="AG17"/>
  <c r="AF28"/>
  <c r="AF35"/>
  <c r="AF20"/>
  <c r="AF33"/>
  <c r="AF29"/>
  <c r="AF27"/>
  <c r="AF22"/>
  <c r="AF15"/>
  <c r="C84" i="7"/>
  <c r="AF4" i="8"/>
  <c r="AF48"/>
  <c r="AF44"/>
  <c r="AF3"/>
  <c r="AF45"/>
  <c r="AF43"/>
  <c r="AF8"/>
  <c r="AF7"/>
  <c r="AF38"/>
  <c r="AF18"/>
  <c r="AF37"/>
  <c r="U7" i="15"/>
  <c r="U2"/>
  <c r="U4"/>
  <c r="U3" i="14"/>
  <c r="U7"/>
  <c r="U6"/>
  <c r="U2" i="13"/>
  <c r="U6" i="12"/>
  <c r="U4"/>
  <c r="U2" i="11"/>
  <c r="U5" i="10"/>
  <c r="U4"/>
  <c r="U3"/>
  <c r="U4" i="16"/>
  <c r="U2"/>
  <c r="U7"/>
  <c r="U6"/>
  <c r="U6" i="15"/>
  <c r="U4" i="14"/>
  <c r="U4" i="13"/>
  <c r="U6"/>
  <c r="U4" i="11"/>
  <c r="U3"/>
  <c r="U6" i="10"/>
  <c r="U7"/>
  <c r="AH17" i="8"/>
  <c r="AH33"/>
  <c r="BH25"/>
  <c r="AH28"/>
  <c r="BK47"/>
  <c r="AH44"/>
  <c r="BH49"/>
  <c r="BH35"/>
  <c r="BH32"/>
  <c r="BK13"/>
  <c r="BH33"/>
  <c r="BH21"/>
  <c r="AH34"/>
  <c r="AH46"/>
  <c r="AH20"/>
  <c r="AH18"/>
  <c r="AH30"/>
  <c r="AH12"/>
  <c r="AH45"/>
  <c r="AH5"/>
  <c r="AH47"/>
  <c r="AH3"/>
  <c r="AH42"/>
  <c r="AH38"/>
  <c r="AH31"/>
  <c r="AH14"/>
  <c r="AH27"/>
  <c r="AH26"/>
  <c r="AH22"/>
  <c r="AH35"/>
  <c r="AH15"/>
  <c r="AH13"/>
  <c r="AH37"/>
  <c r="AH4"/>
  <c r="AH39"/>
  <c r="AH6"/>
  <c r="AH19"/>
  <c r="AH48"/>
  <c r="AH29"/>
  <c r="AH41"/>
  <c r="AH25"/>
  <c r="AH23"/>
  <c r="AH32"/>
  <c r="AH36"/>
  <c r="AH43"/>
  <c r="AH10"/>
  <c r="AH9"/>
  <c r="AH40"/>
  <c r="AH7"/>
  <c r="AH16"/>
  <c r="AH21"/>
  <c r="AH11"/>
  <c r="AH24"/>
  <c r="BK16"/>
  <c r="BK24"/>
  <c r="BH19"/>
  <c r="BK46"/>
  <c r="BH22"/>
  <c r="BH36"/>
  <c r="BK9"/>
  <c r="BK30"/>
  <c r="BH47"/>
  <c r="BH44"/>
  <c r="BH28"/>
  <c r="BK38"/>
  <c r="BH6"/>
  <c r="BH4"/>
  <c r="BK32"/>
  <c r="BK14"/>
  <c r="BK37"/>
  <c r="BK21"/>
  <c r="BK5"/>
  <c r="BH15"/>
  <c r="BH30"/>
  <c r="BK6"/>
  <c r="BK43"/>
  <c r="BH20"/>
  <c r="BK8"/>
  <c r="BK48"/>
  <c r="BH37"/>
  <c r="BH38"/>
  <c r="BK4"/>
  <c r="BK31"/>
  <c r="BH34"/>
  <c r="BH41"/>
  <c r="BH31"/>
  <c r="BH29"/>
  <c r="BK44"/>
  <c r="BK41"/>
  <c r="BK18"/>
  <c r="BK15"/>
  <c r="BK40"/>
  <c r="BH45"/>
  <c r="BK11"/>
  <c r="BK36"/>
  <c r="BH48"/>
  <c r="BH13"/>
  <c r="BK12"/>
  <c r="BH17"/>
  <c r="BH40"/>
  <c r="BH23"/>
  <c r="BH5"/>
  <c r="BK17"/>
  <c r="BH42"/>
  <c r="BK35"/>
  <c r="BH3"/>
  <c r="BH18"/>
  <c r="BK49"/>
  <c r="BK7"/>
  <c r="BH12"/>
  <c r="BH39"/>
  <c r="BH10"/>
  <c r="BK19"/>
  <c r="BH16"/>
  <c r="BH26"/>
  <c r="BK42"/>
  <c r="BK20"/>
  <c r="BH9"/>
  <c r="BK10"/>
  <c r="BH43"/>
  <c r="BK45"/>
  <c r="BH46"/>
  <c r="BH27"/>
  <c r="BK27"/>
  <c r="BH7"/>
  <c r="BK34"/>
  <c r="BK39"/>
  <c r="BK3"/>
  <c r="BK23"/>
  <c r="BK33"/>
  <c r="BK26"/>
  <c r="BK25"/>
  <c r="BK22"/>
  <c r="BH24"/>
  <c r="BK29"/>
  <c r="BH14"/>
  <c r="BH11"/>
  <c r="BK28"/>
  <c r="BH8"/>
</calcChain>
</file>

<file path=xl/sharedStrings.xml><?xml version="1.0" encoding="utf-8"?>
<sst xmlns="http://schemas.openxmlformats.org/spreadsheetml/2006/main" count="524" uniqueCount="120">
  <si>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</si>
  <si>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</si>
  <si>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</si>
  <si>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</si>
  <si>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</si>
  <si>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</si>
  <si>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</si>
  <si>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</si>
  <si>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</si>
  <si>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</si>
  <si>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</si>
  <si>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</si>
  <si>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</si>
  <si>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</si>
  <si>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</si>
  <si>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</si>
  <si>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</si>
  <si>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</si>
  <si>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</si>
  <si>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</si>
  <si>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</si>
  <si>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</si>
  <si>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</si>
  <si>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</si>
  <si>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</si>
  <si>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</si>
  <si>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</si>
  <si>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</si>
  <si>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</si>
  <si>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</si>
  <si>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</si>
  <si>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</si>
  <si>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</si>
  <si>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</si>
  <si>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</si>
  <si>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</si>
  <si>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</si>
  <si>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</si>
  <si>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</si>
  <si>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</si>
  <si>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</si>
  <si>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</si>
  <si>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</si>
  <si>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</si>
  <si>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</si>
  <si>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</si>
  <si>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</si>
  <si>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</si>
  <si>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</si>
  <si>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</si>
  <si>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</si>
  <si>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</si>
  <si>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</si>
  <si>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</si>
  <si>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</si>
  <si>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</si>
  <si>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</si>
  <si>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</si>
  <si>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</si>
  <si>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</si>
  <si>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</si>
  <si>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</si>
  <si>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</si>
  <si>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</si>
  <si>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</si>
  <si>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TOV%</t>
  </si>
  <si>
    <t>AST% : TOV%</t>
  </si>
  <si>
    <t>AST:TOV</t>
  </si>
  <si>
    <t>Marina Mabrey</t>
  </si>
  <si>
    <t>Chelsea Gray</t>
  </si>
  <si>
    <t>Paige Bueckers</t>
  </si>
  <si>
    <t>Allisha Gray</t>
  </si>
  <si>
    <t>Aaliyah Edwards</t>
  </si>
  <si>
    <t>Kelsey Plum</t>
  </si>
  <si>
    <t>Kahleah Copper</t>
  </si>
  <si>
    <t>Breanna Stewart</t>
  </si>
  <si>
    <t>Aliyah Boston</t>
  </si>
  <si>
    <t>Brittney Sykes</t>
  </si>
  <si>
    <t>Dearica Hamby</t>
  </si>
  <si>
    <t>Rhyne Howard</t>
  </si>
  <si>
    <t>Kelsey Mitchell</t>
  </si>
  <si>
    <t>Jackie Young</t>
  </si>
  <si>
    <t>Sonia Citron</t>
  </si>
  <si>
    <t>Dominique Malonga</t>
  </si>
  <si>
    <t>Rickea Jackson</t>
  </si>
  <si>
    <t>Shakira Austin</t>
  </si>
  <si>
    <t>Skylar Diggins</t>
  </si>
  <si>
    <t>Monique Billings</t>
  </si>
  <si>
    <t>Arike Ogunbowale</t>
  </si>
  <si>
    <t>Tiffany Hayes</t>
  </si>
  <si>
    <t>Alyssa Thomas</t>
  </si>
  <si>
    <t>Cameron Brink</t>
  </si>
  <si>
    <t>Kiki Iriafen</t>
  </si>
  <si>
    <t>Natasha Cloud</t>
  </si>
  <si>
    <t>Azurá Stevens</t>
  </si>
  <si>
    <t>Rae Burrell</t>
  </si>
  <si>
    <t>Ezi Magbegor</t>
  </si>
  <si>
    <t>Maddy Siegrist</t>
  </si>
  <si>
    <t>Naz Hillmon</t>
  </si>
  <si>
    <t>Brittney Griner</t>
  </si>
  <si>
    <t>Jordin Canada</t>
  </si>
  <si>
    <t>Veronica Burton</t>
  </si>
  <si>
    <t>Courtney Williams</t>
  </si>
  <si>
    <t>Erica Wheeler</t>
  </si>
  <si>
    <t>Alanna Smith</t>
  </si>
  <si>
    <t>Kate Martin</t>
  </si>
  <si>
    <t>Saniya Rivers</t>
  </si>
  <si>
    <t>Temi Fágbénlé</t>
  </si>
  <si>
    <t>Natisha Hiedeman</t>
  </si>
  <si>
    <t>Sug Sutton</t>
  </si>
  <si>
    <t>Dana Evans</t>
  </si>
  <si>
    <t>Li Yueru</t>
  </si>
  <si>
    <t>Lexie Hull</t>
  </si>
  <si>
    <t>Rebecca Allen</t>
  </si>
  <si>
    <t>Rachel Banham</t>
  </si>
  <si>
    <t>Aari McDonald</t>
  </si>
  <si>
    <t>Haley Jones</t>
  </si>
  <si>
    <t>Angel Reese</t>
  </si>
  <si>
    <t>Aziaha James</t>
  </si>
  <si>
    <t>Kiana Williams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</si>
</sst>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/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63</v>
      </c>
    </row>
    <row r="2" spans="1:2" ht="14.25">
      <c r="A2" s="1" t="s">
        <v>1</v>
      </c>
      <c r="B2" t="s">
        <v>62</v>
      </c>
    </row>
    <row r="3" spans="1:2" ht="14.25">
      <c r="A3" s="1" t="s">
        <v>60</v>
      </c>
      <c r="B3" t="s">
        <v>61</v>
      </c>
    </row>
    <row r="4" spans="1:2" ht="14.25">
      <c r="A4" s="1"/>
      <c r="B4" s="1"/>
    </row>
    <row r="6" spans="1:2" ht="15" customHeight="1">
      <c r="B6" s="8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E87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4.25"/>
  <cols>
    <col min="1" max="1" width="5.625" customWidth="1"/>
    <col min="2" max="2" width="18.625" customWidth="1"/>
    <col min="3" max="21" width="7.625" customWidth="1"/>
  </cols>
  <sheetData>
    <row r="1" spans="1:21" ht="26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 ht="35.1" customHeight="1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>
      <c r="A3" s="2">
        <v>1</v>
      </c>
      <c r="B3" s="5" t="s">
        <v>70</v>
      </c>
      <c r="C3" s="2">
        <v>12</v>
      </c>
      <c r="D3" s="2">
        <v>241</v>
      </c>
      <c r="E3" s="2">
        <v>294</v>
      </c>
      <c r="F3" s="2">
        <v>110</v>
      </c>
      <c r="G3" s="2">
        <v>207</v>
      </c>
      <c r="H3" s="2">
        <v>17</v>
      </c>
      <c r="I3" s="2">
        <v>46</v>
      </c>
      <c r="J3" s="2">
        <v>36</v>
      </c>
      <c r="K3" s="2">
        <v>39</v>
      </c>
      <c r="L3" s="2">
        <v>6</v>
      </c>
      <c r="M3" s="2">
        <v>73</v>
      </c>
      <c r="N3" s="2">
        <v>79</v>
      </c>
      <c r="O3" s="2">
        <v>73</v>
      </c>
      <c r="P3" s="2">
        <v>10</v>
      </c>
      <c r="Q3" s="2">
        <v>8</v>
      </c>
      <c r="R3" s="2">
        <v>30</v>
      </c>
      <c r="S3" s="2">
        <v>37</v>
      </c>
      <c r="T3" s="2">
        <f>F3-H3</f>
        <v>93</v>
      </c>
      <c r="U3" s="2">
        <f>G3-I3</f>
        <v>161</v>
      </c>
    </row>
    <row r="4" spans="1:21">
      <c r="A4" s="2">
        <v>2</v>
      </c>
      <c r="B4" s="5" t="s">
        <v>69</v>
      </c>
      <c r="C4" s="2">
        <v>12</v>
      </c>
      <c r="D4" s="2">
        <v>266</v>
      </c>
      <c r="E4" s="2">
        <v>292</v>
      </c>
      <c r="F4" s="2">
        <v>105</v>
      </c>
      <c r="G4" s="2">
        <v>208</v>
      </c>
      <c r="H4" s="2">
        <v>37</v>
      </c>
      <c r="I4" s="2">
        <v>84</v>
      </c>
      <c r="J4" s="2">
        <v>22</v>
      </c>
      <c r="K4" s="2">
        <v>23</v>
      </c>
      <c r="L4" s="2">
        <v>9</v>
      </c>
      <c r="M4" s="2">
        <v>60</v>
      </c>
      <c r="N4" s="2">
        <v>69</v>
      </c>
      <c r="O4" s="2">
        <v>77</v>
      </c>
      <c r="P4" s="2">
        <v>17</v>
      </c>
      <c r="Q4" s="2">
        <v>6</v>
      </c>
      <c r="R4" s="2">
        <v>32</v>
      </c>
      <c r="S4" s="2">
        <v>31</v>
      </c>
      <c r="T4" s="2">
        <f t="shared" ref="T4:T54" si="0">F4-H4</f>
        <v>68</v>
      </c>
      <c r="U4" s="2">
        <f t="shared" ref="U4:U54" si="1">G4-I4</f>
        <v>124</v>
      </c>
    </row>
    <row r="5" spans="1:21">
      <c r="A5" s="2">
        <v>3</v>
      </c>
      <c r="B5" s="5" t="s">
        <v>68</v>
      </c>
      <c r="C5" s="2">
        <v>11</v>
      </c>
      <c r="D5" s="2">
        <v>221</v>
      </c>
      <c r="E5" s="2">
        <v>264</v>
      </c>
      <c r="F5" s="2">
        <v>98</v>
      </c>
      <c r="G5" s="2">
        <v>233</v>
      </c>
      <c r="H5" s="2">
        <v>37</v>
      </c>
      <c r="I5" s="2">
        <v>116</v>
      </c>
      <c r="J5" s="2">
        <v>19</v>
      </c>
      <c r="K5" s="2">
        <v>24</v>
      </c>
      <c r="L5" s="2">
        <v>10</v>
      </c>
      <c r="M5" s="2">
        <v>65</v>
      </c>
      <c r="N5" s="2">
        <v>75</v>
      </c>
      <c r="O5" s="2">
        <v>54</v>
      </c>
      <c r="P5" s="2">
        <v>7</v>
      </c>
      <c r="Q5" s="2">
        <v>2</v>
      </c>
      <c r="R5" s="2">
        <v>38</v>
      </c>
      <c r="S5" s="2">
        <v>38</v>
      </c>
      <c r="T5" s="2">
        <f t="shared" si="0"/>
        <v>61</v>
      </c>
      <c r="U5" s="2">
        <f t="shared" si="1"/>
        <v>117</v>
      </c>
    </row>
    <row r="6" spans="1:21">
      <c r="A6" s="2">
        <v>4</v>
      </c>
      <c r="B6" s="5" t="s">
        <v>73</v>
      </c>
      <c r="C6" s="2">
        <v>12</v>
      </c>
      <c r="D6" s="2">
        <v>223</v>
      </c>
      <c r="E6" s="2">
        <v>259</v>
      </c>
      <c r="F6" s="2">
        <v>98</v>
      </c>
      <c r="G6" s="2">
        <v>200</v>
      </c>
      <c r="H6" s="2">
        <v>30</v>
      </c>
      <c r="I6" s="2">
        <v>80</v>
      </c>
      <c r="J6" s="2">
        <v>20</v>
      </c>
      <c r="K6" s="2">
        <v>22</v>
      </c>
      <c r="L6" s="2">
        <v>10</v>
      </c>
      <c r="M6" s="2">
        <v>53</v>
      </c>
      <c r="N6" s="2">
        <v>63</v>
      </c>
      <c r="O6" s="2">
        <v>62</v>
      </c>
      <c r="P6" s="2">
        <v>5</v>
      </c>
      <c r="Q6" s="2">
        <v>1</v>
      </c>
      <c r="R6" s="2">
        <v>19</v>
      </c>
      <c r="S6" s="2">
        <v>37</v>
      </c>
      <c r="T6" s="2">
        <f t="shared" si="0"/>
        <v>68</v>
      </c>
      <c r="U6" s="2">
        <f t="shared" si="1"/>
        <v>120</v>
      </c>
    </row>
    <row r="7" spans="1:21">
      <c r="A7" s="2">
        <v>5</v>
      </c>
      <c r="B7" s="5" t="s">
        <v>71</v>
      </c>
      <c r="C7" s="2">
        <v>12</v>
      </c>
      <c r="D7" s="2">
        <v>190</v>
      </c>
      <c r="E7" s="2">
        <v>257</v>
      </c>
      <c r="F7" s="2">
        <v>89</v>
      </c>
      <c r="G7" s="2">
        <v>187</v>
      </c>
      <c r="H7" s="2">
        <v>30</v>
      </c>
      <c r="I7" s="2">
        <v>80</v>
      </c>
      <c r="J7" s="2">
        <v>25</v>
      </c>
      <c r="K7" s="2">
        <v>29</v>
      </c>
      <c r="L7" s="2">
        <v>11</v>
      </c>
      <c r="M7" s="2">
        <v>43</v>
      </c>
      <c r="N7" s="2">
        <v>54</v>
      </c>
      <c r="O7" s="2">
        <v>35</v>
      </c>
      <c r="P7" s="2">
        <v>12</v>
      </c>
      <c r="Q7" s="2">
        <v>8</v>
      </c>
      <c r="R7" s="2">
        <v>20</v>
      </c>
      <c r="S7" s="2">
        <v>22</v>
      </c>
      <c r="T7" s="2">
        <f t="shared" si="0"/>
        <v>59</v>
      </c>
      <c r="U7" s="2">
        <f t="shared" si="1"/>
        <v>107</v>
      </c>
    </row>
    <row r="8" spans="1:21">
      <c r="A8" s="2">
        <v>6</v>
      </c>
      <c r="B8" s="5" t="s">
        <v>75</v>
      </c>
      <c r="C8" s="2">
        <v>12</v>
      </c>
      <c r="D8" s="2">
        <v>203</v>
      </c>
      <c r="E8" s="2">
        <v>248</v>
      </c>
      <c r="F8" s="2">
        <v>90</v>
      </c>
      <c r="G8" s="2">
        <v>181</v>
      </c>
      <c r="H8" s="2">
        <v>13</v>
      </c>
      <c r="I8" s="2">
        <v>43</v>
      </c>
      <c r="J8" s="2">
        <v>31</v>
      </c>
      <c r="K8" s="2">
        <v>35</v>
      </c>
      <c r="L8" s="2">
        <v>17</v>
      </c>
      <c r="M8" s="2">
        <v>99</v>
      </c>
      <c r="N8" s="2">
        <v>116</v>
      </c>
      <c r="O8" s="2">
        <v>33</v>
      </c>
      <c r="P8" s="2">
        <v>11</v>
      </c>
      <c r="Q8" s="2">
        <v>7</v>
      </c>
      <c r="R8" s="2">
        <v>22</v>
      </c>
      <c r="S8" s="2">
        <v>23</v>
      </c>
      <c r="T8" s="2">
        <f t="shared" si="0"/>
        <v>77</v>
      </c>
      <c r="U8" s="2">
        <f t="shared" si="1"/>
        <v>138</v>
      </c>
    </row>
    <row r="9" spans="1:21">
      <c r="A9" s="2">
        <v>7</v>
      </c>
      <c r="B9" s="5" t="s">
        <v>76</v>
      </c>
      <c r="C9" s="2">
        <v>12</v>
      </c>
      <c r="D9" s="2">
        <v>217</v>
      </c>
      <c r="E9" s="2">
        <v>235</v>
      </c>
      <c r="F9" s="2">
        <v>98</v>
      </c>
      <c r="G9" s="2">
        <v>180</v>
      </c>
      <c r="H9" s="2">
        <v>13</v>
      </c>
      <c r="I9" s="2">
        <v>41</v>
      </c>
      <c r="J9" s="2">
        <v>14</v>
      </c>
      <c r="K9" s="2">
        <v>18</v>
      </c>
      <c r="L9" s="2">
        <v>24</v>
      </c>
      <c r="M9" s="2">
        <v>99</v>
      </c>
      <c r="N9" s="2">
        <v>123</v>
      </c>
      <c r="O9" s="2">
        <v>30</v>
      </c>
      <c r="P9" s="2">
        <v>13</v>
      </c>
      <c r="Q9" s="2">
        <v>24</v>
      </c>
      <c r="R9" s="2">
        <v>17</v>
      </c>
      <c r="S9" s="2">
        <v>39</v>
      </c>
      <c r="T9" s="2">
        <f t="shared" si="0"/>
        <v>85</v>
      </c>
      <c r="U9" s="2">
        <f t="shared" si="1"/>
        <v>139</v>
      </c>
    </row>
    <row r="10" spans="1:21">
      <c r="A10" s="2">
        <v>8</v>
      </c>
      <c r="B10" s="5" t="s">
        <v>77</v>
      </c>
      <c r="C10" s="2">
        <v>12</v>
      </c>
      <c r="D10" s="2">
        <v>193</v>
      </c>
      <c r="E10" s="2">
        <v>235</v>
      </c>
      <c r="F10" s="2">
        <v>87</v>
      </c>
      <c r="G10" s="2">
        <v>178</v>
      </c>
      <c r="H10" s="2">
        <v>24</v>
      </c>
      <c r="I10" s="2">
        <v>62</v>
      </c>
      <c r="J10" s="2">
        <v>20</v>
      </c>
      <c r="K10" s="2">
        <v>25</v>
      </c>
      <c r="L10" s="2">
        <v>5</v>
      </c>
      <c r="M10" s="2">
        <v>44</v>
      </c>
      <c r="N10" s="2">
        <v>49</v>
      </c>
      <c r="O10" s="2">
        <v>27</v>
      </c>
      <c r="P10" s="2">
        <v>18</v>
      </c>
      <c r="Q10" s="2">
        <v>3</v>
      </c>
      <c r="R10" s="2">
        <v>25</v>
      </c>
      <c r="S10" s="2">
        <v>40</v>
      </c>
      <c r="T10" s="2">
        <f t="shared" si="0"/>
        <v>63</v>
      </c>
      <c r="U10" s="2">
        <f t="shared" si="1"/>
        <v>116</v>
      </c>
    </row>
    <row r="11" spans="1:21">
      <c r="A11" s="2">
        <v>9</v>
      </c>
      <c r="B11" s="5" t="s">
        <v>78</v>
      </c>
      <c r="C11" s="2">
        <v>12</v>
      </c>
      <c r="D11" s="2">
        <v>185</v>
      </c>
      <c r="E11" s="2">
        <v>215</v>
      </c>
      <c r="F11" s="2">
        <v>87</v>
      </c>
      <c r="G11" s="2">
        <v>160</v>
      </c>
      <c r="H11" s="2">
        <v>3</v>
      </c>
      <c r="I11" s="2">
        <v>18</v>
      </c>
      <c r="J11" s="2">
        <v>21</v>
      </c>
      <c r="K11" s="2">
        <v>35</v>
      </c>
      <c r="L11" s="2">
        <v>20</v>
      </c>
      <c r="M11" s="2">
        <v>79</v>
      </c>
      <c r="N11" s="2">
        <v>99</v>
      </c>
      <c r="O11" s="2">
        <v>13</v>
      </c>
      <c r="P11" s="2">
        <v>12</v>
      </c>
      <c r="Q11" s="2">
        <v>0</v>
      </c>
      <c r="R11" s="2">
        <v>12</v>
      </c>
      <c r="S11" s="2">
        <v>38</v>
      </c>
      <c r="T11" s="2">
        <f t="shared" si="0"/>
        <v>84</v>
      </c>
      <c r="U11" s="2">
        <f t="shared" si="1"/>
        <v>142</v>
      </c>
    </row>
    <row r="12" spans="1:21">
      <c r="A12" s="2">
        <v>10</v>
      </c>
      <c r="B12" s="5" t="s">
        <v>80</v>
      </c>
      <c r="C12" s="2">
        <v>12</v>
      </c>
      <c r="D12" s="2">
        <v>214</v>
      </c>
      <c r="E12" s="2">
        <v>214</v>
      </c>
      <c r="F12" s="2">
        <v>89</v>
      </c>
      <c r="G12" s="2">
        <v>174</v>
      </c>
      <c r="H12" s="2">
        <v>22</v>
      </c>
      <c r="I12" s="2">
        <v>59</v>
      </c>
      <c r="J12" s="2">
        <v>8</v>
      </c>
      <c r="K12" s="2">
        <v>14</v>
      </c>
      <c r="L12" s="2">
        <v>6</v>
      </c>
      <c r="M12" s="2">
        <v>28</v>
      </c>
      <c r="N12" s="2">
        <v>34</v>
      </c>
      <c r="O12" s="2">
        <v>26</v>
      </c>
      <c r="P12" s="2">
        <v>12</v>
      </c>
      <c r="Q12" s="2">
        <v>2</v>
      </c>
      <c r="R12" s="2">
        <v>11</v>
      </c>
      <c r="S12" s="2">
        <v>30</v>
      </c>
      <c r="T12" s="2">
        <f t="shared" si="0"/>
        <v>67</v>
      </c>
      <c r="U12" s="2">
        <f t="shared" si="1"/>
        <v>115</v>
      </c>
    </row>
    <row r="13" spans="1:21">
      <c r="A13" s="2">
        <v>11</v>
      </c>
      <c r="B13" s="5" t="s">
        <v>72</v>
      </c>
      <c r="C13" s="2">
        <v>10</v>
      </c>
      <c r="D13" s="2">
        <v>185</v>
      </c>
      <c r="E13" s="2">
        <v>213</v>
      </c>
      <c r="F13" s="2">
        <v>87</v>
      </c>
      <c r="G13" s="2">
        <v>153</v>
      </c>
      <c r="H13" s="2">
        <v>1</v>
      </c>
      <c r="I13" s="2">
        <v>4</v>
      </c>
      <c r="J13" s="2">
        <v>22</v>
      </c>
      <c r="K13" s="2">
        <v>30</v>
      </c>
      <c r="L13" s="2">
        <v>38</v>
      </c>
      <c r="M13" s="2">
        <v>87</v>
      </c>
      <c r="N13" s="2">
        <v>125</v>
      </c>
      <c r="O13" s="2">
        <v>18</v>
      </c>
      <c r="P13" s="2">
        <v>7</v>
      </c>
      <c r="Q13" s="2">
        <v>4</v>
      </c>
      <c r="R13" s="2">
        <v>32</v>
      </c>
      <c r="S13" s="2">
        <v>35</v>
      </c>
      <c r="T13" s="2">
        <f t="shared" si="0"/>
        <v>86</v>
      </c>
      <c r="U13" s="2">
        <f t="shared" si="1"/>
        <v>149</v>
      </c>
    </row>
    <row r="14" spans="1:21">
      <c r="A14" s="2">
        <v>12</v>
      </c>
      <c r="B14" s="5" t="s">
        <v>81</v>
      </c>
      <c r="C14" s="2">
        <v>12</v>
      </c>
      <c r="D14" s="2">
        <v>187</v>
      </c>
      <c r="E14" s="2">
        <v>202</v>
      </c>
      <c r="F14" s="2">
        <v>75</v>
      </c>
      <c r="G14" s="2">
        <v>164</v>
      </c>
      <c r="H14" s="2">
        <v>21</v>
      </c>
      <c r="I14" s="2">
        <v>62</v>
      </c>
      <c r="J14" s="2">
        <v>18</v>
      </c>
      <c r="K14" s="2">
        <v>20</v>
      </c>
      <c r="L14" s="2">
        <v>10</v>
      </c>
      <c r="M14" s="2">
        <v>32</v>
      </c>
      <c r="N14" s="2">
        <v>42</v>
      </c>
      <c r="O14" s="2">
        <v>42</v>
      </c>
      <c r="P14" s="2">
        <v>8</v>
      </c>
      <c r="Q14" s="2">
        <v>2</v>
      </c>
      <c r="R14" s="2">
        <v>19</v>
      </c>
      <c r="S14" s="2">
        <v>24</v>
      </c>
      <c r="T14" s="2">
        <f t="shared" si="0"/>
        <v>54</v>
      </c>
      <c r="U14" s="2">
        <f t="shared" si="1"/>
        <v>102</v>
      </c>
    </row>
    <row r="15" spans="1:21">
      <c r="A15" s="2">
        <v>13</v>
      </c>
      <c r="B15" s="5" t="s">
        <v>85</v>
      </c>
      <c r="C15" s="2">
        <v>12</v>
      </c>
      <c r="D15" s="2">
        <v>198</v>
      </c>
      <c r="E15" s="2">
        <v>198</v>
      </c>
      <c r="F15" s="2">
        <v>79</v>
      </c>
      <c r="G15" s="2">
        <v>138</v>
      </c>
      <c r="H15" s="2">
        <v>0</v>
      </c>
      <c r="I15" s="2">
        <v>6</v>
      </c>
      <c r="J15" s="2">
        <v>24</v>
      </c>
      <c r="K15" s="2">
        <v>36</v>
      </c>
      <c r="L15" s="2">
        <v>18</v>
      </c>
      <c r="M15" s="2">
        <v>86</v>
      </c>
      <c r="N15" s="2">
        <v>104</v>
      </c>
      <c r="O15" s="2">
        <v>17</v>
      </c>
      <c r="P15" s="2">
        <v>4</v>
      </c>
      <c r="Q15" s="2">
        <v>13</v>
      </c>
      <c r="R15" s="2">
        <v>20</v>
      </c>
      <c r="S15" s="2">
        <v>29</v>
      </c>
      <c r="T15" s="2">
        <f t="shared" si="0"/>
        <v>79</v>
      </c>
      <c r="U15" s="2">
        <f t="shared" si="1"/>
        <v>132</v>
      </c>
    </row>
    <row r="16" spans="1:21">
      <c r="A16" s="2">
        <v>14</v>
      </c>
      <c r="B16" s="5" t="s">
        <v>83</v>
      </c>
      <c r="C16" s="2">
        <v>12</v>
      </c>
      <c r="D16" s="2">
        <v>175</v>
      </c>
      <c r="E16" s="2">
        <v>196</v>
      </c>
      <c r="F16" s="2">
        <v>83</v>
      </c>
      <c r="G16" s="2">
        <v>151</v>
      </c>
      <c r="H16" s="2">
        <v>5</v>
      </c>
      <c r="I16" s="2">
        <v>17</v>
      </c>
      <c r="J16" s="2">
        <v>14</v>
      </c>
      <c r="K16" s="2">
        <v>17</v>
      </c>
      <c r="L16" s="2">
        <v>27</v>
      </c>
      <c r="M16" s="2">
        <v>91</v>
      </c>
      <c r="N16" s="2">
        <v>118</v>
      </c>
      <c r="O16" s="2">
        <v>10</v>
      </c>
      <c r="P16" s="2">
        <v>6</v>
      </c>
      <c r="Q16" s="2">
        <v>13</v>
      </c>
      <c r="R16" s="2">
        <v>26</v>
      </c>
      <c r="S16" s="2">
        <v>30</v>
      </c>
      <c r="T16" s="2">
        <f t="shared" si="0"/>
        <v>78</v>
      </c>
      <c r="U16" s="2">
        <f t="shared" si="1"/>
        <v>134</v>
      </c>
    </row>
    <row r="17" spans="1:21">
      <c r="A17" s="2">
        <v>15</v>
      </c>
      <c r="B17" s="5" t="s">
        <v>79</v>
      </c>
      <c r="C17" s="2">
        <v>11</v>
      </c>
      <c r="D17" s="2">
        <v>227</v>
      </c>
      <c r="E17" s="2">
        <v>192</v>
      </c>
      <c r="F17" s="2">
        <v>65</v>
      </c>
      <c r="G17" s="2">
        <v>163</v>
      </c>
      <c r="H17" s="2">
        <v>33</v>
      </c>
      <c r="I17" s="2">
        <v>89</v>
      </c>
      <c r="J17" s="2">
        <v>17</v>
      </c>
      <c r="K17" s="2">
        <v>20</v>
      </c>
      <c r="L17" s="2">
        <v>6</v>
      </c>
      <c r="M17" s="2">
        <v>47</v>
      </c>
      <c r="N17" s="2">
        <v>53</v>
      </c>
      <c r="O17" s="2">
        <v>33</v>
      </c>
      <c r="P17" s="2">
        <v>15</v>
      </c>
      <c r="Q17" s="2">
        <v>8</v>
      </c>
      <c r="R17" s="2">
        <v>16</v>
      </c>
      <c r="S17" s="2">
        <v>26</v>
      </c>
      <c r="T17" s="2">
        <f t="shared" si="0"/>
        <v>32</v>
      </c>
      <c r="U17" s="2">
        <f t="shared" si="1"/>
        <v>74</v>
      </c>
    </row>
    <row r="18" spans="1:21">
      <c r="A18" s="2">
        <v>16</v>
      </c>
      <c r="B18" s="5" t="s">
        <v>82</v>
      </c>
      <c r="C18" s="2">
        <v>12</v>
      </c>
      <c r="D18" s="2">
        <v>213</v>
      </c>
      <c r="E18" s="2">
        <v>191</v>
      </c>
      <c r="F18" s="2">
        <v>75</v>
      </c>
      <c r="G18" s="2">
        <v>164</v>
      </c>
      <c r="H18" s="2">
        <v>12</v>
      </c>
      <c r="I18" s="2">
        <v>55</v>
      </c>
      <c r="J18" s="2">
        <v>15</v>
      </c>
      <c r="K18" s="2">
        <v>17</v>
      </c>
      <c r="L18" s="2">
        <v>6</v>
      </c>
      <c r="M18" s="2">
        <v>45</v>
      </c>
      <c r="N18" s="2">
        <v>51</v>
      </c>
      <c r="O18" s="2">
        <v>40</v>
      </c>
      <c r="P18" s="2">
        <v>12</v>
      </c>
      <c r="Q18" s="2">
        <v>12</v>
      </c>
      <c r="R18" s="2">
        <v>15</v>
      </c>
      <c r="S18" s="2">
        <v>37</v>
      </c>
      <c r="T18" s="2">
        <f t="shared" si="0"/>
        <v>63</v>
      </c>
      <c r="U18" s="2">
        <f t="shared" si="1"/>
        <v>109</v>
      </c>
    </row>
    <row r="19" spans="1:21">
      <c r="A19" s="2">
        <v>17</v>
      </c>
      <c r="B19" s="5" t="s">
        <v>74</v>
      </c>
      <c r="C19" s="2">
        <v>9</v>
      </c>
      <c r="D19" s="2">
        <v>161</v>
      </c>
      <c r="E19" s="2">
        <v>183</v>
      </c>
      <c r="F19" s="2">
        <v>70</v>
      </c>
      <c r="G19" s="2">
        <v>145</v>
      </c>
      <c r="H19" s="2">
        <v>20</v>
      </c>
      <c r="I19" s="2">
        <v>50</v>
      </c>
      <c r="J19" s="2">
        <v>12</v>
      </c>
      <c r="K19" s="2">
        <v>17</v>
      </c>
      <c r="L19" s="2">
        <v>7</v>
      </c>
      <c r="M19" s="2">
        <v>34</v>
      </c>
      <c r="N19" s="2">
        <v>41</v>
      </c>
      <c r="O19" s="2">
        <v>6</v>
      </c>
      <c r="P19" s="2">
        <v>1</v>
      </c>
      <c r="Q19" s="2">
        <v>3</v>
      </c>
      <c r="R19" s="2">
        <v>7</v>
      </c>
      <c r="S19" s="2">
        <v>35</v>
      </c>
      <c r="T19" s="2">
        <f t="shared" si="0"/>
        <v>50</v>
      </c>
      <c r="U19" s="2">
        <f t="shared" si="1"/>
        <v>95</v>
      </c>
    </row>
    <row r="20" spans="1:21">
      <c r="A20" s="2">
        <v>18</v>
      </c>
      <c r="B20" s="5" t="s">
        <v>87</v>
      </c>
      <c r="C20" s="2">
        <v>12</v>
      </c>
      <c r="D20" s="2">
        <v>163</v>
      </c>
      <c r="E20" s="2">
        <v>172</v>
      </c>
      <c r="F20" s="2">
        <v>65</v>
      </c>
      <c r="G20" s="2">
        <v>137</v>
      </c>
      <c r="H20" s="2">
        <v>6</v>
      </c>
      <c r="I20" s="2">
        <v>17</v>
      </c>
      <c r="J20" s="2">
        <v>19</v>
      </c>
      <c r="K20" s="2">
        <v>22</v>
      </c>
      <c r="L20" s="2">
        <v>25</v>
      </c>
      <c r="M20" s="2">
        <v>100</v>
      </c>
      <c r="N20" s="2">
        <v>125</v>
      </c>
      <c r="O20" s="2">
        <v>13</v>
      </c>
      <c r="P20" s="2">
        <v>11</v>
      </c>
      <c r="Q20" s="2">
        <v>5</v>
      </c>
      <c r="R20" s="2">
        <v>20</v>
      </c>
      <c r="S20" s="2">
        <v>32</v>
      </c>
      <c r="T20" s="2">
        <f t="shared" si="0"/>
        <v>59</v>
      </c>
      <c r="U20" s="2">
        <f t="shared" si="1"/>
        <v>120</v>
      </c>
    </row>
    <row r="21" spans="1:21">
      <c r="A21" s="2">
        <v>19</v>
      </c>
      <c r="B21" s="5" t="s">
        <v>88</v>
      </c>
      <c r="C21" s="2">
        <v>12</v>
      </c>
      <c r="D21" s="2">
        <v>154</v>
      </c>
      <c r="E21" s="2">
        <v>170</v>
      </c>
      <c r="F21" s="2">
        <v>63</v>
      </c>
      <c r="G21" s="2">
        <v>151</v>
      </c>
      <c r="H21" s="2">
        <v>23</v>
      </c>
      <c r="I21" s="2">
        <v>66</v>
      </c>
      <c r="J21" s="2">
        <v>11</v>
      </c>
      <c r="K21" s="2">
        <v>14</v>
      </c>
      <c r="L21" s="2">
        <v>10</v>
      </c>
      <c r="M21" s="2">
        <v>25</v>
      </c>
      <c r="N21" s="2">
        <v>35</v>
      </c>
      <c r="O21" s="2">
        <v>27</v>
      </c>
      <c r="P21" s="2">
        <v>15</v>
      </c>
      <c r="Q21" s="2">
        <v>1</v>
      </c>
      <c r="R21" s="2">
        <v>17</v>
      </c>
      <c r="S21" s="2">
        <v>29</v>
      </c>
      <c r="T21" s="2">
        <f t="shared" si="0"/>
        <v>40</v>
      </c>
      <c r="U21" s="2">
        <f t="shared" si="1"/>
        <v>85</v>
      </c>
    </row>
    <row r="22" spans="1:21">
      <c r="A22" s="2">
        <v>20</v>
      </c>
      <c r="B22" s="5" t="s">
        <v>84</v>
      </c>
      <c r="C22" s="2">
        <v>10</v>
      </c>
      <c r="D22" s="2">
        <v>190</v>
      </c>
      <c r="E22" s="2">
        <v>162</v>
      </c>
      <c r="F22" s="2">
        <v>60</v>
      </c>
      <c r="G22" s="2">
        <v>144</v>
      </c>
      <c r="H22" s="2">
        <v>15</v>
      </c>
      <c r="I22" s="2">
        <v>39</v>
      </c>
      <c r="J22" s="2">
        <v>14</v>
      </c>
      <c r="K22" s="2">
        <v>17</v>
      </c>
      <c r="L22" s="2">
        <v>8</v>
      </c>
      <c r="M22" s="2">
        <v>54</v>
      </c>
      <c r="N22" s="2">
        <v>62</v>
      </c>
      <c r="O22" s="2">
        <v>30</v>
      </c>
      <c r="P22" s="2">
        <v>8</v>
      </c>
      <c r="Q22" s="2">
        <v>3</v>
      </c>
      <c r="R22" s="2">
        <v>15</v>
      </c>
      <c r="S22" s="2">
        <v>23</v>
      </c>
      <c r="T22" s="2">
        <f t="shared" si="0"/>
        <v>45</v>
      </c>
      <c r="U22" s="2">
        <f t="shared" si="1"/>
        <v>105</v>
      </c>
    </row>
    <row r="23" spans="1:21">
      <c r="A23" s="2">
        <v>21</v>
      </c>
      <c r="B23" s="5" t="s">
        <v>86</v>
      </c>
      <c r="C23" s="2">
        <v>9</v>
      </c>
      <c r="D23" s="2">
        <v>147</v>
      </c>
      <c r="E23" s="2">
        <v>146</v>
      </c>
      <c r="F23" s="2">
        <v>48</v>
      </c>
      <c r="G23" s="2">
        <v>130</v>
      </c>
      <c r="H23" s="2">
        <v>9</v>
      </c>
      <c r="I23" s="2">
        <v>40</v>
      </c>
      <c r="J23" s="2">
        <v>23</v>
      </c>
      <c r="K23" s="2">
        <v>26</v>
      </c>
      <c r="L23" s="2">
        <v>11</v>
      </c>
      <c r="M23" s="2">
        <v>21</v>
      </c>
      <c r="N23" s="2">
        <v>32</v>
      </c>
      <c r="O23" s="2">
        <v>38</v>
      </c>
      <c r="P23" s="2">
        <v>9</v>
      </c>
      <c r="Q23" s="2">
        <v>9</v>
      </c>
      <c r="R23" s="2">
        <v>17</v>
      </c>
      <c r="S23" s="2">
        <v>28</v>
      </c>
      <c r="T23" s="2">
        <f t="shared" si="0"/>
        <v>39</v>
      </c>
      <c r="U23" s="2">
        <f t="shared" si="1"/>
        <v>90</v>
      </c>
    </row>
    <row r="24" spans="1:21">
      <c r="A24" s="2">
        <v>22</v>
      </c>
      <c r="B24" s="5" t="s">
        <v>90</v>
      </c>
      <c r="C24" s="2">
        <v>12</v>
      </c>
      <c r="D24" s="2">
        <v>174</v>
      </c>
      <c r="E24" s="2">
        <v>140</v>
      </c>
      <c r="F24" s="2">
        <v>63</v>
      </c>
      <c r="G24" s="2">
        <v>96</v>
      </c>
      <c r="H24" s="2">
        <v>0</v>
      </c>
      <c r="I24" s="2">
        <v>0</v>
      </c>
      <c r="J24" s="2">
        <v>8</v>
      </c>
      <c r="K24" s="2">
        <v>12</v>
      </c>
      <c r="L24" s="2">
        <v>15</v>
      </c>
      <c r="M24" s="2">
        <v>82</v>
      </c>
      <c r="N24" s="2">
        <v>97</v>
      </c>
      <c r="O24" s="2">
        <v>42</v>
      </c>
      <c r="P24" s="2">
        <v>10</v>
      </c>
      <c r="Q24" s="2">
        <v>3</v>
      </c>
      <c r="R24" s="2">
        <v>16</v>
      </c>
      <c r="S24" s="2">
        <v>19</v>
      </c>
      <c r="T24" s="2">
        <f t="shared" si="0"/>
        <v>63</v>
      </c>
      <c r="U24" s="2">
        <f t="shared" si="1"/>
        <v>96</v>
      </c>
    </row>
    <row r="25" spans="1:21">
      <c r="A25" s="2">
        <v>23</v>
      </c>
      <c r="B25" s="5" t="s">
        <v>92</v>
      </c>
      <c r="C25" s="2">
        <v>12</v>
      </c>
      <c r="D25" s="2">
        <v>124</v>
      </c>
      <c r="E25" s="2">
        <v>137</v>
      </c>
      <c r="F25" s="2">
        <v>53</v>
      </c>
      <c r="G25" s="2">
        <v>113</v>
      </c>
      <c r="H25" s="2">
        <v>2</v>
      </c>
      <c r="I25" s="2">
        <v>13</v>
      </c>
      <c r="J25" s="2">
        <v>15</v>
      </c>
      <c r="K25" s="2">
        <v>26</v>
      </c>
      <c r="L25" s="2">
        <v>21</v>
      </c>
      <c r="M25" s="2">
        <v>35</v>
      </c>
      <c r="N25" s="2">
        <v>56</v>
      </c>
      <c r="O25" s="2">
        <v>8</v>
      </c>
      <c r="P25" s="2">
        <v>5</v>
      </c>
      <c r="Q25" s="2">
        <v>1</v>
      </c>
      <c r="R25" s="2">
        <v>16</v>
      </c>
      <c r="S25" s="2">
        <v>35</v>
      </c>
      <c r="T25" s="2">
        <f t="shared" si="0"/>
        <v>51</v>
      </c>
      <c r="U25" s="2">
        <f t="shared" si="1"/>
        <v>100</v>
      </c>
    </row>
    <row r="26" spans="1:21">
      <c r="A26" s="2">
        <v>24</v>
      </c>
      <c r="B26" s="5" t="s">
        <v>95</v>
      </c>
      <c r="C26" s="2">
        <v>12</v>
      </c>
      <c r="D26" s="2">
        <v>134</v>
      </c>
      <c r="E26" s="2">
        <v>126</v>
      </c>
      <c r="F26" s="2">
        <v>46</v>
      </c>
      <c r="G26" s="2">
        <v>108</v>
      </c>
      <c r="H26" s="2">
        <v>10</v>
      </c>
      <c r="I26" s="2">
        <v>29</v>
      </c>
      <c r="J26" s="2">
        <v>13</v>
      </c>
      <c r="K26" s="2">
        <v>15</v>
      </c>
      <c r="L26" s="2">
        <v>11</v>
      </c>
      <c r="M26" s="2">
        <v>31</v>
      </c>
      <c r="N26" s="2">
        <v>42</v>
      </c>
      <c r="O26" s="2">
        <v>21</v>
      </c>
      <c r="P26" s="2">
        <v>14</v>
      </c>
      <c r="Q26" s="2">
        <v>3</v>
      </c>
      <c r="R26" s="2">
        <v>11</v>
      </c>
      <c r="S26" s="2">
        <v>20</v>
      </c>
      <c r="T26" s="2">
        <f t="shared" si="0"/>
        <v>36</v>
      </c>
      <c r="U26" s="2">
        <f t="shared" si="1"/>
        <v>79</v>
      </c>
    </row>
    <row r="27" spans="1:21">
      <c r="A27" s="2">
        <v>25</v>
      </c>
      <c r="B27" s="5" t="s">
        <v>89</v>
      </c>
      <c r="C27" s="2">
        <v>11</v>
      </c>
      <c r="D27" s="2">
        <v>132</v>
      </c>
      <c r="E27" s="2">
        <v>124</v>
      </c>
      <c r="F27" s="2">
        <v>44</v>
      </c>
      <c r="G27" s="2">
        <v>97</v>
      </c>
      <c r="H27" s="2">
        <v>16</v>
      </c>
      <c r="I27" s="2">
        <v>48</v>
      </c>
      <c r="J27" s="2">
        <v>11</v>
      </c>
      <c r="K27" s="2">
        <v>11</v>
      </c>
      <c r="L27" s="2">
        <v>8</v>
      </c>
      <c r="M27" s="2">
        <v>26</v>
      </c>
      <c r="N27" s="2">
        <v>34</v>
      </c>
      <c r="O27" s="2">
        <v>27</v>
      </c>
      <c r="P27" s="2">
        <v>11</v>
      </c>
      <c r="Q27" s="2">
        <v>4</v>
      </c>
      <c r="R27" s="2">
        <v>8</v>
      </c>
      <c r="S27" s="2">
        <v>26</v>
      </c>
      <c r="T27" s="2">
        <f t="shared" si="0"/>
        <v>28</v>
      </c>
      <c r="U27" s="2">
        <f t="shared" si="1"/>
        <v>49</v>
      </c>
    </row>
    <row r="28" spans="1:21">
      <c r="A28" s="2">
        <v>26</v>
      </c>
      <c r="B28" s="5" t="s">
        <v>103</v>
      </c>
      <c r="C28" s="2">
        <v>12</v>
      </c>
      <c r="D28" s="2">
        <v>133</v>
      </c>
      <c r="E28" s="2">
        <v>112</v>
      </c>
      <c r="F28" s="2">
        <v>44</v>
      </c>
      <c r="G28" s="2">
        <v>95</v>
      </c>
      <c r="H28" s="2">
        <v>15</v>
      </c>
      <c r="I28" s="2">
        <v>36</v>
      </c>
      <c r="J28" s="2">
        <v>5</v>
      </c>
      <c r="K28" s="2">
        <v>6</v>
      </c>
      <c r="L28" s="2">
        <v>7</v>
      </c>
      <c r="M28" s="2">
        <v>28</v>
      </c>
      <c r="N28" s="2">
        <v>35</v>
      </c>
      <c r="O28" s="2">
        <v>31</v>
      </c>
      <c r="P28" s="2">
        <v>6</v>
      </c>
      <c r="Q28" s="2">
        <v>0</v>
      </c>
      <c r="R28" s="2">
        <v>13</v>
      </c>
      <c r="S28" s="2">
        <v>27</v>
      </c>
      <c r="T28" s="2">
        <f t="shared" si="0"/>
        <v>29</v>
      </c>
      <c r="U28" s="2">
        <f t="shared" si="1"/>
        <v>59</v>
      </c>
    </row>
    <row r="29" spans="1:21">
      <c r="A29" s="2">
        <v>27</v>
      </c>
      <c r="B29" s="5" t="s">
        <v>93</v>
      </c>
      <c r="C29" s="2">
        <v>12</v>
      </c>
      <c r="D29" s="2">
        <v>192</v>
      </c>
      <c r="E29" s="2">
        <v>111</v>
      </c>
      <c r="F29" s="2">
        <v>40</v>
      </c>
      <c r="G29" s="2">
        <v>95</v>
      </c>
      <c r="H29" s="2">
        <v>19</v>
      </c>
      <c r="I29" s="2">
        <v>50</v>
      </c>
      <c r="J29" s="2">
        <v>6</v>
      </c>
      <c r="K29" s="2">
        <v>7</v>
      </c>
      <c r="L29" s="2">
        <v>4</v>
      </c>
      <c r="M29" s="2">
        <v>46</v>
      </c>
      <c r="N29" s="2">
        <v>50</v>
      </c>
      <c r="O29" s="2">
        <v>44</v>
      </c>
      <c r="P29" s="2">
        <v>7</v>
      </c>
      <c r="Q29" s="2">
        <v>3</v>
      </c>
      <c r="R29" s="2">
        <v>16</v>
      </c>
      <c r="S29" s="2">
        <v>34</v>
      </c>
      <c r="T29" s="2">
        <f t="shared" si="0"/>
        <v>21</v>
      </c>
      <c r="U29" s="2">
        <f t="shared" si="1"/>
        <v>45</v>
      </c>
    </row>
    <row r="30" spans="1:21">
      <c r="A30" s="2">
        <v>28</v>
      </c>
      <c r="B30" s="5" t="s">
        <v>101</v>
      </c>
      <c r="C30" s="2">
        <v>12</v>
      </c>
      <c r="D30" s="2">
        <v>177</v>
      </c>
      <c r="E30" s="2">
        <v>111</v>
      </c>
      <c r="F30" s="2">
        <v>38</v>
      </c>
      <c r="G30" s="2">
        <v>98</v>
      </c>
      <c r="H30" s="2">
        <v>11</v>
      </c>
      <c r="I30" s="2">
        <v>40</v>
      </c>
      <c r="J30" s="2">
        <v>14</v>
      </c>
      <c r="K30" s="2">
        <v>19</v>
      </c>
      <c r="L30" s="2">
        <v>20</v>
      </c>
      <c r="M30" s="2">
        <v>40</v>
      </c>
      <c r="N30" s="2">
        <v>60</v>
      </c>
      <c r="O30" s="2">
        <v>48</v>
      </c>
      <c r="P30" s="2">
        <v>21</v>
      </c>
      <c r="Q30" s="2">
        <v>6</v>
      </c>
      <c r="R30" s="2">
        <v>7</v>
      </c>
      <c r="S30" s="2">
        <v>28</v>
      </c>
      <c r="T30" s="2">
        <f t="shared" si="0"/>
        <v>27</v>
      </c>
      <c r="U30" s="2">
        <f t="shared" si="1"/>
        <v>58</v>
      </c>
    </row>
    <row r="31" spans="1:21">
      <c r="A31" s="2">
        <v>29</v>
      </c>
      <c r="B31" s="5" t="s">
        <v>91</v>
      </c>
      <c r="C31" s="2">
        <v>11</v>
      </c>
      <c r="D31" s="2">
        <v>125</v>
      </c>
      <c r="E31" s="2">
        <v>110</v>
      </c>
      <c r="F31" s="2">
        <v>38</v>
      </c>
      <c r="G31" s="2">
        <v>77</v>
      </c>
      <c r="H31" s="2">
        <v>8</v>
      </c>
      <c r="I31" s="2">
        <v>25</v>
      </c>
      <c r="J31" s="2">
        <v>13</v>
      </c>
      <c r="K31" s="2">
        <v>20</v>
      </c>
      <c r="L31" s="2">
        <v>14</v>
      </c>
      <c r="M31" s="2">
        <v>51</v>
      </c>
      <c r="N31" s="2">
        <v>65</v>
      </c>
      <c r="O31" s="2">
        <v>12</v>
      </c>
      <c r="P31" s="2">
        <v>3</v>
      </c>
      <c r="Q31" s="2">
        <v>20</v>
      </c>
      <c r="R31" s="2">
        <v>21</v>
      </c>
      <c r="S31" s="2">
        <v>37</v>
      </c>
      <c r="T31" s="2">
        <f t="shared" si="0"/>
        <v>30</v>
      </c>
      <c r="U31" s="2">
        <f t="shared" si="1"/>
        <v>52</v>
      </c>
    </row>
    <row r="32" spans="1:21">
      <c r="A32" s="2">
        <v>30</v>
      </c>
      <c r="B32" s="5" t="s">
        <v>94</v>
      </c>
      <c r="C32" s="2">
        <v>10</v>
      </c>
      <c r="D32" s="2">
        <v>106</v>
      </c>
      <c r="E32" s="2">
        <v>108</v>
      </c>
      <c r="F32" s="2">
        <v>40</v>
      </c>
      <c r="G32" s="2">
        <v>97</v>
      </c>
      <c r="H32" s="2">
        <v>13</v>
      </c>
      <c r="I32" s="2">
        <v>37</v>
      </c>
      <c r="J32" s="2">
        <v>9</v>
      </c>
      <c r="K32" s="2">
        <v>9</v>
      </c>
      <c r="L32" s="2">
        <v>15</v>
      </c>
      <c r="M32" s="2">
        <v>50</v>
      </c>
      <c r="N32" s="2">
        <v>65</v>
      </c>
      <c r="O32" s="2">
        <v>15</v>
      </c>
      <c r="P32" s="2">
        <v>3</v>
      </c>
      <c r="Q32" s="2">
        <v>3</v>
      </c>
      <c r="R32" s="2">
        <v>6</v>
      </c>
      <c r="S32" s="2">
        <v>15</v>
      </c>
      <c r="T32" s="2">
        <f t="shared" si="0"/>
        <v>27</v>
      </c>
      <c r="U32" s="2">
        <f t="shared" si="1"/>
        <v>60</v>
      </c>
    </row>
    <row r="33" spans="1:21">
      <c r="A33" s="2">
        <v>31</v>
      </c>
      <c r="B33" s="5" t="s">
        <v>98</v>
      </c>
      <c r="C33" s="2">
        <v>12</v>
      </c>
      <c r="D33" s="2">
        <v>147</v>
      </c>
      <c r="E33" s="2">
        <v>107</v>
      </c>
      <c r="F33" s="2">
        <v>39</v>
      </c>
      <c r="G33" s="2">
        <v>93</v>
      </c>
      <c r="H33" s="2">
        <v>10</v>
      </c>
      <c r="I33" s="2">
        <v>46</v>
      </c>
      <c r="J33" s="2">
        <v>10</v>
      </c>
      <c r="K33" s="2">
        <v>17</v>
      </c>
      <c r="L33" s="2">
        <v>21</v>
      </c>
      <c r="M33" s="2">
        <v>62</v>
      </c>
      <c r="N33" s="2">
        <v>83</v>
      </c>
      <c r="O33" s="2">
        <v>13</v>
      </c>
      <c r="P33" s="2">
        <v>9</v>
      </c>
      <c r="Q33" s="2">
        <v>4</v>
      </c>
      <c r="R33" s="2">
        <v>14</v>
      </c>
      <c r="S33" s="2">
        <v>22</v>
      </c>
      <c r="T33" s="2">
        <f t="shared" si="0"/>
        <v>29</v>
      </c>
      <c r="U33" s="2">
        <f t="shared" si="1"/>
        <v>47</v>
      </c>
    </row>
    <row r="34" spans="1:21">
      <c r="A34" s="2">
        <v>32</v>
      </c>
      <c r="B34" s="5" t="s">
        <v>102</v>
      </c>
      <c r="C34" s="2">
        <v>12</v>
      </c>
      <c r="D34" s="2">
        <v>144</v>
      </c>
      <c r="E34" s="2">
        <v>96</v>
      </c>
      <c r="F34" s="2">
        <v>44</v>
      </c>
      <c r="G34" s="2">
        <v>100</v>
      </c>
      <c r="H34" s="2">
        <v>6</v>
      </c>
      <c r="I34" s="2">
        <v>18</v>
      </c>
      <c r="J34" s="2">
        <v>1</v>
      </c>
      <c r="K34" s="2">
        <v>3</v>
      </c>
      <c r="L34" s="2">
        <v>5</v>
      </c>
      <c r="M34" s="2">
        <v>50</v>
      </c>
      <c r="N34" s="2">
        <v>55</v>
      </c>
      <c r="O34" s="2">
        <v>51</v>
      </c>
      <c r="P34" s="2">
        <v>6</v>
      </c>
      <c r="Q34" s="2">
        <v>1</v>
      </c>
      <c r="R34" s="2">
        <v>16</v>
      </c>
      <c r="S34" s="2">
        <v>26</v>
      </c>
      <c r="T34" s="2">
        <f t="shared" si="0"/>
        <v>38</v>
      </c>
      <c r="U34" s="2">
        <f t="shared" si="1"/>
        <v>82</v>
      </c>
    </row>
    <row r="35" spans="1:21">
      <c r="A35" s="2">
        <v>33</v>
      </c>
      <c r="B35" s="5" t="s">
        <v>99</v>
      </c>
      <c r="C35" s="2">
        <v>11</v>
      </c>
      <c r="D35" s="2">
        <v>88</v>
      </c>
      <c r="E35" s="2">
        <v>93</v>
      </c>
      <c r="F35" s="2">
        <v>34</v>
      </c>
      <c r="G35" s="2">
        <v>55</v>
      </c>
      <c r="H35" s="2">
        <v>0</v>
      </c>
      <c r="I35" s="2">
        <v>1</v>
      </c>
      <c r="J35" s="2">
        <v>14</v>
      </c>
      <c r="K35" s="2">
        <v>17</v>
      </c>
      <c r="L35" s="2">
        <v>9</v>
      </c>
      <c r="M35" s="2">
        <v>38</v>
      </c>
      <c r="N35" s="2">
        <v>47</v>
      </c>
      <c r="O35" s="2">
        <v>0</v>
      </c>
      <c r="P35" s="2">
        <v>2</v>
      </c>
      <c r="Q35" s="2">
        <v>12</v>
      </c>
      <c r="R35" s="2">
        <v>14</v>
      </c>
      <c r="S35" s="2">
        <v>16</v>
      </c>
      <c r="T35" s="2">
        <f t="shared" si="0"/>
        <v>34</v>
      </c>
      <c r="U35" s="2">
        <f t="shared" si="1"/>
        <v>54</v>
      </c>
    </row>
    <row r="36" spans="1:21">
      <c r="A36" s="2">
        <v>34</v>
      </c>
      <c r="B36" s="5" t="s">
        <v>97</v>
      </c>
      <c r="C36" s="2">
        <v>11</v>
      </c>
      <c r="D36" s="2">
        <v>94</v>
      </c>
      <c r="E36" s="2">
        <v>91</v>
      </c>
      <c r="F36" s="2">
        <v>38</v>
      </c>
      <c r="G36" s="2">
        <v>76</v>
      </c>
      <c r="H36" s="2">
        <v>9</v>
      </c>
      <c r="I36" s="2">
        <v>27</v>
      </c>
      <c r="J36" s="2">
        <v>3</v>
      </c>
      <c r="K36" s="2">
        <v>7</v>
      </c>
      <c r="L36" s="2">
        <v>9</v>
      </c>
      <c r="M36" s="2">
        <v>25</v>
      </c>
      <c r="N36" s="2">
        <v>34</v>
      </c>
      <c r="O36" s="2">
        <v>3</v>
      </c>
      <c r="P36" s="2">
        <v>5</v>
      </c>
      <c r="Q36" s="2">
        <v>0</v>
      </c>
      <c r="R36" s="2">
        <v>9</v>
      </c>
      <c r="S36" s="2">
        <v>20</v>
      </c>
      <c r="T36" s="2">
        <f t="shared" si="0"/>
        <v>29</v>
      </c>
      <c r="U36" s="2">
        <f t="shared" si="1"/>
        <v>49</v>
      </c>
    </row>
    <row r="37" spans="1:21">
      <c r="A37" s="2">
        <v>35</v>
      </c>
      <c r="B37" s="5" t="s">
        <v>104</v>
      </c>
      <c r="C37" s="2">
        <v>12</v>
      </c>
      <c r="D37" s="2">
        <v>97</v>
      </c>
      <c r="E37" s="2">
        <v>79</v>
      </c>
      <c r="F37" s="2">
        <v>35</v>
      </c>
      <c r="G37" s="2">
        <v>65</v>
      </c>
      <c r="H37" s="2">
        <v>2</v>
      </c>
      <c r="I37" s="2">
        <v>15</v>
      </c>
      <c r="J37" s="2">
        <v>4</v>
      </c>
      <c r="K37" s="2">
        <v>9</v>
      </c>
      <c r="L37" s="2">
        <v>13</v>
      </c>
      <c r="M37" s="2">
        <v>44</v>
      </c>
      <c r="N37" s="2">
        <v>57</v>
      </c>
      <c r="O37" s="2">
        <v>9</v>
      </c>
      <c r="P37" s="2">
        <v>5</v>
      </c>
      <c r="Q37" s="2">
        <v>7</v>
      </c>
      <c r="R37" s="2">
        <v>13</v>
      </c>
      <c r="S37" s="2">
        <v>27</v>
      </c>
      <c r="T37" s="2">
        <f t="shared" si="0"/>
        <v>33</v>
      </c>
      <c r="U37" s="2">
        <f t="shared" si="1"/>
        <v>50</v>
      </c>
    </row>
    <row r="38" spans="1:21">
      <c r="A38" s="2">
        <v>36</v>
      </c>
      <c r="B38" s="5" t="s">
        <v>100</v>
      </c>
      <c r="C38" s="2">
        <v>10</v>
      </c>
      <c r="D38" s="2">
        <v>94</v>
      </c>
      <c r="E38" s="2">
        <v>78</v>
      </c>
      <c r="F38" s="2">
        <v>28</v>
      </c>
      <c r="G38" s="2">
        <v>79</v>
      </c>
      <c r="H38" s="2">
        <v>7</v>
      </c>
      <c r="I38" s="2">
        <v>25</v>
      </c>
      <c r="J38" s="2">
        <v>8</v>
      </c>
      <c r="K38" s="2">
        <v>11</v>
      </c>
      <c r="L38" s="2">
        <v>4</v>
      </c>
      <c r="M38" s="2">
        <v>34</v>
      </c>
      <c r="N38" s="2">
        <v>38</v>
      </c>
      <c r="O38" s="2">
        <v>31</v>
      </c>
      <c r="P38" s="2">
        <v>10</v>
      </c>
      <c r="Q38" s="2">
        <v>2</v>
      </c>
      <c r="R38" s="2">
        <v>7</v>
      </c>
      <c r="S38" s="2">
        <v>23</v>
      </c>
      <c r="T38" s="2">
        <f t="shared" si="0"/>
        <v>21</v>
      </c>
      <c r="U38" s="2">
        <f t="shared" si="1"/>
        <v>54</v>
      </c>
    </row>
    <row r="39" spans="1:21">
      <c r="A39" s="2">
        <v>37</v>
      </c>
      <c r="B39" s="5" t="s">
        <v>107</v>
      </c>
      <c r="C39" s="2">
        <v>12</v>
      </c>
      <c r="D39" s="2">
        <v>106</v>
      </c>
      <c r="E39" s="2">
        <v>78</v>
      </c>
      <c r="F39" s="2">
        <v>33</v>
      </c>
      <c r="G39" s="2">
        <v>59</v>
      </c>
      <c r="H39" s="2">
        <v>4</v>
      </c>
      <c r="I39" s="2">
        <v>11</v>
      </c>
      <c r="J39" s="2">
        <v>4</v>
      </c>
      <c r="K39" s="2">
        <v>8</v>
      </c>
      <c r="L39" s="2">
        <v>16</v>
      </c>
      <c r="M39" s="2">
        <v>38</v>
      </c>
      <c r="N39" s="2">
        <v>54</v>
      </c>
      <c r="O39" s="2">
        <v>7</v>
      </c>
      <c r="P39" s="2">
        <v>7</v>
      </c>
      <c r="Q39" s="2">
        <v>4</v>
      </c>
      <c r="R39" s="2">
        <v>11</v>
      </c>
      <c r="S39" s="2">
        <v>25</v>
      </c>
      <c r="T39" s="2">
        <f t="shared" si="0"/>
        <v>29</v>
      </c>
      <c r="U39" s="2">
        <f t="shared" si="1"/>
        <v>48</v>
      </c>
    </row>
    <row r="40" spans="1:21">
      <c r="A40" s="2">
        <v>38</v>
      </c>
      <c r="B40" s="5" t="s">
        <v>108</v>
      </c>
      <c r="C40" s="2">
        <v>12</v>
      </c>
      <c r="D40" s="2">
        <v>97</v>
      </c>
      <c r="E40" s="2">
        <v>73</v>
      </c>
      <c r="F40" s="2">
        <v>28</v>
      </c>
      <c r="G40" s="2">
        <v>78</v>
      </c>
      <c r="H40" s="2">
        <v>13</v>
      </c>
      <c r="I40" s="2">
        <v>37</v>
      </c>
      <c r="J40" s="2">
        <v>2</v>
      </c>
      <c r="K40" s="2">
        <v>6</v>
      </c>
      <c r="L40" s="2">
        <v>5</v>
      </c>
      <c r="M40" s="2">
        <v>18</v>
      </c>
      <c r="N40" s="2">
        <v>23</v>
      </c>
      <c r="O40" s="2">
        <v>16</v>
      </c>
      <c r="P40" s="2">
        <v>3</v>
      </c>
      <c r="Q40" s="2">
        <v>1</v>
      </c>
      <c r="R40" s="2">
        <v>12</v>
      </c>
      <c r="S40" s="2">
        <v>22</v>
      </c>
      <c r="T40" s="2">
        <f t="shared" si="0"/>
        <v>15</v>
      </c>
      <c r="U40" s="2">
        <f t="shared" si="1"/>
        <v>41</v>
      </c>
    </row>
    <row r="41" spans="1:21">
      <c r="A41" s="2">
        <v>39</v>
      </c>
      <c r="B41" s="5" t="s">
        <v>105</v>
      </c>
      <c r="C41" s="2">
        <v>11</v>
      </c>
      <c r="D41" s="2">
        <v>110</v>
      </c>
      <c r="E41" s="2">
        <v>68</v>
      </c>
      <c r="F41" s="2">
        <v>28</v>
      </c>
      <c r="G41" s="2">
        <v>68</v>
      </c>
      <c r="H41" s="2">
        <v>5</v>
      </c>
      <c r="I41" s="2">
        <v>31</v>
      </c>
      <c r="J41" s="2">
        <v>3</v>
      </c>
      <c r="K41" s="2">
        <v>6</v>
      </c>
      <c r="L41" s="2">
        <v>8</v>
      </c>
      <c r="M41" s="2">
        <v>30</v>
      </c>
      <c r="N41" s="2">
        <v>38</v>
      </c>
      <c r="O41" s="2">
        <v>11</v>
      </c>
      <c r="P41" s="2">
        <v>4</v>
      </c>
      <c r="Q41" s="2">
        <v>2</v>
      </c>
      <c r="R41" s="2">
        <v>11</v>
      </c>
      <c r="S41" s="2">
        <v>24</v>
      </c>
      <c r="T41" s="2">
        <f t="shared" si="0"/>
        <v>23</v>
      </c>
      <c r="U41" s="2">
        <f t="shared" si="1"/>
        <v>37</v>
      </c>
    </row>
    <row r="42" spans="1:21">
      <c r="A42" s="2">
        <v>40</v>
      </c>
      <c r="B42" s="5" t="s">
        <v>96</v>
      </c>
      <c r="C42" s="2">
        <v>9</v>
      </c>
      <c r="D42" s="2">
        <v>91</v>
      </c>
      <c r="E42" s="2">
        <v>67</v>
      </c>
      <c r="F42" s="2">
        <v>31</v>
      </c>
      <c r="G42" s="2">
        <v>62</v>
      </c>
      <c r="H42" s="2">
        <v>1</v>
      </c>
      <c r="I42" s="2">
        <v>11</v>
      </c>
      <c r="J42" s="2">
        <v>3</v>
      </c>
      <c r="K42" s="2">
        <v>4</v>
      </c>
      <c r="L42" s="2">
        <v>8</v>
      </c>
      <c r="M42" s="2">
        <v>41</v>
      </c>
      <c r="N42" s="2">
        <v>49</v>
      </c>
      <c r="O42" s="2">
        <v>11</v>
      </c>
      <c r="P42" s="2">
        <v>4</v>
      </c>
      <c r="Q42" s="2">
        <v>7</v>
      </c>
      <c r="R42" s="2">
        <v>10</v>
      </c>
      <c r="S42" s="2">
        <v>23</v>
      </c>
      <c r="T42" s="2">
        <f t="shared" si="0"/>
        <v>30</v>
      </c>
      <c r="U42" s="2">
        <f t="shared" si="1"/>
        <v>51</v>
      </c>
    </row>
    <row r="43" spans="1:21">
      <c r="A43" s="2">
        <v>41</v>
      </c>
      <c r="B43" s="5" t="s">
        <v>114</v>
      </c>
      <c r="C43" s="2">
        <v>12</v>
      </c>
      <c r="D43" s="2">
        <v>76</v>
      </c>
      <c r="E43" s="2">
        <v>59</v>
      </c>
      <c r="F43" s="2">
        <v>20</v>
      </c>
      <c r="G43" s="2">
        <v>49</v>
      </c>
      <c r="H43" s="2">
        <v>19</v>
      </c>
      <c r="I43" s="2">
        <v>44</v>
      </c>
      <c r="J43" s="2">
        <v>0</v>
      </c>
      <c r="K43" s="2">
        <v>1</v>
      </c>
      <c r="L43" s="2">
        <v>1</v>
      </c>
      <c r="M43" s="2">
        <v>17</v>
      </c>
      <c r="N43" s="2">
        <v>18</v>
      </c>
      <c r="O43" s="2">
        <v>11</v>
      </c>
      <c r="P43" s="2">
        <v>1</v>
      </c>
      <c r="Q43" s="2">
        <v>0</v>
      </c>
      <c r="R43" s="2">
        <v>6</v>
      </c>
      <c r="S43" s="2">
        <v>27</v>
      </c>
      <c r="T43" s="2">
        <f t="shared" si="0"/>
        <v>1</v>
      </c>
      <c r="U43" s="2">
        <f t="shared" si="1"/>
        <v>5</v>
      </c>
    </row>
    <row r="44" spans="1:21">
      <c r="A44" s="2">
        <v>42</v>
      </c>
      <c r="B44" s="5" t="s">
        <v>106</v>
      </c>
      <c r="C44" s="2">
        <v>11</v>
      </c>
      <c r="D44" s="2">
        <v>94</v>
      </c>
      <c r="E44" s="2">
        <v>57</v>
      </c>
      <c r="F44" s="2">
        <v>23</v>
      </c>
      <c r="G44" s="2">
        <v>74</v>
      </c>
      <c r="H44" s="2">
        <v>4</v>
      </c>
      <c r="I44" s="2">
        <v>22</v>
      </c>
      <c r="J44" s="2">
        <v>4</v>
      </c>
      <c r="K44" s="2">
        <v>6</v>
      </c>
      <c r="L44" s="2">
        <v>4</v>
      </c>
      <c r="M44" s="2">
        <v>22</v>
      </c>
      <c r="N44" s="2">
        <v>26</v>
      </c>
      <c r="O44" s="2">
        <v>12</v>
      </c>
      <c r="P44" s="2">
        <v>10</v>
      </c>
      <c r="Q44" s="2">
        <v>12</v>
      </c>
      <c r="R44" s="2">
        <v>15</v>
      </c>
      <c r="S44" s="2">
        <v>18</v>
      </c>
      <c r="T44" s="2">
        <f t="shared" si="0"/>
        <v>19</v>
      </c>
      <c r="U44" s="2">
        <f t="shared" si="1"/>
        <v>52</v>
      </c>
    </row>
    <row r="45" spans="1:21">
      <c r="A45" s="2">
        <v>43</v>
      </c>
      <c r="B45" s="5" t="s">
        <v>111</v>
      </c>
      <c r="C45" s="2">
        <v>12</v>
      </c>
      <c r="D45" s="2">
        <v>66</v>
      </c>
      <c r="E45" s="2">
        <v>56</v>
      </c>
      <c r="F45" s="2">
        <v>20</v>
      </c>
      <c r="G45" s="2">
        <v>45</v>
      </c>
      <c r="H45" s="2">
        <v>2</v>
      </c>
      <c r="I45" s="2">
        <v>13</v>
      </c>
      <c r="J45" s="2">
        <v>7</v>
      </c>
      <c r="K45" s="2">
        <v>7</v>
      </c>
      <c r="L45" s="2">
        <v>10</v>
      </c>
      <c r="M45" s="2">
        <v>24</v>
      </c>
      <c r="N45" s="2">
        <v>34</v>
      </c>
      <c r="O45" s="2">
        <v>3</v>
      </c>
      <c r="P45" s="2">
        <v>2</v>
      </c>
      <c r="Q45" s="2">
        <v>3</v>
      </c>
      <c r="R45" s="2">
        <v>3</v>
      </c>
      <c r="S45" s="2">
        <v>15</v>
      </c>
      <c r="T45" s="2">
        <f t="shared" si="0"/>
        <v>18</v>
      </c>
      <c r="U45" s="2">
        <f t="shared" si="1"/>
        <v>32</v>
      </c>
    </row>
    <row r="46" spans="1:21">
      <c r="A46" s="2">
        <v>44</v>
      </c>
      <c r="B46" s="5" t="s">
        <v>113</v>
      </c>
      <c r="C46" s="2">
        <v>11</v>
      </c>
      <c r="D46" s="2">
        <v>116</v>
      </c>
      <c r="E46" s="2">
        <v>47</v>
      </c>
      <c r="F46" s="2">
        <v>19</v>
      </c>
      <c r="G46" s="2">
        <v>50</v>
      </c>
      <c r="H46" s="2">
        <v>9</v>
      </c>
      <c r="I46" s="2">
        <v>25</v>
      </c>
      <c r="J46" s="2">
        <v>0</v>
      </c>
      <c r="K46" s="2">
        <v>1</v>
      </c>
      <c r="L46" s="2">
        <v>7</v>
      </c>
      <c r="M46" s="2">
        <v>26</v>
      </c>
      <c r="N46" s="2">
        <v>33</v>
      </c>
      <c r="O46" s="2">
        <v>12</v>
      </c>
      <c r="P46" s="2">
        <v>3</v>
      </c>
      <c r="Q46" s="2">
        <v>8</v>
      </c>
      <c r="R46" s="2">
        <v>13</v>
      </c>
      <c r="S46" s="2">
        <v>37</v>
      </c>
      <c r="T46" s="2">
        <f t="shared" si="0"/>
        <v>10</v>
      </c>
      <c r="U46" s="2">
        <f t="shared" si="1"/>
        <v>25</v>
      </c>
    </row>
    <row r="47" spans="1:21">
      <c r="A47" s="2">
        <v>45</v>
      </c>
      <c r="B47" s="5" t="s">
        <v>112</v>
      </c>
      <c r="C47" s="2">
        <v>11</v>
      </c>
      <c r="D47" s="2">
        <v>107</v>
      </c>
      <c r="E47" s="2">
        <v>47</v>
      </c>
      <c r="F47" s="2">
        <v>17</v>
      </c>
      <c r="G47" s="2">
        <v>57</v>
      </c>
      <c r="H47" s="2">
        <v>7</v>
      </c>
      <c r="I47" s="2">
        <v>27</v>
      </c>
      <c r="J47" s="2">
        <v>3</v>
      </c>
      <c r="K47" s="2">
        <v>3</v>
      </c>
      <c r="L47" s="2">
        <v>13</v>
      </c>
      <c r="M47" s="2">
        <v>22</v>
      </c>
      <c r="N47" s="2">
        <v>35</v>
      </c>
      <c r="O47" s="2">
        <v>5</v>
      </c>
      <c r="P47" s="2">
        <v>13</v>
      </c>
      <c r="Q47" s="2">
        <v>2</v>
      </c>
      <c r="R47" s="2">
        <v>11</v>
      </c>
      <c r="S47" s="2">
        <v>23</v>
      </c>
      <c r="T47" s="2">
        <f t="shared" si="0"/>
        <v>10</v>
      </c>
      <c r="U47" s="2">
        <f t="shared" si="1"/>
        <v>30</v>
      </c>
    </row>
    <row r="48" spans="1:21">
      <c r="A48" s="2">
        <v>46</v>
      </c>
      <c r="B48" s="5" t="s">
        <v>109</v>
      </c>
      <c r="C48" s="2">
        <v>8</v>
      </c>
      <c r="D48" s="2">
        <v>58</v>
      </c>
      <c r="E48" s="2">
        <v>42</v>
      </c>
      <c r="F48" s="2">
        <v>17</v>
      </c>
      <c r="G48" s="2">
        <v>41</v>
      </c>
      <c r="H48" s="2">
        <v>6</v>
      </c>
      <c r="I48" s="2">
        <v>23</v>
      </c>
      <c r="J48" s="2">
        <v>1</v>
      </c>
      <c r="K48" s="2">
        <v>1</v>
      </c>
      <c r="L48" s="2">
        <v>1</v>
      </c>
      <c r="M48" s="2">
        <v>7</v>
      </c>
      <c r="N48" s="2">
        <v>8</v>
      </c>
      <c r="O48" s="2">
        <v>12</v>
      </c>
      <c r="P48" s="2">
        <v>6</v>
      </c>
      <c r="Q48" s="2">
        <v>0</v>
      </c>
      <c r="R48" s="2">
        <v>2</v>
      </c>
      <c r="S48" s="2">
        <v>18</v>
      </c>
      <c r="T48" s="2">
        <f t="shared" si="0"/>
        <v>11</v>
      </c>
      <c r="U48" s="2">
        <f t="shared" si="1"/>
        <v>18</v>
      </c>
    </row>
    <row r="49" spans="1:21">
      <c r="A49" s="2">
        <v>47</v>
      </c>
      <c r="B49" s="5" t="s">
        <v>116</v>
      </c>
      <c r="C49" s="2">
        <v>3</v>
      </c>
      <c r="D49" s="2">
        <v>18</v>
      </c>
      <c r="E49" s="2">
        <v>15</v>
      </c>
      <c r="F49" s="2">
        <v>7</v>
      </c>
      <c r="G49" s="2">
        <v>14</v>
      </c>
      <c r="H49" s="2">
        <v>1</v>
      </c>
      <c r="I49" s="2">
        <v>2</v>
      </c>
      <c r="J49" s="2">
        <v>0</v>
      </c>
      <c r="K49" s="2">
        <v>0</v>
      </c>
      <c r="L49" s="2">
        <v>1</v>
      </c>
      <c r="M49" s="2">
        <v>3</v>
      </c>
      <c r="N49" s="2">
        <v>4</v>
      </c>
      <c r="O49" s="2">
        <v>4</v>
      </c>
      <c r="P49" s="2">
        <v>0</v>
      </c>
      <c r="Q49" s="2">
        <v>1</v>
      </c>
      <c r="R49" s="2">
        <v>1</v>
      </c>
      <c r="S49" s="2">
        <v>5</v>
      </c>
      <c r="T49" s="2">
        <f t="shared" si="0"/>
        <v>6</v>
      </c>
      <c r="U49" s="2">
        <f t="shared" si="1"/>
        <v>12</v>
      </c>
    </row>
    <row r="50" spans="1:21">
      <c r="A50" s="2">
        <v>48</v>
      </c>
      <c r="B50" s="5" t="s">
        <v>117</v>
      </c>
      <c r="C50" s="2">
        <v>1</v>
      </c>
      <c r="D50" s="2">
        <v>10</v>
      </c>
      <c r="E50" s="2">
        <v>13</v>
      </c>
      <c r="F50" s="2">
        <v>6</v>
      </c>
      <c r="G50" s="2">
        <v>9</v>
      </c>
      <c r="H50" s="2">
        <v>0</v>
      </c>
      <c r="I50" s="2">
        <v>0</v>
      </c>
      <c r="J50" s="2">
        <v>1</v>
      </c>
      <c r="K50" s="2">
        <v>2</v>
      </c>
      <c r="L50" s="2">
        <v>2</v>
      </c>
      <c r="M50" s="2">
        <v>6</v>
      </c>
      <c r="N50" s="2">
        <v>8</v>
      </c>
      <c r="O50" s="2">
        <v>0</v>
      </c>
      <c r="P50" s="2">
        <v>0</v>
      </c>
      <c r="Q50" s="2">
        <v>0</v>
      </c>
      <c r="R50" s="2">
        <v>1</v>
      </c>
      <c r="S50" s="2">
        <v>4</v>
      </c>
      <c r="T50" s="2">
        <f t="shared" si="0"/>
        <v>6</v>
      </c>
      <c r="U50" s="2">
        <f t="shared" si="1"/>
        <v>9</v>
      </c>
    </row>
    <row r="51" spans="1:21">
      <c r="A51" s="2">
        <v>49</v>
      </c>
      <c r="B51" s="5" t="s">
        <v>118</v>
      </c>
      <c r="C51" s="2">
        <v>1</v>
      </c>
      <c r="D51" s="2">
        <v>13</v>
      </c>
      <c r="E51" s="2">
        <v>9</v>
      </c>
      <c r="F51" s="2">
        <v>4</v>
      </c>
      <c r="G51" s="2">
        <v>8</v>
      </c>
      <c r="H51" s="2">
        <v>1</v>
      </c>
      <c r="I51" s="2">
        <v>2</v>
      </c>
      <c r="J51" s="2">
        <v>0</v>
      </c>
      <c r="K51" s="2">
        <v>0</v>
      </c>
      <c r="L51" s="2">
        <v>1</v>
      </c>
      <c r="M51" s="2">
        <v>2</v>
      </c>
      <c r="N51" s="2">
        <v>3</v>
      </c>
      <c r="O51" s="2">
        <v>5</v>
      </c>
      <c r="P51" s="2">
        <v>2</v>
      </c>
      <c r="Q51" s="2">
        <v>0</v>
      </c>
      <c r="R51" s="2">
        <v>2</v>
      </c>
      <c r="S51" s="2">
        <v>3</v>
      </c>
      <c r="T51" s="2">
        <f t="shared" si="0"/>
        <v>3</v>
      </c>
      <c r="U51" s="2">
        <f t="shared" si="1"/>
        <v>6</v>
      </c>
    </row>
    <row r="52" spans="1:21">
      <c r="A52" s="2">
        <v>50</v>
      </c>
      <c r="B52" t="s">
        <v>119</v>
      </c>
      <c r="C52" s="2">
        <v>1</v>
      </c>
      <c r="D52" s="2">
        <v>8</v>
      </c>
      <c r="E52" s="2">
        <v>6</v>
      </c>
      <c r="F52" s="2">
        <v>2</v>
      </c>
      <c r="G52" s="2">
        <v>7</v>
      </c>
      <c r="H52" s="2">
        <v>2</v>
      </c>
      <c r="I52" s="2">
        <v>6</v>
      </c>
      <c r="J52" s="2">
        <v>0</v>
      </c>
      <c r="K52" s="2">
        <v>0</v>
      </c>
      <c r="L52" s="2">
        <v>0</v>
      </c>
      <c r="M52" s="2">
        <v>4</v>
      </c>
      <c r="N52" s="2">
        <v>4</v>
      </c>
      <c r="O52" s="2">
        <v>0</v>
      </c>
      <c r="P52" s="2">
        <v>0</v>
      </c>
      <c r="Q52" s="2">
        <v>0</v>
      </c>
      <c r="R52" s="2">
        <v>1</v>
      </c>
      <c r="S52" s="2">
        <v>2</v>
      </c>
      <c r="T52" s="2">
        <f t="shared" si="0"/>
        <v>0</v>
      </c>
      <c r="U52" s="2">
        <f t="shared" si="1"/>
        <v>1</v>
      </c>
    </row>
    <row r="53" spans="1:21">
      <c r="A53" s="2">
        <v>51</v>
      </c>
      <c r="B53" t="s">
        <v>110</v>
      </c>
      <c r="C53" s="2">
        <v>1</v>
      </c>
      <c r="D53" s="2">
        <v>7</v>
      </c>
      <c r="E53" s="2">
        <v>5</v>
      </c>
      <c r="F53" s="2">
        <v>2</v>
      </c>
      <c r="G53" s="2">
        <v>7</v>
      </c>
      <c r="H53" s="2">
        <v>1</v>
      </c>
      <c r="I53" s="2">
        <v>5</v>
      </c>
      <c r="J53" s="2">
        <v>0</v>
      </c>
      <c r="K53" s="2">
        <v>0</v>
      </c>
      <c r="L53" s="2">
        <v>1</v>
      </c>
      <c r="M53" s="2">
        <v>1</v>
      </c>
      <c r="N53" s="2">
        <v>2</v>
      </c>
      <c r="O53" s="2">
        <v>0</v>
      </c>
      <c r="P53" s="2">
        <v>0</v>
      </c>
      <c r="Q53" s="2">
        <v>0</v>
      </c>
      <c r="R53" s="2">
        <v>1</v>
      </c>
      <c r="S53" s="2">
        <v>1</v>
      </c>
      <c r="T53" s="2">
        <f t="shared" si="0"/>
        <v>1</v>
      </c>
      <c r="U53" s="2">
        <f t="shared" si="1"/>
        <v>2</v>
      </c>
    </row>
    <row r="54" spans="1:21">
      <c r="A54" s="2">
        <v>52</v>
      </c>
      <c r="B54" t="s">
        <v>115</v>
      </c>
      <c r="C54" s="2">
        <v>1</v>
      </c>
      <c r="D54" s="2">
        <v>6</v>
      </c>
      <c r="E54" s="2">
        <v>2</v>
      </c>
      <c r="F54" s="2">
        <v>0</v>
      </c>
      <c r="G54" s="2">
        <v>4</v>
      </c>
      <c r="H54" s="2">
        <v>0</v>
      </c>
      <c r="I54" s="2">
        <v>1</v>
      </c>
      <c r="J54" s="2">
        <v>1</v>
      </c>
      <c r="K54" s="2">
        <v>3</v>
      </c>
      <c r="L54" s="2">
        <v>1</v>
      </c>
      <c r="M54" s="2">
        <v>0</v>
      </c>
      <c r="N54" s="2">
        <v>1</v>
      </c>
      <c r="O54" s="2">
        <v>0</v>
      </c>
      <c r="P54" s="2">
        <v>0</v>
      </c>
      <c r="Q54" s="2">
        <v>0</v>
      </c>
      <c r="R54" s="2">
        <v>0</v>
      </c>
      <c r="S54" s="2">
        <v>2</v>
      </c>
      <c r="T54" s="2">
        <f t="shared" si="0"/>
        <v>0</v>
      </c>
      <c r="U54" s="2">
        <f t="shared" si="1"/>
        <v>3</v>
      </c>
    </row>
    <row r="80" spans="2:31">
      <c r="B80" t="s">
        <v>36</v>
      </c>
      <c r="C80" s="6">
        <f>SUM(C3:C78)</f>
        <v>529</v>
      </c>
      <c r="D80" s="6">
        <f t="shared" ref="D80:U80" si="2">SUM(D3:D78)</f>
        <v>7097</v>
      </c>
      <c r="E80" s="6">
        <f t="shared" si="2"/>
        <v>6805</v>
      </c>
      <c r="F80" s="6">
        <f t="shared" si="2"/>
        <v>2602</v>
      </c>
      <c r="G80" s="6">
        <f t="shared" si="2"/>
        <v>5524</v>
      </c>
      <c r="H80" s="6">
        <f t="shared" si="2"/>
        <v>574</v>
      </c>
      <c r="I80" s="6">
        <f t="shared" si="2"/>
        <v>1744</v>
      </c>
      <c r="J80" s="6">
        <f t="shared" si="2"/>
        <v>568</v>
      </c>
      <c r="K80" s="6">
        <f t="shared" si="2"/>
        <v>737</v>
      </c>
      <c r="L80" s="6">
        <f t="shared" si="2"/>
        <v>539</v>
      </c>
      <c r="M80" s="6">
        <f t="shared" si="2"/>
        <v>2168</v>
      </c>
      <c r="N80" s="6">
        <f t="shared" si="2"/>
        <v>2707</v>
      </c>
      <c r="O80" s="6">
        <f t="shared" si="2"/>
        <v>1168</v>
      </c>
      <c r="P80" s="6">
        <f t="shared" si="2"/>
        <v>385</v>
      </c>
      <c r="Q80" s="6">
        <f t="shared" si="2"/>
        <v>243</v>
      </c>
      <c r="R80" s="6">
        <f t="shared" si="2"/>
        <v>717</v>
      </c>
      <c r="S80" s="6">
        <f t="shared" si="2"/>
        <v>1287</v>
      </c>
      <c r="T80" s="6">
        <f t="shared" si="2"/>
        <v>2028</v>
      </c>
      <c r="U80" s="6">
        <f t="shared" si="2"/>
        <v>3780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>
      <c r="B81" t="s">
        <v>38</v>
      </c>
      <c r="C81" s="9">
        <f>100*(E80)/(2*(G80+0.44*K80))</f>
        <v>58.179498929599816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>
      <c r="B82" t="s">
        <v>39</v>
      </c>
      <c r="C82" s="6">
        <f>(E80)/((G80+0.44*K80+R80))</f>
        <v>1.036513294177857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>
      <c r="B83" t="s">
        <v>37</v>
      </c>
      <c r="C83" s="9">
        <f>100*(H80/I80)</f>
        <v>32.912844036697244</v>
      </c>
    </row>
    <row r="84" spans="2:31">
      <c r="B84" t="s">
        <v>40</v>
      </c>
      <c r="C84" s="9">
        <f>100*(T80/U80)</f>
        <v>53.650793650793652</v>
      </c>
    </row>
    <row r="85" spans="2:31">
      <c r="B85" t="s">
        <v>41</v>
      </c>
      <c r="C85" s="9">
        <f>100*(F80/G80)</f>
        <v>47.103548153511952</v>
      </c>
    </row>
    <row r="86" spans="2:31">
      <c r="B86" t="s">
        <v>42</v>
      </c>
      <c r="C86" s="9">
        <f>100*(F80+0.5*H80)/(G80)</f>
        <v>52.299058653149892</v>
      </c>
    </row>
    <row r="87" spans="2:31">
      <c r="B87" t="s">
        <v>44</v>
      </c>
      <c r="C87" s="9">
        <f>100*(J80/K80)</f>
        <v>77.06919945725916</v>
      </c>
    </row>
  </sheetData>
  <autoFilter ref="A2:U2"/>
  <mergeCells count="1">
    <mergeCell ref="A1:U1"/>
  </mergeCells>
  <conditionalFormatting sqref="C3:C78">
    <cfRule type="colorScale" priority="20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 val="0"/>
        <cfvo type="percentile" val="50"/>
        <cfvo type="max" val="0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J1"/>
    </sheetView>
  </sheetViews>
  <sheetFormatPr baseColWidth="10" defaultRowHeight="14.25"/>
  <cols>
    <col min="1" max="1" width="5.625" customWidth="1"/>
    <col min="2" max="2" width="18.625" customWidth="1"/>
    <col min="3" max="25" width="6.625" customWidth="1"/>
    <col min="26" max="36" width="7.625" customWidth="1"/>
    <col min="37" max="38" width="8.625" customWidth="1"/>
    <col min="39" max="60" width="6.625" customWidth="1"/>
    <col min="61" max="67" width="7.625" customWidth="1"/>
  </cols>
  <sheetData>
    <row r="1" spans="1:67" ht="26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M1" s="17" t="s">
        <v>30</v>
      </c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</row>
    <row r="2" spans="1:67" ht="35.1" customHeight="1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J2" s="7" t="s">
        <v>65</v>
      </c>
      <c r="AM2" s="7" t="s">
        <v>4</v>
      </c>
      <c r="AN2" s="7" t="s">
        <v>24</v>
      </c>
      <c r="AO2" s="7" t="s">
        <v>5</v>
      </c>
      <c r="AP2" s="7" t="s">
        <v>6</v>
      </c>
      <c r="AQ2" s="7" t="s">
        <v>7</v>
      </c>
      <c r="AR2" s="7" t="s">
        <v>8</v>
      </c>
      <c r="AS2" s="7" t="s">
        <v>9</v>
      </c>
      <c r="AT2" s="7" t="s">
        <v>10</v>
      </c>
      <c r="AU2" s="7" t="s">
        <v>14</v>
      </c>
      <c r="AV2" s="7" t="s">
        <v>15</v>
      </c>
      <c r="AW2" s="7" t="s">
        <v>16</v>
      </c>
      <c r="AX2" s="7" t="s">
        <v>17</v>
      </c>
      <c r="AY2" s="7" t="s">
        <v>34</v>
      </c>
      <c r="AZ2" s="7" t="s">
        <v>18</v>
      </c>
      <c r="BA2" s="7" t="s">
        <v>19</v>
      </c>
      <c r="BB2" s="7" t="s">
        <v>20</v>
      </c>
      <c r="BC2" s="7" t="s">
        <v>21</v>
      </c>
      <c r="BD2" s="7" t="s">
        <v>22</v>
      </c>
      <c r="BE2" s="7" t="s">
        <v>23</v>
      </c>
      <c r="BF2" s="7" t="s">
        <v>11</v>
      </c>
      <c r="BG2" s="7" t="s">
        <v>12</v>
      </c>
      <c r="BH2" s="7" t="s">
        <v>13</v>
      </c>
      <c r="BI2" s="7" t="s">
        <v>25</v>
      </c>
      <c r="BJ2" s="7" t="s">
        <v>26</v>
      </c>
      <c r="BK2" s="7" t="s">
        <v>35</v>
      </c>
      <c r="BL2" s="7" t="s">
        <v>28</v>
      </c>
      <c r="BM2" s="7" t="s">
        <v>43</v>
      </c>
      <c r="BN2" s="7" t="s">
        <v>31</v>
      </c>
      <c r="BO2" s="7" t="s">
        <v>65</v>
      </c>
    </row>
    <row r="3" spans="1:67">
      <c r="A3" s="2">
        <v>1</v>
      </c>
      <c r="B3" s="5" t="s">
        <v>70</v>
      </c>
      <c r="C3" s="2">
        <v>12</v>
      </c>
      <c r="D3" s="9">
        <v>20.100000000000001</v>
      </c>
      <c r="E3" s="9">
        <v>24.5</v>
      </c>
      <c r="F3" s="9">
        <v>9.1999999999999993</v>
      </c>
      <c r="G3" s="9">
        <v>17.3</v>
      </c>
      <c r="H3" s="9">
        <v>53.1</v>
      </c>
      <c r="I3" s="9">
        <v>1.4</v>
      </c>
      <c r="J3" s="9">
        <v>3.8</v>
      </c>
      <c r="K3" s="9">
        <v>37</v>
      </c>
      <c r="L3" s="9">
        <v>3</v>
      </c>
      <c r="M3" s="9">
        <v>3.3</v>
      </c>
      <c r="N3" s="9">
        <v>92.3</v>
      </c>
      <c r="O3" s="9">
        <v>0.5</v>
      </c>
      <c r="P3" s="9">
        <v>6.1</v>
      </c>
      <c r="Q3" s="9">
        <v>6.6</v>
      </c>
      <c r="R3" s="9">
        <v>6.1</v>
      </c>
      <c r="S3" s="9">
        <v>0.8</v>
      </c>
      <c r="T3" s="9">
        <v>0.7</v>
      </c>
      <c r="U3" s="9">
        <v>2.5</v>
      </c>
      <c r="V3" s="9">
        <v>3.1</v>
      </c>
      <c r="W3" s="9">
        <f>F3-I3</f>
        <v>7.7999999999999989</v>
      </c>
      <c r="X3" s="9">
        <f>G3-J3</f>
        <v>13.5</v>
      </c>
      <c r="Y3" s="9">
        <f>IF(X3=0,"0",(W3/X3)*100)</f>
        <v>57.777777777777771</v>
      </c>
      <c r="Z3" s="6">
        <f>IF(U3=0,"0",R3/U3)</f>
        <v>2.44</v>
      </c>
      <c r="AA3" s="9">
        <f>100*(E3)/(2*(G3+0.44*M3))</f>
        <v>65.326365187713307</v>
      </c>
      <c r="AB3" s="6">
        <f>2*AA3/100</f>
        <v>1.3065273037542662</v>
      </c>
      <c r="AC3" s="6">
        <f>(E3)/(G3+0.44*M3+U3)</f>
        <v>1.1528326745718049</v>
      </c>
      <c r="AD3" s="9">
        <f>100*(F3+0.5*I3)/(G3)</f>
        <v>57.22543352601155</v>
      </c>
      <c r="AE3" s="4">
        <f>100*(AA3/TOTAL_BASIC!$C$81)</f>
        <v>112.28416605437177</v>
      </c>
      <c r="AF3" s="4">
        <f>100*AC3/TOTAL_BASIC!$C$82</f>
        <v>111.22217930511064</v>
      </c>
      <c r="AG3" s="4">
        <f>100*N3/TOTAL_BASIC!$C$87</f>
        <v>119.7625</v>
      </c>
      <c r="AH3" s="4">
        <f>100*AD3/TOTAL_BASIC!$C$86</f>
        <v>109.41962436749317</v>
      </c>
      <c r="AI3" s="3">
        <f>T3/V3</f>
        <v>0.22580645161290319</v>
      </c>
      <c r="AJ3" s="9">
        <f>100*(U3)/(G3+0.44*M3+U3)</f>
        <v>11.763598720120457</v>
      </c>
      <c r="AM3" s="4">
        <f t="shared" ref="AM3:AM17" si="0">(PERCENTRANK(D$3:D$78,D3))*100</f>
        <v>94.1</v>
      </c>
      <c r="AN3" s="4">
        <f t="shared" ref="AN3:AN17" si="1">(PERCENTRANK(E$3:E$78,E3))*100</f>
        <v>100</v>
      </c>
      <c r="AO3" s="4">
        <f t="shared" ref="AO3:AO17" si="2">(PERCENTRANK(F$3:F$78,F3))*100</f>
        <v>100</v>
      </c>
      <c r="AP3" s="4">
        <f t="shared" ref="AP3:AP17" si="3">(PERCENTRANK(G$3:G$78,G3))*100</f>
        <v>96</v>
      </c>
      <c r="AQ3" s="4">
        <f t="shared" ref="AQ3:AQ17" si="4">(PERCENTRANK(H$3:H$78,H3))*100</f>
        <v>80.300000000000011</v>
      </c>
      <c r="AR3" s="4">
        <f t="shared" ref="AR3:AR17" si="5">(PERCENTRANK(I$3:I$78,I3))*100</f>
        <v>70.5</v>
      </c>
      <c r="AS3" s="4">
        <f t="shared" ref="AS3:AS17" si="6">(PERCENTRANK(J$3:J$78,J3))*100</f>
        <v>64.7</v>
      </c>
      <c r="AT3" s="4">
        <f t="shared" ref="AT3:AT17" si="7">(PERCENTRANK(K$3:K$78,K3))*100</f>
        <v>74.5</v>
      </c>
      <c r="AU3" s="4">
        <f t="shared" ref="AU3:AU17" si="8">(PERCENTRANK(L$3:L$78,L3))*100</f>
        <v>100</v>
      </c>
      <c r="AV3" s="4">
        <f t="shared" ref="AV3:AV17" si="9">(PERCENTRANK(M$3:M$78,M3))*100</f>
        <v>100</v>
      </c>
      <c r="AW3" s="4">
        <f t="shared" ref="AW3:AW17" si="10">(PERCENTRANK(N$3:N$78,N3))*100</f>
        <v>88.2</v>
      </c>
      <c r="AX3" s="4">
        <f t="shared" ref="AX3:AX17" si="11">(PERCENTRANK(O$3:O$78,O3))*100</f>
        <v>19.600000000000001</v>
      </c>
      <c r="AY3" s="4">
        <f t="shared" ref="AY3:AY17" si="12">(PERCENTRANK(P$3:P$78,P3))*100</f>
        <v>84.3</v>
      </c>
      <c r="AZ3" s="4">
        <f t="shared" ref="AZ3:AZ17" si="13">(PERCENTRANK(Q$3:Q$78,Q3))*100</f>
        <v>78.400000000000006</v>
      </c>
      <c r="BA3" s="4">
        <f t="shared" ref="BA3:BA17" si="14">(PERCENTRANK(R$3:R$78,R3))*100</f>
        <v>98</v>
      </c>
      <c r="BB3" s="4">
        <f t="shared" ref="BB3:BB17" si="15">(PERCENTRANK(S$3:S$78,S3))*100</f>
        <v>54.900000000000006</v>
      </c>
      <c r="BC3" s="4">
        <f t="shared" ref="BC3:BC17" si="16">(PERCENTRANK(T$3:T$78,T3))*100</f>
        <v>76.400000000000006</v>
      </c>
      <c r="BD3" s="4">
        <f t="shared" ref="BD3:BD54" si="17">100-(PERCENTRANK(U$3:U$78,U3))*100</f>
        <v>5.9000000000000057</v>
      </c>
      <c r="BE3" s="4">
        <f t="shared" ref="BE3:BE54" si="18">100-(PERCENTRANK(V$3:V$78,V3))*100</f>
        <v>23.599999999999994</v>
      </c>
      <c r="BF3" s="4">
        <f t="shared" ref="BF3:BF28" si="19">(PERCENTRANK(W$3:W$78,W3))*100</f>
        <v>98</v>
      </c>
      <c r="BG3" s="4">
        <f t="shared" ref="BG3:BG28" si="20">(PERCENTRANK(X$3:X$78,X3))*100</f>
        <v>98</v>
      </c>
      <c r="BH3" s="4">
        <f t="shared" ref="BH3:BH28" si="21">(PERCENTRANK(Y$3:Y$78,Y3))*100</f>
        <v>66.600000000000009</v>
      </c>
      <c r="BI3" s="4">
        <f t="shared" ref="BI3:BI28" si="22">(PERCENTRANK(Z$3:Z$78,Z3))*100</f>
        <v>74</v>
      </c>
      <c r="BJ3" s="4">
        <f t="shared" ref="BJ3:BJ28" si="23">(PERCENTRANK(AA$3:AA$78,AA3))*100</f>
        <v>92.100000000000009</v>
      </c>
      <c r="BK3" s="4">
        <f t="shared" ref="BK3:BK28" si="24">(PERCENTRANK(AB$3:AB$78,AB3))*100</f>
        <v>92.100000000000009</v>
      </c>
      <c r="BL3" s="4">
        <f t="shared" ref="BL3:BL28" si="25">(PERCENTRANK(AC$3:AC$78,AC3))*100</f>
        <v>90.100000000000009</v>
      </c>
      <c r="BM3" s="4">
        <f t="shared" ref="BM3:BM28" si="26">(PERCENTRANK(AD$3:AD$78,AD3))*100</f>
        <v>82.3</v>
      </c>
      <c r="BN3" s="4">
        <f t="shared" ref="BN3:BN54" si="27">(PERCENTRANK(AI$3:AI$78,AI3))*100</f>
        <v>72.5</v>
      </c>
      <c r="BO3" s="4">
        <f>100-((PERCENTRANK(AJ$3:AJ$78,AJ3))*100)</f>
        <v>47.099999999999994</v>
      </c>
    </row>
    <row r="4" spans="1:67">
      <c r="A4" s="2">
        <v>2</v>
      </c>
      <c r="B4" s="5" t="s">
        <v>69</v>
      </c>
      <c r="C4" s="2">
        <v>12</v>
      </c>
      <c r="D4" s="9">
        <v>22.2</v>
      </c>
      <c r="E4" s="9">
        <v>24.3</v>
      </c>
      <c r="F4" s="9">
        <v>8.8000000000000007</v>
      </c>
      <c r="G4" s="9">
        <v>17.3</v>
      </c>
      <c r="H4" s="9">
        <v>50.5</v>
      </c>
      <c r="I4" s="9">
        <v>3.1</v>
      </c>
      <c r="J4" s="9">
        <v>7</v>
      </c>
      <c r="K4" s="9">
        <v>44</v>
      </c>
      <c r="L4" s="9">
        <v>1.8</v>
      </c>
      <c r="M4" s="9">
        <v>1.9</v>
      </c>
      <c r="N4" s="9">
        <v>95.7</v>
      </c>
      <c r="O4" s="9">
        <v>0.8</v>
      </c>
      <c r="P4" s="9">
        <v>5</v>
      </c>
      <c r="Q4" s="9">
        <v>5.8</v>
      </c>
      <c r="R4" s="9">
        <v>6.4</v>
      </c>
      <c r="S4" s="9">
        <v>1.4</v>
      </c>
      <c r="T4" s="9">
        <v>0.5</v>
      </c>
      <c r="U4" s="9">
        <v>2.7</v>
      </c>
      <c r="V4" s="9">
        <v>2.6</v>
      </c>
      <c r="W4" s="9">
        <f t="shared" ref="W4:W54" si="28">F4-I4</f>
        <v>5.7000000000000011</v>
      </c>
      <c r="X4" s="9">
        <f t="shared" ref="X4:X54" si="29">G4-J4</f>
        <v>10.3</v>
      </c>
      <c r="Y4" s="9">
        <f t="shared" ref="Y4:Y54" si="30">IF(X4=0,"0",(W4/X4)*100)</f>
        <v>55.339805825242728</v>
      </c>
      <c r="Z4" s="6">
        <f t="shared" ref="Z4:Z54" si="31">IF(U4=0,"0",R4/U4)</f>
        <v>2.3703703703703702</v>
      </c>
      <c r="AA4" s="9">
        <f t="shared" ref="AA4:AA54" si="32">100*(E4)/(2*(G4+0.44*M4))</f>
        <v>66.993824437582717</v>
      </c>
      <c r="AB4" s="6">
        <f t="shared" ref="AB4:AB54" si="33">2*AA4/100</f>
        <v>1.3398764887516543</v>
      </c>
      <c r="AC4" s="6">
        <f t="shared" ref="AC4:AC54" si="34">(E4)/(G4+0.44*M4+U4)</f>
        <v>1.166250719907852</v>
      </c>
      <c r="AD4" s="9">
        <f t="shared" ref="AD4:AD54" si="35">100*(F4+0.5*I4)/(G4)</f>
        <v>59.826589595375737</v>
      </c>
      <c r="AE4" s="4">
        <f>100*(AA4/TOTAL_BASIC!$C$81)</f>
        <v>115.15022588738464</v>
      </c>
      <c r="AF4" s="4">
        <f>100*AC4/TOTAL_BASIC!$C$82</f>
        <v>112.51671603815755</v>
      </c>
      <c r="AG4" s="4">
        <f>100*N4/TOTAL_BASIC!$C$87</f>
        <v>124.17411971830985</v>
      </c>
      <c r="AH4" s="4">
        <f>100*AD4/TOTAL_BASIC!$C$86</f>
        <v>114.39324365692474</v>
      </c>
      <c r="AI4" s="3">
        <f t="shared" ref="AI4:AI54" si="36">T4/V4</f>
        <v>0.19230769230769229</v>
      </c>
      <c r="AJ4" s="9">
        <f t="shared" ref="AJ4:AJ54" si="37">100*(U4)/(G4+0.44*M4+U4)</f>
        <v>12.958341332309466</v>
      </c>
      <c r="AM4" s="4">
        <f t="shared" si="0"/>
        <v>100</v>
      </c>
      <c r="AN4" s="4">
        <f t="shared" si="1"/>
        <v>98</v>
      </c>
      <c r="AO4" s="4">
        <f t="shared" si="2"/>
        <v>96</v>
      </c>
      <c r="AP4" s="4">
        <f t="shared" si="3"/>
        <v>96</v>
      </c>
      <c r="AQ4" s="4">
        <f t="shared" si="4"/>
        <v>76.400000000000006</v>
      </c>
      <c r="AR4" s="4">
        <f t="shared" si="5"/>
        <v>98</v>
      </c>
      <c r="AS4" s="4">
        <f t="shared" si="6"/>
        <v>96</v>
      </c>
      <c r="AT4" s="4">
        <f t="shared" si="7"/>
        <v>96</v>
      </c>
      <c r="AU4" s="4">
        <f t="shared" si="8"/>
        <v>86.2</v>
      </c>
      <c r="AV4" s="4">
        <f t="shared" si="9"/>
        <v>74.5</v>
      </c>
      <c r="AW4" s="4">
        <f t="shared" si="10"/>
        <v>90.100000000000009</v>
      </c>
      <c r="AX4" s="4">
        <f t="shared" si="11"/>
        <v>35.199999999999996</v>
      </c>
      <c r="AY4" s="4">
        <f t="shared" si="12"/>
        <v>72.5</v>
      </c>
      <c r="AZ4" s="4">
        <f t="shared" si="13"/>
        <v>70.5</v>
      </c>
      <c r="BA4" s="4">
        <f t="shared" si="14"/>
        <v>100</v>
      </c>
      <c r="BB4" s="4">
        <f t="shared" si="15"/>
        <v>92.100000000000009</v>
      </c>
      <c r="BC4" s="4">
        <f t="shared" si="16"/>
        <v>68.600000000000009</v>
      </c>
      <c r="BD4" s="4">
        <f t="shared" si="17"/>
        <v>4</v>
      </c>
      <c r="BE4" s="4">
        <f t="shared" si="18"/>
        <v>35.299999999999997</v>
      </c>
      <c r="BF4" s="4">
        <f t="shared" si="19"/>
        <v>84.3</v>
      </c>
      <c r="BG4" s="4">
        <f t="shared" si="20"/>
        <v>80.300000000000011</v>
      </c>
      <c r="BH4" s="4">
        <f t="shared" si="21"/>
        <v>54.900000000000006</v>
      </c>
      <c r="BI4" s="4">
        <f t="shared" si="22"/>
        <v>72</v>
      </c>
      <c r="BJ4" s="4">
        <f t="shared" si="23"/>
        <v>96</v>
      </c>
      <c r="BK4" s="4">
        <f t="shared" si="24"/>
        <v>96</v>
      </c>
      <c r="BL4" s="4">
        <f t="shared" si="25"/>
        <v>94.1</v>
      </c>
      <c r="BM4" s="4">
        <f t="shared" si="26"/>
        <v>90.100000000000009</v>
      </c>
      <c r="BN4" s="4">
        <f t="shared" si="27"/>
        <v>64.7</v>
      </c>
      <c r="BO4" s="4">
        <f t="shared" ref="BO4:BO54" si="38">100-((PERCENTRANK(AJ$3:AJ$78,AJ4))*100)</f>
        <v>31.399999999999991</v>
      </c>
    </row>
    <row r="5" spans="1:67">
      <c r="A5" s="2">
        <v>3</v>
      </c>
      <c r="B5" s="5" t="s">
        <v>68</v>
      </c>
      <c r="C5" s="2">
        <v>11</v>
      </c>
      <c r="D5" s="9">
        <v>20.100000000000001</v>
      </c>
      <c r="E5" s="9">
        <v>24</v>
      </c>
      <c r="F5" s="9">
        <v>8.9</v>
      </c>
      <c r="G5" s="9">
        <v>21.2</v>
      </c>
      <c r="H5" s="9">
        <v>42.1</v>
      </c>
      <c r="I5" s="9">
        <v>3.4</v>
      </c>
      <c r="J5" s="9">
        <v>10.5</v>
      </c>
      <c r="K5" s="9">
        <v>31.9</v>
      </c>
      <c r="L5" s="9">
        <v>1.7</v>
      </c>
      <c r="M5" s="9">
        <v>2.2000000000000002</v>
      </c>
      <c r="N5" s="9">
        <v>79.2</v>
      </c>
      <c r="O5" s="9">
        <v>0.9</v>
      </c>
      <c r="P5" s="9">
        <v>5.9</v>
      </c>
      <c r="Q5" s="9">
        <v>6.8</v>
      </c>
      <c r="R5" s="9">
        <v>4.9000000000000004</v>
      </c>
      <c r="S5" s="9">
        <v>0.6</v>
      </c>
      <c r="T5" s="9">
        <v>0.2</v>
      </c>
      <c r="U5" s="9">
        <v>3.5</v>
      </c>
      <c r="V5" s="9">
        <v>3.5</v>
      </c>
      <c r="W5" s="9">
        <f t="shared" si="28"/>
        <v>5.5</v>
      </c>
      <c r="X5" s="9">
        <f t="shared" si="29"/>
        <v>10.7</v>
      </c>
      <c r="Y5" s="9">
        <f t="shared" si="30"/>
        <v>51.401869158878512</v>
      </c>
      <c r="Z5" s="6">
        <f t="shared" si="31"/>
        <v>1.4000000000000001</v>
      </c>
      <c r="AA5" s="9">
        <f t="shared" si="32"/>
        <v>54.132082280765069</v>
      </c>
      <c r="AB5" s="6">
        <f t="shared" si="33"/>
        <v>1.0826416456153014</v>
      </c>
      <c r="AC5" s="6">
        <f t="shared" si="34"/>
        <v>0.93501636278634881</v>
      </c>
      <c r="AD5" s="9">
        <f t="shared" si="35"/>
        <v>50</v>
      </c>
      <c r="AE5" s="4">
        <f>100*(AA5/TOTAL_BASIC!$C$81)</f>
        <v>93.043225322836946</v>
      </c>
      <c r="AF5" s="4">
        <f>100*AC5/TOTAL_BASIC!$C$82</f>
        <v>90.20785049631094</v>
      </c>
      <c r="AG5" s="4">
        <f>100*N5/TOTAL_BASIC!$C$87</f>
        <v>102.76478873239436</v>
      </c>
      <c r="AH5" s="4">
        <f>100*AD5/TOTAL_BASIC!$C$86</f>
        <v>95.60401523018345</v>
      </c>
      <c r="AI5" s="3">
        <f t="shared" si="36"/>
        <v>5.7142857142857148E-2</v>
      </c>
      <c r="AJ5" s="9">
        <f t="shared" si="37"/>
        <v>13.635655290634253</v>
      </c>
      <c r="AM5" s="4">
        <f t="shared" si="0"/>
        <v>94.1</v>
      </c>
      <c r="AN5" s="4">
        <f t="shared" si="1"/>
        <v>96</v>
      </c>
      <c r="AO5" s="4">
        <f t="shared" si="2"/>
        <v>98</v>
      </c>
      <c r="AP5" s="4">
        <f t="shared" si="3"/>
        <v>100</v>
      </c>
      <c r="AQ5" s="4">
        <f t="shared" si="4"/>
        <v>35.199999999999996</v>
      </c>
      <c r="AR5" s="4">
        <f t="shared" si="5"/>
        <v>100</v>
      </c>
      <c r="AS5" s="4">
        <f t="shared" si="6"/>
        <v>100</v>
      </c>
      <c r="AT5" s="4">
        <f t="shared" si="7"/>
        <v>47</v>
      </c>
      <c r="AU5" s="4">
        <f t="shared" si="8"/>
        <v>80.300000000000011</v>
      </c>
      <c r="AV5" s="4">
        <f t="shared" si="9"/>
        <v>82.3</v>
      </c>
      <c r="AW5" s="4">
        <f t="shared" si="10"/>
        <v>56.8</v>
      </c>
      <c r="AX5" s="4">
        <f t="shared" si="11"/>
        <v>52.900000000000006</v>
      </c>
      <c r="AY5" s="4">
        <f t="shared" si="12"/>
        <v>80.300000000000011</v>
      </c>
      <c r="AZ5" s="4">
        <f t="shared" si="13"/>
        <v>80.300000000000011</v>
      </c>
      <c r="BA5" s="4">
        <f t="shared" si="14"/>
        <v>92.100000000000009</v>
      </c>
      <c r="BB5" s="4">
        <f t="shared" si="15"/>
        <v>45</v>
      </c>
      <c r="BC5" s="4">
        <f t="shared" si="16"/>
        <v>29.4</v>
      </c>
      <c r="BD5" s="4">
        <f t="shared" si="17"/>
        <v>0</v>
      </c>
      <c r="BE5" s="4">
        <f t="shared" si="18"/>
        <v>5.9000000000000057</v>
      </c>
      <c r="BF5" s="4">
        <f t="shared" si="19"/>
        <v>76.400000000000006</v>
      </c>
      <c r="BG5" s="4">
        <f t="shared" si="20"/>
        <v>86.2</v>
      </c>
      <c r="BH5" s="4">
        <f t="shared" si="21"/>
        <v>45</v>
      </c>
      <c r="BI5" s="4">
        <f t="shared" si="22"/>
        <v>48</v>
      </c>
      <c r="BJ5" s="4">
        <f t="shared" si="23"/>
        <v>37.200000000000003</v>
      </c>
      <c r="BK5" s="4">
        <f t="shared" si="24"/>
        <v>37.200000000000003</v>
      </c>
      <c r="BL5" s="4">
        <f t="shared" si="25"/>
        <v>27.400000000000002</v>
      </c>
      <c r="BM5" s="4">
        <f t="shared" si="26"/>
        <v>43.1</v>
      </c>
      <c r="BN5" s="4">
        <f t="shared" si="27"/>
        <v>29.4</v>
      </c>
      <c r="BO5" s="4">
        <f t="shared" si="38"/>
        <v>21.599999999999994</v>
      </c>
    </row>
    <row r="6" spans="1:67">
      <c r="A6" s="2">
        <v>4</v>
      </c>
      <c r="B6" s="5" t="s">
        <v>73</v>
      </c>
      <c r="C6" s="2">
        <v>12</v>
      </c>
      <c r="D6" s="9">
        <v>18.600000000000001</v>
      </c>
      <c r="E6" s="9">
        <v>21.6</v>
      </c>
      <c r="F6" s="9">
        <v>8.1999999999999993</v>
      </c>
      <c r="G6" s="9">
        <v>16.7</v>
      </c>
      <c r="H6" s="9">
        <v>49</v>
      </c>
      <c r="I6" s="9">
        <v>2.5</v>
      </c>
      <c r="J6" s="9">
        <v>6.7</v>
      </c>
      <c r="K6" s="9">
        <v>37.5</v>
      </c>
      <c r="L6" s="9">
        <v>1.7</v>
      </c>
      <c r="M6" s="9">
        <v>1.8</v>
      </c>
      <c r="N6" s="9">
        <v>90.9</v>
      </c>
      <c r="O6" s="9">
        <v>0.8</v>
      </c>
      <c r="P6" s="9">
        <v>4.4000000000000004</v>
      </c>
      <c r="Q6" s="9">
        <v>5.3</v>
      </c>
      <c r="R6" s="9">
        <v>5.2</v>
      </c>
      <c r="S6" s="9">
        <v>0.4</v>
      </c>
      <c r="T6" s="9">
        <v>0.1</v>
      </c>
      <c r="U6" s="9">
        <v>1.6</v>
      </c>
      <c r="V6" s="9">
        <v>3.1</v>
      </c>
      <c r="W6" s="9">
        <f t="shared" si="28"/>
        <v>5.6999999999999993</v>
      </c>
      <c r="X6" s="9">
        <f t="shared" si="29"/>
        <v>10</v>
      </c>
      <c r="Y6" s="9">
        <f t="shared" si="30"/>
        <v>56.999999999999993</v>
      </c>
      <c r="Z6" s="6">
        <f t="shared" si="31"/>
        <v>3.25</v>
      </c>
      <c r="AA6" s="9">
        <f t="shared" si="32"/>
        <v>61.742510862108389</v>
      </c>
      <c r="AB6" s="6">
        <f t="shared" si="33"/>
        <v>1.2348502172421678</v>
      </c>
      <c r="AC6" s="6">
        <f t="shared" si="34"/>
        <v>1.1313639220615965</v>
      </c>
      <c r="AD6" s="9">
        <f t="shared" si="35"/>
        <v>56.586826347305383</v>
      </c>
      <c r="AE6" s="4">
        <f>100*(AA6/TOTAL_BASIC!$C$81)</f>
        <v>106.12417088160213</v>
      </c>
      <c r="AF6" s="4">
        <f>100*AC6/TOTAL_BASIC!$C$82</f>
        <v>109.15093211216103</v>
      </c>
      <c r="AG6" s="4">
        <f>100*N6/TOTAL_BASIC!$C$87</f>
        <v>117.94595070422535</v>
      </c>
      <c r="AH6" s="4">
        <f>100*AD6/TOTAL_BASIC!$C$86</f>
        <v>108.19855615871062</v>
      </c>
      <c r="AI6" s="3">
        <f t="shared" si="36"/>
        <v>3.2258064516129031E-2</v>
      </c>
      <c r="AJ6" s="9">
        <f t="shared" si="37"/>
        <v>8.3804734967525647</v>
      </c>
      <c r="AM6" s="4">
        <f t="shared" si="0"/>
        <v>90.100000000000009</v>
      </c>
      <c r="AN6" s="4">
        <f t="shared" si="1"/>
        <v>94.1</v>
      </c>
      <c r="AO6" s="4">
        <f t="shared" si="2"/>
        <v>90.100000000000009</v>
      </c>
      <c r="AP6" s="4">
        <f t="shared" si="3"/>
        <v>94.1</v>
      </c>
      <c r="AQ6" s="4">
        <f t="shared" si="4"/>
        <v>62.7</v>
      </c>
      <c r="AR6" s="4">
        <f t="shared" si="5"/>
        <v>92.100000000000009</v>
      </c>
      <c r="AS6" s="4">
        <f t="shared" si="6"/>
        <v>92.100000000000009</v>
      </c>
      <c r="AT6" s="4">
        <f t="shared" si="7"/>
        <v>80.300000000000011</v>
      </c>
      <c r="AU6" s="4">
        <f t="shared" si="8"/>
        <v>80.300000000000011</v>
      </c>
      <c r="AV6" s="4">
        <f t="shared" si="9"/>
        <v>66.600000000000009</v>
      </c>
      <c r="AW6" s="4">
        <f t="shared" si="10"/>
        <v>86.2</v>
      </c>
      <c r="AX6" s="4">
        <f t="shared" si="11"/>
        <v>35.199999999999996</v>
      </c>
      <c r="AY6" s="4">
        <f t="shared" si="12"/>
        <v>66.600000000000009</v>
      </c>
      <c r="AZ6" s="4">
        <f t="shared" si="13"/>
        <v>66.600000000000009</v>
      </c>
      <c r="BA6" s="4">
        <f t="shared" si="14"/>
        <v>96</v>
      </c>
      <c r="BB6" s="4">
        <f t="shared" si="15"/>
        <v>27.400000000000002</v>
      </c>
      <c r="BC6" s="4">
        <f t="shared" si="16"/>
        <v>19.600000000000001</v>
      </c>
      <c r="BD6" s="4">
        <f t="shared" si="17"/>
        <v>27.5</v>
      </c>
      <c r="BE6" s="4">
        <f t="shared" si="18"/>
        <v>23.599999999999994</v>
      </c>
      <c r="BF6" s="4">
        <f t="shared" si="19"/>
        <v>82.3</v>
      </c>
      <c r="BG6" s="4">
        <f t="shared" si="20"/>
        <v>74.5</v>
      </c>
      <c r="BH6" s="4">
        <f t="shared" si="21"/>
        <v>62.7</v>
      </c>
      <c r="BI6" s="4">
        <f t="shared" si="22"/>
        <v>88</v>
      </c>
      <c r="BJ6" s="4">
        <f t="shared" si="23"/>
        <v>74.5</v>
      </c>
      <c r="BK6" s="4">
        <f t="shared" si="24"/>
        <v>74.5</v>
      </c>
      <c r="BL6" s="4">
        <f t="shared" si="25"/>
        <v>76.400000000000006</v>
      </c>
      <c r="BM6" s="4">
        <f t="shared" si="26"/>
        <v>78.400000000000006</v>
      </c>
      <c r="BN6" s="4">
        <f t="shared" si="27"/>
        <v>19.600000000000001</v>
      </c>
      <c r="BO6" s="4">
        <f t="shared" si="38"/>
        <v>74.599999999999994</v>
      </c>
    </row>
    <row r="7" spans="1:67">
      <c r="A7" s="2">
        <v>5</v>
      </c>
      <c r="B7" s="5" t="s">
        <v>71</v>
      </c>
      <c r="C7" s="2">
        <v>12</v>
      </c>
      <c r="D7" s="9">
        <v>15.8</v>
      </c>
      <c r="E7" s="9">
        <v>21.4</v>
      </c>
      <c r="F7" s="9">
        <v>7.4</v>
      </c>
      <c r="G7" s="9">
        <v>15.6</v>
      </c>
      <c r="H7" s="9">
        <v>47.6</v>
      </c>
      <c r="I7" s="9">
        <v>2.5</v>
      </c>
      <c r="J7" s="9">
        <v>6.7</v>
      </c>
      <c r="K7" s="9">
        <v>37.5</v>
      </c>
      <c r="L7" s="9">
        <v>2.1</v>
      </c>
      <c r="M7" s="9">
        <v>2.4</v>
      </c>
      <c r="N7" s="9">
        <v>86.2</v>
      </c>
      <c r="O7" s="9">
        <v>0.9</v>
      </c>
      <c r="P7" s="9">
        <v>3.6</v>
      </c>
      <c r="Q7" s="9">
        <v>4.5</v>
      </c>
      <c r="R7" s="9">
        <v>2.9</v>
      </c>
      <c r="S7" s="9">
        <v>1</v>
      </c>
      <c r="T7" s="9">
        <v>0.7</v>
      </c>
      <c r="U7" s="9">
        <v>1.7</v>
      </c>
      <c r="V7" s="9">
        <v>1.8</v>
      </c>
      <c r="W7" s="9">
        <f t="shared" si="28"/>
        <v>4.9000000000000004</v>
      </c>
      <c r="X7" s="9">
        <f t="shared" si="29"/>
        <v>8.8999999999999986</v>
      </c>
      <c r="Y7" s="9">
        <f t="shared" si="30"/>
        <v>55.05617977528091</v>
      </c>
      <c r="Z7" s="6">
        <f t="shared" si="31"/>
        <v>1.7058823529411764</v>
      </c>
      <c r="AA7" s="9">
        <f t="shared" si="32"/>
        <v>64.241114313160423</v>
      </c>
      <c r="AB7" s="6">
        <f t="shared" si="33"/>
        <v>1.2848222862632084</v>
      </c>
      <c r="AC7" s="6">
        <f t="shared" si="34"/>
        <v>1.1658313358030072</v>
      </c>
      <c r="AD7" s="9">
        <f t="shared" si="35"/>
        <v>55.448717948717949</v>
      </c>
      <c r="AE7" s="4">
        <f>100*(AA7/TOTAL_BASIC!$C$81)</f>
        <v>110.41881675690517</v>
      </c>
      <c r="AF7" s="4">
        <f>100*AC7/TOTAL_BASIC!$C$82</f>
        <v>112.47625499369238</v>
      </c>
      <c r="AG7" s="4">
        <f>100*N7/TOTAL_BASIC!$C$87</f>
        <v>111.8475352112676</v>
      </c>
      <c r="AH7" s="4">
        <f>100*AD7/TOTAL_BASIC!$C$86</f>
        <v>106.02240150526755</v>
      </c>
      <c r="AI7" s="3">
        <f t="shared" si="36"/>
        <v>0.38888888888888884</v>
      </c>
      <c r="AJ7" s="9">
        <f t="shared" si="37"/>
        <v>9.2612769666594037</v>
      </c>
      <c r="AM7" s="4">
        <f t="shared" si="0"/>
        <v>68.600000000000009</v>
      </c>
      <c r="AN7" s="4">
        <f t="shared" si="1"/>
        <v>92.100000000000009</v>
      </c>
      <c r="AO7" s="4">
        <f t="shared" si="2"/>
        <v>82.3</v>
      </c>
      <c r="AP7" s="4">
        <f t="shared" si="3"/>
        <v>90.100000000000009</v>
      </c>
      <c r="AQ7" s="4">
        <f t="shared" si="4"/>
        <v>56.8</v>
      </c>
      <c r="AR7" s="4">
        <f t="shared" si="5"/>
        <v>92.100000000000009</v>
      </c>
      <c r="AS7" s="4">
        <f t="shared" si="6"/>
        <v>92.100000000000009</v>
      </c>
      <c r="AT7" s="4">
        <f t="shared" si="7"/>
        <v>80.300000000000011</v>
      </c>
      <c r="AU7" s="4">
        <f t="shared" si="8"/>
        <v>92.100000000000009</v>
      </c>
      <c r="AV7" s="4">
        <f t="shared" si="9"/>
        <v>86.2</v>
      </c>
      <c r="AW7" s="4">
        <f t="shared" si="10"/>
        <v>72.5</v>
      </c>
      <c r="AX7" s="4">
        <f t="shared" si="11"/>
        <v>52.900000000000006</v>
      </c>
      <c r="AY7" s="4">
        <f t="shared" si="12"/>
        <v>49</v>
      </c>
      <c r="AZ7" s="4">
        <f t="shared" si="13"/>
        <v>50.9</v>
      </c>
      <c r="BA7" s="4">
        <f t="shared" si="14"/>
        <v>70.5</v>
      </c>
      <c r="BB7" s="4">
        <f t="shared" si="15"/>
        <v>70.5</v>
      </c>
      <c r="BC7" s="4">
        <f t="shared" si="16"/>
        <v>76.400000000000006</v>
      </c>
      <c r="BD7" s="4">
        <f t="shared" si="17"/>
        <v>23.599999999999994</v>
      </c>
      <c r="BE7" s="4">
        <f t="shared" si="18"/>
        <v>84.4</v>
      </c>
      <c r="BF7" s="4">
        <f t="shared" si="19"/>
        <v>66.600000000000009</v>
      </c>
      <c r="BG7" s="4">
        <f t="shared" si="20"/>
        <v>64.7</v>
      </c>
      <c r="BH7" s="4">
        <f t="shared" si="21"/>
        <v>50.9</v>
      </c>
      <c r="BI7" s="4">
        <f t="shared" si="22"/>
        <v>54</v>
      </c>
      <c r="BJ7" s="4">
        <f t="shared" si="23"/>
        <v>88.2</v>
      </c>
      <c r="BK7" s="4">
        <f t="shared" si="24"/>
        <v>88.2</v>
      </c>
      <c r="BL7" s="4">
        <f t="shared" si="25"/>
        <v>92.100000000000009</v>
      </c>
      <c r="BM7" s="4">
        <f t="shared" si="26"/>
        <v>64.7</v>
      </c>
      <c r="BN7" s="4">
        <f t="shared" si="27"/>
        <v>88.2</v>
      </c>
      <c r="BO7" s="4">
        <f t="shared" si="38"/>
        <v>64.800000000000011</v>
      </c>
    </row>
    <row r="8" spans="1:67">
      <c r="A8" s="2">
        <v>6</v>
      </c>
      <c r="B8" s="5" t="s">
        <v>72</v>
      </c>
      <c r="C8" s="2">
        <v>10</v>
      </c>
      <c r="D8" s="9">
        <v>18.5</v>
      </c>
      <c r="E8" s="9">
        <v>21.3</v>
      </c>
      <c r="F8" s="9">
        <v>8.6999999999999993</v>
      </c>
      <c r="G8" s="9">
        <v>15.3</v>
      </c>
      <c r="H8" s="9">
        <v>56.9</v>
      </c>
      <c r="I8" s="9">
        <v>0.1</v>
      </c>
      <c r="J8" s="9">
        <v>0.4</v>
      </c>
      <c r="K8" s="9">
        <v>25</v>
      </c>
      <c r="L8" s="9">
        <v>2.2000000000000002</v>
      </c>
      <c r="M8" s="9">
        <v>3</v>
      </c>
      <c r="N8" s="9">
        <v>73.3</v>
      </c>
      <c r="O8" s="9">
        <v>3.8</v>
      </c>
      <c r="P8" s="9">
        <v>8.6999999999999993</v>
      </c>
      <c r="Q8" s="9">
        <v>12.5</v>
      </c>
      <c r="R8" s="9">
        <v>1.8</v>
      </c>
      <c r="S8" s="9">
        <v>0.7</v>
      </c>
      <c r="T8" s="9">
        <v>0.4</v>
      </c>
      <c r="U8" s="9">
        <v>3.2</v>
      </c>
      <c r="V8" s="9">
        <v>3.5</v>
      </c>
      <c r="W8" s="9">
        <f t="shared" si="28"/>
        <v>8.6</v>
      </c>
      <c r="X8" s="9">
        <f t="shared" si="29"/>
        <v>14.9</v>
      </c>
      <c r="Y8" s="9">
        <f t="shared" si="30"/>
        <v>57.718120805369125</v>
      </c>
      <c r="Z8" s="6">
        <f t="shared" si="31"/>
        <v>0.5625</v>
      </c>
      <c r="AA8" s="9">
        <f t="shared" si="32"/>
        <v>64.079422382671481</v>
      </c>
      <c r="AB8" s="6">
        <f t="shared" si="33"/>
        <v>1.2815884476534296</v>
      </c>
      <c r="AC8" s="6">
        <f t="shared" si="34"/>
        <v>1.0746720484359233</v>
      </c>
      <c r="AD8" s="9">
        <f t="shared" si="35"/>
        <v>57.189542483660126</v>
      </c>
      <c r="AE8" s="4">
        <f>100*(AA8/TOTAL_BASIC!$C$81)</f>
        <v>110.14089767292579</v>
      </c>
      <c r="AF8" s="4">
        <f>100*AC8/TOTAL_BASIC!$C$82</f>
        <v>103.6814534335841</v>
      </c>
      <c r="AG8" s="4">
        <f>100*N8/TOTAL_BASIC!$C$87</f>
        <v>95.109330985915491</v>
      </c>
      <c r="AH8" s="4">
        <f>100*AD8/TOTAL_BASIC!$C$86</f>
        <v>109.35099781230133</v>
      </c>
      <c r="AI8" s="3">
        <f t="shared" si="36"/>
        <v>0.1142857142857143</v>
      </c>
      <c r="AJ8" s="9">
        <f t="shared" si="37"/>
        <v>16.145307769929364</v>
      </c>
      <c r="AM8" s="4">
        <f t="shared" si="0"/>
        <v>88.2</v>
      </c>
      <c r="AN8" s="4">
        <f t="shared" si="1"/>
        <v>90.100000000000009</v>
      </c>
      <c r="AO8" s="4">
        <f t="shared" si="2"/>
        <v>94.1</v>
      </c>
      <c r="AP8" s="4">
        <f t="shared" si="3"/>
        <v>88.2</v>
      </c>
      <c r="AQ8" s="4">
        <f t="shared" si="4"/>
        <v>92.100000000000009</v>
      </c>
      <c r="AR8" s="4">
        <f t="shared" si="5"/>
        <v>9.8000000000000007</v>
      </c>
      <c r="AS8" s="4">
        <f t="shared" si="6"/>
        <v>5.8000000000000007</v>
      </c>
      <c r="AT8" s="4">
        <f t="shared" si="7"/>
        <v>31.3</v>
      </c>
      <c r="AU8" s="4">
        <f t="shared" si="8"/>
        <v>94.1</v>
      </c>
      <c r="AV8" s="4">
        <f t="shared" si="9"/>
        <v>94.1</v>
      </c>
      <c r="AW8" s="4">
        <f t="shared" si="10"/>
        <v>47</v>
      </c>
      <c r="AX8" s="4">
        <f t="shared" si="11"/>
        <v>100</v>
      </c>
      <c r="AY8" s="4">
        <f t="shared" si="12"/>
        <v>100</v>
      </c>
      <c r="AZ8" s="4">
        <f t="shared" si="13"/>
        <v>100</v>
      </c>
      <c r="BA8" s="4">
        <f t="shared" si="14"/>
        <v>52.900000000000006</v>
      </c>
      <c r="BB8" s="4">
        <f t="shared" si="15"/>
        <v>50.9</v>
      </c>
      <c r="BC8" s="4">
        <f t="shared" si="16"/>
        <v>62.7</v>
      </c>
      <c r="BD8" s="4">
        <f t="shared" si="17"/>
        <v>2</v>
      </c>
      <c r="BE8" s="4">
        <f t="shared" si="18"/>
        <v>5.9000000000000057</v>
      </c>
      <c r="BF8" s="4">
        <f t="shared" si="19"/>
        <v>100</v>
      </c>
      <c r="BG8" s="4">
        <f t="shared" si="20"/>
        <v>100</v>
      </c>
      <c r="BH8" s="4">
        <f t="shared" si="21"/>
        <v>64.7</v>
      </c>
      <c r="BI8" s="4">
        <f t="shared" si="22"/>
        <v>16</v>
      </c>
      <c r="BJ8" s="4">
        <f t="shared" si="23"/>
        <v>84.3</v>
      </c>
      <c r="BK8" s="4">
        <f t="shared" si="24"/>
        <v>84.3</v>
      </c>
      <c r="BL8" s="4">
        <f t="shared" si="25"/>
        <v>68.600000000000009</v>
      </c>
      <c r="BM8" s="4">
        <f t="shared" si="26"/>
        <v>80.300000000000011</v>
      </c>
      <c r="BN8" s="4">
        <f t="shared" si="27"/>
        <v>47</v>
      </c>
      <c r="BO8" s="4">
        <f t="shared" si="38"/>
        <v>9.8999999999999915</v>
      </c>
    </row>
    <row r="9" spans="1:67">
      <c r="A9" s="2">
        <v>7</v>
      </c>
      <c r="B9" s="5" t="s">
        <v>75</v>
      </c>
      <c r="C9" s="2">
        <v>12</v>
      </c>
      <c r="D9" s="9">
        <v>16.899999999999999</v>
      </c>
      <c r="E9" s="9">
        <v>20.7</v>
      </c>
      <c r="F9" s="9">
        <v>7.5</v>
      </c>
      <c r="G9" s="9">
        <v>15.1</v>
      </c>
      <c r="H9" s="9">
        <v>49.7</v>
      </c>
      <c r="I9" s="9">
        <v>1.1000000000000001</v>
      </c>
      <c r="J9" s="9">
        <v>3.6</v>
      </c>
      <c r="K9" s="9">
        <v>30.2</v>
      </c>
      <c r="L9" s="9">
        <v>2.6</v>
      </c>
      <c r="M9" s="9">
        <v>2.9</v>
      </c>
      <c r="N9" s="9">
        <v>88.6</v>
      </c>
      <c r="O9" s="9">
        <v>1.4</v>
      </c>
      <c r="P9" s="9">
        <v>8.3000000000000007</v>
      </c>
      <c r="Q9" s="9">
        <v>9.6999999999999993</v>
      </c>
      <c r="R9" s="9">
        <v>2.8</v>
      </c>
      <c r="S9" s="9">
        <v>0.9</v>
      </c>
      <c r="T9" s="9">
        <v>0.6</v>
      </c>
      <c r="U9" s="9">
        <v>1.8</v>
      </c>
      <c r="V9" s="9">
        <v>1.9</v>
      </c>
      <c r="W9" s="9">
        <f t="shared" si="28"/>
        <v>6.4</v>
      </c>
      <c r="X9" s="9">
        <f t="shared" si="29"/>
        <v>11.5</v>
      </c>
      <c r="Y9" s="9">
        <f t="shared" si="30"/>
        <v>55.652173913043477</v>
      </c>
      <c r="Z9" s="6">
        <f t="shared" si="31"/>
        <v>1.5555555555555554</v>
      </c>
      <c r="AA9" s="9">
        <f t="shared" si="32"/>
        <v>63.202247191011232</v>
      </c>
      <c r="AB9" s="6">
        <f t="shared" si="33"/>
        <v>1.2640449438202246</v>
      </c>
      <c r="AC9" s="6">
        <f t="shared" si="34"/>
        <v>1.1388644366197183</v>
      </c>
      <c r="AD9" s="9">
        <f t="shared" si="35"/>
        <v>53.311258278145701</v>
      </c>
      <c r="AE9" s="4">
        <f>100*(AA9/TOTAL_BASIC!$C$81)</f>
        <v>108.63319271190217</v>
      </c>
      <c r="AF9" s="4">
        <f>100*AC9/TOTAL_BASIC!$C$82</f>
        <v>109.87456147613082</v>
      </c>
      <c r="AG9" s="4">
        <f>100*N9/TOTAL_BASIC!$C$87</f>
        <v>114.96161971830986</v>
      </c>
      <c r="AH9" s="4">
        <f>100*AD9/TOTAL_BASIC!$C$86</f>
        <v>101.93540696728169</v>
      </c>
      <c r="AI9" s="3">
        <f t="shared" si="36"/>
        <v>0.31578947368421051</v>
      </c>
      <c r="AJ9" s="9">
        <f t="shared" si="37"/>
        <v>9.9031690140845061</v>
      </c>
      <c r="AM9" s="4">
        <f t="shared" si="0"/>
        <v>78.400000000000006</v>
      </c>
      <c r="AN9" s="4">
        <f t="shared" si="1"/>
        <v>88.2</v>
      </c>
      <c r="AO9" s="4">
        <f t="shared" si="2"/>
        <v>86.2</v>
      </c>
      <c r="AP9" s="4">
        <f t="shared" si="3"/>
        <v>86.2</v>
      </c>
      <c r="AQ9" s="4">
        <f t="shared" si="4"/>
        <v>66.600000000000009</v>
      </c>
      <c r="AR9" s="4">
        <f t="shared" si="5"/>
        <v>60.699999999999996</v>
      </c>
      <c r="AS9" s="4">
        <f t="shared" si="6"/>
        <v>58.8</v>
      </c>
      <c r="AT9" s="4">
        <f t="shared" si="7"/>
        <v>43.1</v>
      </c>
      <c r="AU9" s="4">
        <f t="shared" si="8"/>
        <v>96</v>
      </c>
      <c r="AV9" s="4">
        <f t="shared" si="9"/>
        <v>88.2</v>
      </c>
      <c r="AW9" s="4">
        <f t="shared" si="10"/>
        <v>82.3</v>
      </c>
      <c r="AX9" s="4">
        <f t="shared" si="11"/>
        <v>78.400000000000006</v>
      </c>
      <c r="AY9" s="4">
        <f t="shared" si="12"/>
        <v>94.1</v>
      </c>
      <c r="AZ9" s="4">
        <f t="shared" si="13"/>
        <v>92.100000000000009</v>
      </c>
      <c r="BA9" s="4">
        <f t="shared" si="14"/>
        <v>68.600000000000009</v>
      </c>
      <c r="BB9" s="4">
        <f t="shared" si="15"/>
        <v>64.7</v>
      </c>
      <c r="BC9" s="4">
        <f t="shared" si="16"/>
        <v>72.5</v>
      </c>
      <c r="BD9" s="4">
        <f t="shared" si="17"/>
        <v>17.700000000000003</v>
      </c>
      <c r="BE9" s="4">
        <f t="shared" si="18"/>
        <v>76.5</v>
      </c>
      <c r="BF9" s="4">
        <f t="shared" si="19"/>
        <v>88.2</v>
      </c>
      <c r="BG9" s="4">
        <f t="shared" si="20"/>
        <v>92.100000000000009</v>
      </c>
      <c r="BH9" s="4">
        <f t="shared" si="21"/>
        <v>58.8</v>
      </c>
      <c r="BI9" s="4">
        <f t="shared" si="22"/>
        <v>50</v>
      </c>
      <c r="BJ9" s="4">
        <f t="shared" si="23"/>
        <v>82.3</v>
      </c>
      <c r="BK9" s="4">
        <f t="shared" si="24"/>
        <v>82.3</v>
      </c>
      <c r="BL9" s="4">
        <f t="shared" si="25"/>
        <v>82.3</v>
      </c>
      <c r="BM9" s="4">
        <f t="shared" si="26"/>
        <v>54.900000000000006</v>
      </c>
      <c r="BN9" s="4">
        <f t="shared" si="27"/>
        <v>82.3</v>
      </c>
      <c r="BO9" s="4">
        <f t="shared" si="38"/>
        <v>60.8</v>
      </c>
    </row>
    <row r="10" spans="1:67">
      <c r="A10" s="2">
        <v>8</v>
      </c>
      <c r="B10" s="5" t="s">
        <v>74</v>
      </c>
      <c r="C10" s="2">
        <v>9</v>
      </c>
      <c r="D10" s="9">
        <v>17.899999999999999</v>
      </c>
      <c r="E10" s="9">
        <v>20.3</v>
      </c>
      <c r="F10" s="9">
        <v>7.8</v>
      </c>
      <c r="G10" s="9">
        <v>16.100000000000001</v>
      </c>
      <c r="H10" s="9">
        <v>48.3</v>
      </c>
      <c r="I10" s="9">
        <v>2.2000000000000002</v>
      </c>
      <c r="J10" s="9">
        <v>5.6</v>
      </c>
      <c r="K10" s="9">
        <v>40</v>
      </c>
      <c r="L10" s="9">
        <v>1.3</v>
      </c>
      <c r="M10" s="9">
        <v>1.9</v>
      </c>
      <c r="N10" s="9">
        <v>70.599999999999994</v>
      </c>
      <c r="O10" s="9">
        <v>0.8</v>
      </c>
      <c r="P10" s="9">
        <v>3.8</v>
      </c>
      <c r="Q10" s="9">
        <v>4.5999999999999996</v>
      </c>
      <c r="R10" s="9">
        <v>0.7</v>
      </c>
      <c r="S10" s="9">
        <v>0.1</v>
      </c>
      <c r="T10" s="9">
        <v>0.3</v>
      </c>
      <c r="U10" s="9">
        <v>0.8</v>
      </c>
      <c r="V10" s="9">
        <v>3.9</v>
      </c>
      <c r="W10" s="9">
        <f t="shared" si="28"/>
        <v>5.6</v>
      </c>
      <c r="X10" s="9">
        <f t="shared" si="29"/>
        <v>10.500000000000002</v>
      </c>
      <c r="Y10" s="9">
        <f t="shared" si="30"/>
        <v>53.333333333333321</v>
      </c>
      <c r="Z10" s="6">
        <f t="shared" si="31"/>
        <v>0.87499999999999989</v>
      </c>
      <c r="AA10" s="9">
        <f t="shared" si="32"/>
        <v>59.93150684931507</v>
      </c>
      <c r="AB10" s="6">
        <f t="shared" si="33"/>
        <v>1.1986301369863015</v>
      </c>
      <c r="AC10" s="6">
        <f t="shared" si="34"/>
        <v>1.1445647271087054</v>
      </c>
      <c r="AD10" s="9">
        <f t="shared" si="35"/>
        <v>55.279503105590059</v>
      </c>
      <c r="AE10" s="4">
        <f>100*(AA10/TOTAL_BASIC!$C$81)</f>
        <v>103.01138365222992</v>
      </c>
      <c r="AF10" s="4">
        <f>100*AC10/TOTAL_BASIC!$C$82</f>
        <v>110.42451008952595</v>
      </c>
      <c r="AG10" s="4">
        <f>100*N10/TOTAL_BASIC!$C$87</f>
        <v>91.605985915492951</v>
      </c>
      <c r="AH10" s="4">
        <f>100*AD10/TOTAL_BASIC!$C$86</f>
        <v>105.6988491364761</v>
      </c>
      <c r="AI10" s="3">
        <f t="shared" si="36"/>
        <v>7.6923076923076927E-2</v>
      </c>
      <c r="AJ10" s="9">
        <f t="shared" si="37"/>
        <v>4.5105999097880014</v>
      </c>
      <c r="AM10" s="4">
        <f t="shared" si="0"/>
        <v>84.3</v>
      </c>
      <c r="AN10" s="4">
        <f t="shared" si="1"/>
        <v>86.2</v>
      </c>
      <c r="AO10" s="4">
        <f t="shared" si="2"/>
        <v>88.2</v>
      </c>
      <c r="AP10" s="4">
        <f t="shared" si="3"/>
        <v>92.100000000000009</v>
      </c>
      <c r="AQ10" s="4">
        <f t="shared" si="4"/>
        <v>58.8</v>
      </c>
      <c r="AR10" s="4">
        <f t="shared" si="5"/>
        <v>90.100000000000009</v>
      </c>
      <c r="AS10" s="4">
        <f t="shared" si="6"/>
        <v>88.2</v>
      </c>
      <c r="AT10" s="4">
        <f t="shared" si="7"/>
        <v>90.100000000000009</v>
      </c>
      <c r="AU10" s="4">
        <f t="shared" si="8"/>
        <v>64.7</v>
      </c>
      <c r="AV10" s="4">
        <f t="shared" si="9"/>
        <v>74.5</v>
      </c>
      <c r="AW10" s="4">
        <f t="shared" si="10"/>
        <v>43.1</v>
      </c>
      <c r="AX10" s="4">
        <f t="shared" si="11"/>
        <v>35.199999999999996</v>
      </c>
      <c r="AY10" s="4">
        <f t="shared" si="12"/>
        <v>54.900000000000006</v>
      </c>
      <c r="AZ10" s="4">
        <f t="shared" si="13"/>
        <v>54.900000000000006</v>
      </c>
      <c r="BA10" s="4">
        <f t="shared" si="14"/>
        <v>17.599999999999998</v>
      </c>
      <c r="BB10" s="4">
        <f t="shared" si="15"/>
        <v>9.8000000000000007</v>
      </c>
      <c r="BC10" s="4">
        <f t="shared" si="16"/>
        <v>41.099999999999994</v>
      </c>
      <c r="BD10" s="4">
        <f t="shared" si="17"/>
        <v>82.4</v>
      </c>
      <c r="BE10" s="4">
        <f t="shared" si="18"/>
        <v>2</v>
      </c>
      <c r="BF10" s="4">
        <f t="shared" si="19"/>
        <v>78.400000000000006</v>
      </c>
      <c r="BG10" s="4">
        <f t="shared" si="20"/>
        <v>84.3</v>
      </c>
      <c r="BH10" s="4">
        <f t="shared" si="21"/>
        <v>49</v>
      </c>
      <c r="BI10" s="4">
        <f t="shared" si="22"/>
        <v>30</v>
      </c>
      <c r="BJ10" s="4">
        <f t="shared" si="23"/>
        <v>66.600000000000009</v>
      </c>
      <c r="BK10" s="4">
        <f t="shared" si="24"/>
        <v>66.600000000000009</v>
      </c>
      <c r="BL10" s="4">
        <f t="shared" si="25"/>
        <v>84.3</v>
      </c>
      <c r="BM10" s="4">
        <f t="shared" si="26"/>
        <v>62.7</v>
      </c>
      <c r="BN10" s="4">
        <f t="shared" si="27"/>
        <v>31.3</v>
      </c>
      <c r="BO10" s="4">
        <f t="shared" si="38"/>
        <v>98.1</v>
      </c>
    </row>
    <row r="11" spans="1:67">
      <c r="A11" s="2">
        <v>9</v>
      </c>
      <c r="B11" s="5" t="s">
        <v>76</v>
      </c>
      <c r="C11" s="2">
        <v>12</v>
      </c>
      <c r="D11" s="9">
        <v>18.100000000000001</v>
      </c>
      <c r="E11" s="9">
        <v>19.600000000000001</v>
      </c>
      <c r="F11" s="9">
        <v>8.1999999999999993</v>
      </c>
      <c r="G11" s="9">
        <v>15</v>
      </c>
      <c r="H11" s="9">
        <v>54.4</v>
      </c>
      <c r="I11" s="9">
        <v>1.1000000000000001</v>
      </c>
      <c r="J11" s="9">
        <v>3.4</v>
      </c>
      <c r="K11" s="9">
        <v>31.7</v>
      </c>
      <c r="L11" s="9">
        <v>1.2</v>
      </c>
      <c r="M11" s="9">
        <v>1.5</v>
      </c>
      <c r="N11" s="9">
        <v>77.8</v>
      </c>
      <c r="O11" s="9">
        <v>2</v>
      </c>
      <c r="P11" s="9">
        <v>8.3000000000000007</v>
      </c>
      <c r="Q11" s="9">
        <v>10.3</v>
      </c>
      <c r="R11" s="9">
        <v>2.5</v>
      </c>
      <c r="S11" s="9">
        <v>1.1000000000000001</v>
      </c>
      <c r="T11" s="9">
        <v>2</v>
      </c>
      <c r="U11" s="9">
        <v>1.4</v>
      </c>
      <c r="V11" s="9">
        <v>3.3</v>
      </c>
      <c r="W11" s="9">
        <f t="shared" si="28"/>
        <v>7.1</v>
      </c>
      <c r="X11" s="9">
        <f t="shared" si="29"/>
        <v>11.6</v>
      </c>
      <c r="Y11" s="9">
        <f t="shared" si="30"/>
        <v>61.206896551724135</v>
      </c>
      <c r="Z11" s="6">
        <f t="shared" si="31"/>
        <v>1.7857142857142858</v>
      </c>
      <c r="AA11" s="9">
        <f t="shared" si="32"/>
        <v>62.579821200510864</v>
      </c>
      <c r="AB11" s="6">
        <f t="shared" si="33"/>
        <v>1.2515964240102173</v>
      </c>
      <c r="AC11" s="6">
        <f t="shared" si="34"/>
        <v>1.1488862837045724</v>
      </c>
      <c r="AD11" s="9">
        <f t="shared" si="35"/>
        <v>58.333333333333336</v>
      </c>
      <c r="AE11" s="4">
        <f>100*(AA11/TOTAL_BASIC!$C$81)</f>
        <v>107.56335539471674</v>
      </c>
      <c r="AF11" s="4">
        <f>100*AC11/TOTAL_BASIC!$C$82</f>
        <v>110.8414421848634</v>
      </c>
      <c r="AG11" s="4">
        <f>100*N11/TOTAL_BASIC!$C$87</f>
        <v>100.94823943661972</v>
      </c>
      <c r="AH11" s="4">
        <f>100*AD11/TOTAL_BASIC!$C$86</f>
        <v>111.53801776854738</v>
      </c>
      <c r="AI11" s="3">
        <f t="shared" si="36"/>
        <v>0.60606060606060608</v>
      </c>
      <c r="AJ11" s="9">
        <f t="shared" si="37"/>
        <v>8.2063305978898011</v>
      </c>
      <c r="AM11" s="4">
        <f t="shared" si="0"/>
        <v>86.2</v>
      </c>
      <c r="AN11" s="4">
        <f t="shared" si="1"/>
        <v>82.3</v>
      </c>
      <c r="AO11" s="4">
        <f t="shared" si="2"/>
        <v>90.100000000000009</v>
      </c>
      <c r="AP11" s="4">
        <f t="shared" si="3"/>
        <v>84.3</v>
      </c>
      <c r="AQ11" s="4">
        <f t="shared" si="4"/>
        <v>84.3</v>
      </c>
      <c r="AR11" s="4">
        <f t="shared" si="5"/>
        <v>60.699999999999996</v>
      </c>
      <c r="AS11" s="4">
        <f t="shared" si="6"/>
        <v>56.8</v>
      </c>
      <c r="AT11" s="4">
        <f t="shared" si="7"/>
        <v>45</v>
      </c>
      <c r="AU11" s="4">
        <f t="shared" si="8"/>
        <v>56.8</v>
      </c>
      <c r="AV11" s="4">
        <f t="shared" si="9"/>
        <v>56.8</v>
      </c>
      <c r="AW11" s="4">
        <f t="shared" si="10"/>
        <v>52.900000000000006</v>
      </c>
      <c r="AX11" s="4">
        <f t="shared" si="11"/>
        <v>92.100000000000009</v>
      </c>
      <c r="AY11" s="4">
        <f t="shared" si="12"/>
        <v>94.1</v>
      </c>
      <c r="AZ11" s="4">
        <f t="shared" si="13"/>
        <v>96</v>
      </c>
      <c r="BA11" s="4">
        <f t="shared" si="14"/>
        <v>62.7</v>
      </c>
      <c r="BB11" s="4">
        <f t="shared" si="15"/>
        <v>84.3</v>
      </c>
      <c r="BC11" s="4">
        <f t="shared" si="16"/>
        <v>100</v>
      </c>
      <c r="BD11" s="4">
        <f t="shared" si="17"/>
        <v>37.299999999999997</v>
      </c>
      <c r="BE11" s="4">
        <f t="shared" si="18"/>
        <v>13.799999999999997</v>
      </c>
      <c r="BF11" s="4">
        <f t="shared" si="19"/>
        <v>96</v>
      </c>
      <c r="BG11" s="4">
        <f t="shared" si="20"/>
        <v>94.1</v>
      </c>
      <c r="BH11" s="4">
        <f t="shared" si="21"/>
        <v>86.2</v>
      </c>
      <c r="BI11" s="4">
        <f t="shared" si="22"/>
        <v>56.000000000000007</v>
      </c>
      <c r="BJ11" s="4">
        <f t="shared" si="23"/>
        <v>80.300000000000011</v>
      </c>
      <c r="BK11" s="4">
        <f t="shared" si="24"/>
        <v>80.300000000000011</v>
      </c>
      <c r="BL11" s="4">
        <f t="shared" si="25"/>
        <v>86.2</v>
      </c>
      <c r="BM11" s="4">
        <f t="shared" si="26"/>
        <v>88.2</v>
      </c>
      <c r="BN11" s="4">
        <f t="shared" si="27"/>
        <v>96</v>
      </c>
      <c r="BO11" s="4">
        <f t="shared" si="38"/>
        <v>78.5</v>
      </c>
    </row>
    <row r="12" spans="1:67">
      <c r="A12" s="2">
        <v>10</v>
      </c>
      <c r="B12" s="5" t="s">
        <v>77</v>
      </c>
      <c r="C12" s="2">
        <v>12</v>
      </c>
      <c r="D12" s="9">
        <v>16.100000000000001</v>
      </c>
      <c r="E12" s="9">
        <v>19.600000000000001</v>
      </c>
      <c r="F12" s="9">
        <v>7.3</v>
      </c>
      <c r="G12" s="9">
        <v>14.8</v>
      </c>
      <c r="H12" s="9">
        <v>48.9</v>
      </c>
      <c r="I12" s="9">
        <v>2</v>
      </c>
      <c r="J12" s="9">
        <v>5.2</v>
      </c>
      <c r="K12" s="9">
        <v>38.700000000000003</v>
      </c>
      <c r="L12" s="9">
        <v>1.7</v>
      </c>
      <c r="M12" s="9">
        <v>2.1</v>
      </c>
      <c r="N12" s="9">
        <v>80</v>
      </c>
      <c r="O12" s="9">
        <v>0.4</v>
      </c>
      <c r="P12" s="9">
        <v>3.7</v>
      </c>
      <c r="Q12" s="9">
        <v>4.0999999999999996</v>
      </c>
      <c r="R12" s="9">
        <v>2.2999999999999998</v>
      </c>
      <c r="S12" s="9">
        <v>1.5</v>
      </c>
      <c r="T12" s="9">
        <v>0.3</v>
      </c>
      <c r="U12" s="9">
        <v>2.1</v>
      </c>
      <c r="V12" s="9">
        <v>3.3</v>
      </c>
      <c r="W12" s="9">
        <f t="shared" si="28"/>
        <v>5.3</v>
      </c>
      <c r="X12" s="9">
        <f t="shared" si="29"/>
        <v>9.6000000000000014</v>
      </c>
      <c r="Y12" s="9">
        <f t="shared" si="30"/>
        <v>55.208333333333329</v>
      </c>
      <c r="Z12" s="6">
        <f t="shared" si="31"/>
        <v>1.0952380952380951</v>
      </c>
      <c r="AA12" s="9">
        <f t="shared" si="32"/>
        <v>62.325108114983472</v>
      </c>
      <c r="AB12" s="6">
        <f t="shared" si="33"/>
        <v>1.2465021622996695</v>
      </c>
      <c r="AC12" s="6">
        <f t="shared" si="34"/>
        <v>1.0996409335727109</v>
      </c>
      <c r="AD12" s="9">
        <f t="shared" si="35"/>
        <v>56.081081081081088</v>
      </c>
      <c r="AE12" s="4">
        <f>100*(AA12/TOTAL_BASIC!$C$81)</f>
        <v>107.12554982709641</v>
      </c>
      <c r="AF12" s="4">
        <f>100*AC12/TOTAL_BASIC!$C$82</f>
        <v>106.09038395835776</v>
      </c>
      <c r="AG12" s="4">
        <f>100*N12/TOTAL_BASIC!$C$87</f>
        <v>103.80281690140845</v>
      </c>
      <c r="AH12" s="4">
        <f>100*AD12/TOTAL_BASIC!$C$86</f>
        <v>107.23153059601658</v>
      </c>
      <c r="AI12" s="3">
        <f t="shared" si="36"/>
        <v>9.0909090909090912E-2</v>
      </c>
      <c r="AJ12" s="9">
        <f t="shared" si="37"/>
        <v>11.781867145421902</v>
      </c>
      <c r="AM12" s="4">
        <f t="shared" si="0"/>
        <v>72.5</v>
      </c>
      <c r="AN12" s="4">
        <f t="shared" si="1"/>
        <v>82.3</v>
      </c>
      <c r="AO12" s="4">
        <f t="shared" si="2"/>
        <v>78.400000000000006</v>
      </c>
      <c r="AP12" s="4">
        <f t="shared" si="3"/>
        <v>80.300000000000011</v>
      </c>
      <c r="AQ12" s="4">
        <f t="shared" si="4"/>
        <v>60.699999999999996</v>
      </c>
      <c r="AR12" s="4">
        <f t="shared" si="5"/>
        <v>86.2</v>
      </c>
      <c r="AS12" s="4">
        <f t="shared" si="6"/>
        <v>82.3</v>
      </c>
      <c r="AT12" s="4">
        <f t="shared" si="7"/>
        <v>88.2</v>
      </c>
      <c r="AU12" s="4">
        <f t="shared" si="8"/>
        <v>80.300000000000011</v>
      </c>
      <c r="AV12" s="4">
        <f t="shared" si="9"/>
        <v>80.300000000000011</v>
      </c>
      <c r="AW12" s="4">
        <f t="shared" si="10"/>
        <v>58.8</v>
      </c>
      <c r="AX12" s="4">
        <f t="shared" si="11"/>
        <v>9.8000000000000007</v>
      </c>
      <c r="AY12" s="4">
        <f t="shared" si="12"/>
        <v>50.9</v>
      </c>
      <c r="AZ12" s="4">
        <f t="shared" si="13"/>
        <v>43.1</v>
      </c>
      <c r="BA12" s="4">
        <f t="shared" si="14"/>
        <v>58.8</v>
      </c>
      <c r="BB12" s="4">
        <f t="shared" si="15"/>
        <v>96</v>
      </c>
      <c r="BC12" s="4">
        <f t="shared" si="16"/>
        <v>41.099999999999994</v>
      </c>
      <c r="BD12" s="4">
        <f t="shared" si="17"/>
        <v>9.8999999999999915</v>
      </c>
      <c r="BE12" s="4">
        <f t="shared" si="18"/>
        <v>13.799999999999997</v>
      </c>
      <c r="BF12" s="4">
        <f t="shared" si="19"/>
        <v>70.5</v>
      </c>
      <c r="BG12" s="4">
        <f t="shared" si="20"/>
        <v>72.5</v>
      </c>
      <c r="BH12" s="4">
        <f t="shared" si="21"/>
        <v>52.900000000000006</v>
      </c>
      <c r="BI12" s="4">
        <f t="shared" si="22"/>
        <v>42</v>
      </c>
      <c r="BJ12" s="4">
        <f t="shared" si="23"/>
        <v>76.400000000000006</v>
      </c>
      <c r="BK12" s="4">
        <f t="shared" si="24"/>
        <v>76.400000000000006</v>
      </c>
      <c r="BL12" s="4">
        <f t="shared" si="25"/>
        <v>72.5</v>
      </c>
      <c r="BM12" s="4">
        <f t="shared" si="26"/>
        <v>70.5</v>
      </c>
      <c r="BN12" s="4">
        <f t="shared" si="27"/>
        <v>37.200000000000003</v>
      </c>
      <c r="BO12" s="4">
        <f t="shared" si="38"/>
        <v>45.099999999999994</v>
      </c>
    </row>
    <row r="13" spans="1:67">
      <c r="A13" s="2">
        <v>11</v>
      </c>
      <c r="B13" s="5" t="s">
        <v>78</v>
      </c>
      <c r="C13" s="2">
        <v>12</v>
      </c>
      <c r="D13" s="9">
        <v>15.4</v>
      </c>
      <c r="E13" s="9">
        <v>17.899999999999999</v>
      </c>
      <c r="F13" s="9">
        <v>7.3</v>
      </c>
      <c r="G13" s="9">
        <v>13.3</v>
      </c>
      <c r="H13" s="9">
        <v>54.4</v>
      </c>
      <c r="I13" s="9">
        <v>0.3</v>
      </c>
      <c r="J13" s="9">
        <v>1.5</v>
      </c>
      <c r="K13" s="9">
        <v>16.7</v>
      </c>
      <c r="L13" s="9">
        <v>1.8</v>
      </c>
      <c r="M13" s="9">
        <v>2.9</v>
      </c>
      <c r="N13" s="9">
        <v>60</v>
      </c>
      <c r="O13" s="9">
        <v>1.7</v>
      </c>
      <c r="P13" s="9">
        <v>6.6</v>
      </c>
      <c r="Q13" s="9">
        <v>8.3000000000000007</v>
      </c>
      <c r="R13" s="9">
        <v>1.1000000000000001</v>
      </c>
      <c r="S13" s="9">
        <v>1</v>
      </c>
      <c r="T13" s="9">
        <v>0</v>
      </c>
      <c r="U13" s="9">
        <v>1</v>
      </c>
      <c r="V13" s="9">
        <v>3.2</v>
      </c>
      <c r="W13" s="9">
        <f t="shared" si="28"/>
        <v>7</v>
      </c>
      <c r="X13" s="9">
        <f t="shared" si="29"/>
        <v>11.8</v>
      </c>
      <c r="Y13" s="9">
        <f t="shared" si="30"/>
        <v>59.322033898305079</v>
      </c>
      <c r="Z13" s="6">
        <f t="shared" si="31"/>
        <v>1.1000000000000001</v>
      </c>
      <c r="AA13" s="9">
        <f t="shared" si="32"/>
        <v>61.402305159165742</v>
      </c>
      <c r="AB13" s="6">
        <f t="shared" si="33"/>
        <v>1.2280461031833148</v>
      </c>
      <c r="AC13" s="6">
        <f t="shared" si="34"/>
        <v>1.1492039034411914</v>
      </c>
      <c r="AD13" s="9">
        <f t="shared" si="35"/>
        <v>56.015037593984957</v>
      </c>
      <c r="AE13" s="4">
        <f>100*(AA13/TOTAL_BASIC!$C$81)</f>
        <v>105.53941902020449</v>
      </c>
      <c r="AF13" s="4">
        <f>100*AC13/TOTAL_BASIC!$C$82</f>
        <v>110.87208527824224</v>
      </c>
      <c r="AG13" s="4">
        <f>100*N13/TOTAL_BASIC!$C$87</f>
        <v>77.852112676056336</v>
      </c>
      <c r="AH13" s="4">
        <f>100*AD13/TOTAL_BASIC!$C$86</f>
        <v>107.10525014509273</v>
      </c>
      <c r="AI13" s="3">
        <f t="shared" si="36"/>
        <v>0</v>
      </c>
      <c r="AJ13" s="9">
        <f t="shared" si="37"/>
        <v>6.4201335387776064</v>
      </c>
      <c r="AM13" s="4">
        <f t="shared" si="0"/>
        <v>64.7</v>
      </c>
      <c r="AN13" s="4">
        <f t="shared" si="1"/>
        <v>80.300000000000011</v>
      </c>
      <c r="AO13" s="4">
        <f t="shared" si="2"/>
        <v>78.400000000000006</v>
      </c>
      <c r="AP13" s="4">
        <f t="shared" si="3"/>
        <v>68.600000000000009</v>
      </c>
      <c r="AQ13" s="4">
        <f t="shared" si="4"/>
        <v>84.3</v>
      </c>
      <c r="AR13" s="4">
        <f t="shared" si="5"/>
        <v>19.600000000000001</v>
      </c>
      <c r="AS13" s="4">
        <f t="shared" si="6"/>
        <v>27.400000000000002</v>
      </c>
      <c r="AT13" s="4">
        <f t="shared" si="7"/>
        <v>19.600000000000001</v>
      </c>
      <c r="AU13" s="4">
        <f t="shared" si="8"/>
        <v>86.2</v>
      </c>
      <c r="AV13" s="4">
        <f t="shared" si="9"/>
        <v>88.2</v>
      </c>
      <c r="AW13" s="4">
        <f t="shared" si="10"/>
        <v>33.300000000000004</v>
      </c>
      <c r="AX13" s="4">
        <f t="shared" si="11"/>
        <v>84.3</v>
      </c>
      <c r="AY13" s="4">
        <f t="shared" si="12"/>
        <v>86.2</v>
      </c>
      <c r="AZ13" s="4">
        <f t="shared" si="13"/>
        <v>88.2</v>
      </c>
      <c r="BA13" s="4">
        <f t="shared" si="14"/>
        <v>29.4</v>
      </c>
      <c r="BB13" s="4">
        <f t="shared" si="15"/>
        <v>70.5</v>
      </c>
      <c r="BC13" s="4">
        <f t="shared" si="16"/>
        <v>0</v>
      </c>
      <c r="BD13" s="4">
        <f t="shared" si="17"/>
        <v>72.599999999999994</v>
      </c>
      <c r="BE13" s="4">
        <f t="shared" si="18"/>
        <v>15.700000000000003</v>
      </c>
      <c r="BF13" s="4">
        <f t="shared" si="19"/>
        <v>94.1</v>
      </c>
      <c r="BG13" s="4">
        <f t="shared" si="20"/>
        <v>96</v>
      </c>
      <c r="BH13" s="4">
        <f t="shared" si="21"/>
        <v>80.300000000000011</v>
      </c>
      <c r="BI13" s="4">
        <f t="shared" si="22"/>
        <v>44</v>
      </c>
      <c r="BJ13" s="4">
        <f t="shared" si="23"/>
        <v>70.5</v>
      </c>
      <c r="BK13" s="4">
        <f t="shared" si="24"/>
        <v>70.5</v>
      </c>
      <c r="BL13" s="4">
        <f t="shared" si="25"/>
        <v>88.2</v>
      </c>
      <c r="BM13" s="4">
        <f t="shared" si="26"/>
        <v>68.600000000000009</v>
      </c>
      <c r="BN13" s="4">
        <f t="shared" si="27"/>
        <v>0</v>
      </c>
      <c r="BO13" s="4">
        <f t="shared" si="38"/>
        <v>86.3</v>
      </c>
    </row>
    <row r="14" spans="1:67">
      <c r="A14" s="2">
        <v>12</v>
      </c>
      <c r="B14" s="5" t="s">
        <v>80</v>
      </c>
      <c r="C14" s="2">
        <v>12</v>
      </c>
      <c r="D14" s="9">
        <v>17.8</v>
      </c>
      <c r="E14" s="9">
        <v>17.8</v>
      </c>
      <c r="F14" s="9">
        <v>7.4</v>
      </c>
      <c r="G14" s="9">
        <v>14.5</v>
      </c>
      <c r="H14" s="9">
        <v>51.1</v>
      </c>
      <c r="I14" s="9">
        <v>1.8</v>
      </c>
      <c r="J14" s="9">
        <v>4.9000000000000004</v>
      </c>
      <c r="K14" s="9">
        <v>37.299999999999997</v>
      </c>
      <c r="L14" s="9">
        <v>0.7</v>
      </c>
      <c r="M14" s="9">
        <v>1.2</v>
      </c>
      <c r="N14" s="9">
        <v>57.1</v>
      </c>
      <c r="O14" s="9">
        <v>0.5</v>
      </c>
      <c r="P14" s="9">
        <v>2.2999999999999998</v>
      </c>
      <c r="Q14" s="9">
        <v>2.8</v>
      </c>
      <c r="R14" s="9">
        <v>2.2000000000000002</v>
      </c>
      <c r="S14" s="9">
        <v>1</v>
      </c>
      <c r="T14" s="9">
        <v>0.2</v>
      </c>
      <c r="U14" s="9">
        <v>0.9</v>
      </c>
      <c r="V14" s="9">
        <v>2.5</v>
      </c>
      <c r="W14" s="9">
        <f t="shared" si="28"/>
        <v>5.6000000000000005</v>
      </c>
      <c r="X14" s="9">
        <f t="shared" si="29"/>
        <v>9.6</v>
      </c>
      <c r="Y14" s="9">
        <f t="shared" si="30"/>
        <v>58.333333333333336</v>
      </c>
      <c r="Z14" s="6">
        <f t="shared" si="31"/>
        <v>2.4444444444444446</v>
      </c>
      <c r="AA14" s="9">
        <f t="shared" si="32"/>
        <v>59.222784136278946</v>
      </c>
      <c r="AB14" s="6">
        <f t="shared" si="33"/>
        <v>1.184455682725579</v>
      </c>
      <c r="AC14" s="6">
        <f t="shared" si="34"/>
        <v>1.1175288799598191</v>
      </c>
      <c r="AD14" s="9">
        <f t="shared" si="35"/>
        <v>57.241379310344833</v>
      </c>
      <c r="AE14" s="4">
        <f>100*(AA14/TOTAL_BASIC!$C$81)</f>
        <v>101.79321793049741</v>
      </c>
      <c r="AF14" s="4">
        <f>100*AC14/TOTAL_BASIC!$C$82</f>
        <v>107.81616465867157</v>
      </c>
      <c r="AG14" s="4">
        <f>100*N14/TOTAL_BASIC!$C$87</f>
        <v>74.089260563380279</v>
      </c>
      <c r="AH14" s="4">
        <f>100*AD14/TOTAL_BASIC!$C$86</f>
        <v>109.45011398765831</v>
      </c>
      <c r="AI14" s="3">
        <f t="shared" si="36"/>
        <v>0.08</v>
      </c>
      <c r="AJ14" s="9">
        <f t="shared" si="37"/>
        <v>5.6504269211451525</v>
      </c>
      <c r="AM14" s="4">
        <f t="shared" si="0"/>
        <v>80.300000000000011</v>
      </c>
      <c r="AN14" s="4">
        <f t="shared" si="1"/>
        <v>78.400000000000006</v>
      </c>
      <c r="AO14" s="4">
        <f t="shared" si="2"/>
        <v>82.3</v>
      </c>
      <c r="AP14" s="4">
        <f t="shared" si="3"/>
        <v>78.400000000000006</v>
      </c>
      <c r="AQ14" s="4">
        <f t="shared" si="4"/>
        <v>78.400000000000006</v>
      </c>
      <c r="AR14" s="4">
        <f t="shared" si="5"/>
        <v>80.300000000000011</v>
      </c>
      <c r="AS14" s="4">
        <f t="shared" si="6"/>
        <v>78.400000000000006</v>
      </c>
      <c r="AT14" s="4">
        <f t="shared" si="7"/>
        <v>78.400000000000006</v>
      </c>
      <c r="AU14" s="4">
        <f t="shared" si="8"/>
        <v>37.200000000000003</v>
      </c>
      <c r="AV14" s="4">
        <f t="shared" si="9"/>
        <v>45</v>
      </c>
      <c r="AW14" s="4">
        <f t="shared" si="10"/>
        <v>27.400000000000002</v>
      </c>
      <c r="AX14" s="4">
        <f t="shared" si="11"/>
        <v>19.600000000000001</v>
      </c>
      <c r="AY14" s="4">
        <f t="shared" si="12"/>
        <v>21.5</v>
      </c>
      <c r="AZ14" s="4">
        <f t="shared" si="13"/>
        <v>13.700000000000001</v>
      </c>
      <c r="BA14" s="4">
        <f t="shared" si="14"/>
        <v>56.8</v>
      </c>
      <c r="BB14" s="4">
        <f t="shared" si="15"/>
        <v>70.5</v>
      </c>
      <c r="BC14" s="4">
        <f t="shared" si="16"/>
        <v>29.4</v>
      </c>
      <c r="BD14" s="4">
        <f t="shared" si="17"/>
        <v>78.5</v>
      </c>
      <c r="BE14" s="4">
        <f t="shared" si="18"/>
        <v>39.300000000000004</v>
      </c>
      <c r="BF14" s="4">
        <f t="shared" si="19"/>
        <v>80.300000000000011</v>
      </c>
      <c r="BG14" s="4">
        <f t="shared" si="20"/>
        <v>70.5</v>
      </c>
      <c r="BH14" s="4">
        <f t="shared" si="21"/>
        <v>74.5</v>
      </c>
      <c r="BI14" s="4">
        <f t="shared" si="22"/>
        <v>76</v>
      </c>
      <c r="BJ14" s="4">
        <f t="shared" si="23"/>
        <v>64.7</v>
      </c>
      <c r="BK14" s="4">
        <f t="shared" si="24"/>
        <v>64.7</v>
      </c>
      <c r="BL14" s="4">
        <f t="shared" si="25"/>
        <v>74.5</v>
      </c>
      <c r="BM14" s="4">
        <f t="shared" si="26"/>
        <v>84.3</v>
      </c>
      <c r="BN14" s="4">
        <f t="shared" si="27"/>
        <v>33.300000000000004</v>
      </c>
      <c r="BO14" s="4">
        <f t="shared" si="38"/>
        <v>92.2</v>
      </c>
    </row>
    <row r="15" spans="1:67">
      <c r="A15" s="2">
        <v>13</v>
      </c>
      <c r="B15" s="5" t="s">
        <v>79</v>
      </c>
      <c r="C15" s="2">
        <v>11</v>
      </c>
      <c r="D15" s="9">
        <v>20.6</v>
      </c>
      <c r="E15" s="9">
        <v>17.5</v>
      </c>
      <c r="F15" s="9">
        <v>5.9</v>
      </c>
      <c r="G15" s="9">
        <v>14.8</v>
      </c>
      <c r="H15" s="9">
        <v>39.9</v>
      </c>
      <c r="I15" s="9">
        <v>3</v>
      </c>
      <c r="J15" s="9">
        <v>8.1</v>
      </c>
      <c r="K15" s="9">
        <v>37.1</v>
      </c>
      <c r="L15" s="9">
        <v>1.5</v>
      </c>
      <c r="M15" s="9">
        <v>1.8</v>
      </c>
      <c r="N15" s="9">
        <v>85</v>
      </c>
      <c r="O15" s="9">
        <v>0.5</v>
      </c>
      <c r="P15" s="9">
        <v>4.3</v>
      </c>
      <c r="Q15" s="9">
        <v>4.8</v>
      </c>
      <c r="R15" s="9">
        <v>3</v>
      </c>
      <c r="S15" s="9">
        <v>1.4</v>
      </c>
      <c r="T15" s="9">
        <v>0.7</v>
      </c>
      <c r="U15" s="9">
        <v>1.5</v>
      </c>
      <c r="V15" s="9">
        <v>2.4</v>
      </c>
      <c r="W15" s="9">
        <f t="shared" si="28"/>
        <v>2.9000000000000004</v>
      </c>
      <c r="X15" s="9">
        <f t="shared" si="29"/>
        <v>6.7000000000000011</v>
      </c>
      <c r="Y15" s="9">
        <f t="shared" si="30"/>
        <v>43.283582089552233</v>
      </c>
      <c r="Z15" s="6">
        <f t="shared" si="31"/>
        <v>2</v>
      </c>
      <c r="AA15" s="9">
        <f t="shared" si="32"/>
        <v>56.118522319138016</v>
      </c>
      <c r="AB15" s="6">
        <f t="shared" si="33"/>
        <v>1.1223704463827604</v>
      </c>
      <c r="AC15" s="6">
        <f t="shared" si="34"/>
        <v>1.0238708167563773</v>
      </c>
      <c r="AD15" s="9">
        <f t="shared" si="35"/>
        <v>50</v>
      </c>
      <c r="AE15" s="4">
        <f>100*(AA15/TOTAL_BASIC!$C$81)</f>
        <v>96.457555241313287</v>
      </c>
      <c r="AF15" s="4">
        <f>100*AC15/TOTAL_BASIC!$C$82</f>
        <v>98.780287962296953</v>
      </c>
      <c r="AG15" s="4">
        <f>100*N15/TOTAL_BASIC!$C$87</f>
        <v>110.29049295774648</v>
      </c>
      <c r="AH15" s="4">
        <f>100*AD15/TOTAL_BASIC!$C$86</f>
        <v>95.60401523018345</v>
      </c>
      <c r="AI15" s="3">
        <f t="shared" si="36"/>
        <v>0.29166666666666669</v>
      </c>
      <c r="AJ15" s="9">
        <f t="shared" si="37"/>
        <v>8.7760355721975198</v>
      </c>
      <c r="AM15" s="4">
        <f t="shared" si="0"/>
        <v>98</v>
      </c>
      <c r="AN15" s="4">
        <f t="shared" si="1"/>
        <v>76.400000000000006</v>
      </c>
      <c r="AO15" s="4">
        <f t="shared" si="2"/>
        <v>64.7</v>
      </c>
      <c r="AP15" s="4">
        <f t="shared" si="3"/>
        <v>80.300000000000011</v>
      </c>
      <c r="AQ15" s="4">
        <f t="shared" si="4"/>
        <v>19.600000000000001</v>
      </c>
      <c r="AR15" s="4">
        <f t="shared" si="5"/>
        <v>96</v>
      </c>
      <c r="AS15" s="4">
        <f t="shared" si="6"/>
        <v>98</v>
      </c>
      <c r="AT15" s="4">
        <f t="shared" si="7"/>
        <v>76.400000000000006</v>
      </c>
      <c r="AU15" s="4">
        <f t="shared" si="8"/>
        <v>74.5</v>
      </c>
      <c r="AV15" s="4">
        <f t="shared" si="9"/>
        <v>66.600000000000009</v>
      </c>
      <c r="AW15" s="4">
        <f t="shared" si="10"/>
        <v>68.600000000000009</v>
      </c>
      <c r="AX15" s="4">
        <f t="shared" si="11"/>
        <v>19.600000000000001</v>
      </c>
      <c r="AY15" s="4">
        <f t="shared" si="12"/>
        <v>64.7</v>
      </c>
      <c r="AZ15" s="4">
        <f t="shared" si="13"/>
        <v>60.699999999999996</v>
      </c>
      <c r="BA15" s="4">
        <f t="shared" si="14"/>
        <v>72.5</v>
      </c>
      <c r="BB15" s="4">
        <f t="shared" si="15"/>
        <v>92.100000000000009</v>
      </c>
      <c r="BC15" s="4">
        <f t="shared" si="16"/>
        <v>76.400000000000006</v>
      </c>
      <c r="BD15" s="4">
        <f t="shared" si="17"/>
        <v>31.399999999999991</v>
      </c>
      <c r="BE15" s="4">
        <f t="shared" si="18"/>
        <v>47.099999999999994</v>
      </c>
      <c r="BF15" s="4">
        <f t="shared" si="19"/>
        <v>45</v>
      </c>
      <c r="BG15" s="4">
        <f t="shared" si="20"/>
        <v>52.900000000000006</v>
      </c>
      <c r="BH15" s="4">
        <f t="shared" si="21"/>
        <v>19.600000000000001</v>
      </c>
      <c r="BI15" s="4">
        <f t="shared" si="22"/>
        <v>60</v>
      </c>
      <c r="BJ15" s="4">
        <f t="shared" si="23"/>
        <v>45</v>
      </c>
      <c r="BK15" s="4">
        <f t="shared" si="24"/>
        <v>45</v>
      </c>
      <c r="BL15" s="4">
        <f t="shared" si="25"/>
        <v>52.900000000000006</v>
      </c>
      <c r="BM15" s="4">
        <f t="shared" si="26"/>
        <v>43.1</v>
      </c>
      <c r="BN15" s="4">
        <f t="shared" si="27"/>
        <v>78.400000000000006</v>
      </c>
      <c r="BO15" s="4">
        <f t="shared" si="38"/>
        <v>70.599999999999994</v>
      </c>
    </row>
    <row r="16" spans="1:67">
      <c r="A16" s="2">
        <v>14</v>
      </c>
      <c r="B16" s="5" t="s">
        <v>81</v>
      </c>
      <c r="C16" s="2">
        <v>12</v>
      </c>
      <c r="D16" s="9">
        <v>15.6</v>
      </c>
      <c r="E16" s="9">
        <v>16.8</v>
      </c>
      <c r="F16" s="9">
        <v>6.3</v>
      </c>
      <c r="G16" s="9">
        <v>13.7</v>
      </c>
      <c r="H16" s="9">
        <v>45.7</v>
      </c>
      <c r="I16" s="9">
        <v>1.8</v>
      </c>
      <c r="J16" s="9">
        <v>5.2</v>
      </c>
      <c r="K16" s="9">
        <v>33.9</v>
      </c>
      <c r="L16" s="9">
        <v>1.5</v>
      </c>
      <c r="M16" s="9">
        <v>1.7</v>
      </c>
      <c r="N16" s="9">
        <v>90</v>
      </c>
      <c r="O16" s="9">
        <v>0.8</v>
      </c>
      <c r="P16" s="9">
        <v>2.7</v>
      </c>
      <c r="Q16" s="9">
        <v>3.5</v>
      </c>
      <c r="R16" s="9">
        <v>3.5</v>
      </c>
      <c r="S16" s="9">
        <v>0.7</v>
      </c>
      <c r="T16" s="9">
        <v>0.2</v>
      </c>
      <c r="U16" s="9">
        <v>1.6</v>
      </c>
      <c r="V16" s="9">
        <v>2</v>
      </c>
      <c r="W16" s="9">
        <f t="shared" si="28"/>
        <v>4.5</v>
      </c>
      <c r="X16" s="9">
        <f t="shared" si="29"/>
        <v>8.5</v>
      </c>
      <c r="Y16" s="9">
        <f t="shared" si="30"/>
        <v>52.941176470588239</v>
      </c>
      <c r="Z16" s="6">
        <f t="shared" si="31"/>
        <v>2.1875</v>
      </c>
      <c r="AA16" s="9">
        <f t="shared" si="32"/>
        <v>58.139534883720934</v>
      </c>
      <c r="AB16" s="6">
        <f t="shared" si="33"/>
        <v>1.1627906976744187</v>
      </c>
      <c r="AC16" s="6">
        <f t="shared" si="34"/>
        <v>1.0468594217347957</v>
      </c>
      <c r="AD16" s="9">
        <f t="shared" si="35"/>
        <v>52.554744525547449</v>
      </c>
      <c r="AE16" s="4">
        <f>100*(AA16/TOTAL_BASIC!$C$81)</f>
        <v>99.931309057977217</v>
      </c>
      <c r="AF16" s="4">
        <f>100*AC16/TOTAL_BASIC!$C$82</f>
        <v>100.9981664118592</v>
      </c>
      <c r="AG16" s="4">
        <f>100*N16/TOTAL_BASIC!$C$87</f>
        <v>116.77816901408451</v>
      </c>
      <c r="AH16" s="4">
        <f>100*AD16/TOTAL_BASIC!$C$86</f>
        <v>100.48889192077678</v>
      </c>
      <c r="AI16" s="3">
        <f t="shared" si="36"/>
        <v>0.1</v>
      </c>
      <c r="AJ16" s="9">
        <f t="shared" si="37"/>
        <v>9.9700897308075778</v>
      </c>
      <c r="AM16" s="4">
        <f t="shared" si="0"/>
        <v>66.600000000000009</v>
      </c>
      <c r="AN16" s="4">
        <f t="shared" si="1"/>
        <v>74.5</v>
      </c>
      <c r="AO16" s="4">
        <f t="shared" si="2"/>
        <v>70.5</v>
      </c>
      <c r="AP16" s="4">
        <f t="shared" si="3"/>
        <v>70.5</v>
      </c>
      <c r="AQ16" s="4">
        <f t="shared" si="4"/>
        <v>47</v>
      </c>
      <c r="AR16" s="4">
        <f t="shared" si="5"/>
        <v>80.300000000000011</v>
      </c>
      <c r="AS16" s="4">
        <f t="shared" si="6"/>
        <v>82.3</v>
      </c>
      <c r="AT16" s="4">
        <f t="shared" si="7"/>
        <v>58.8</v>
      </c>
      <c r="AU16" s="4">
        <f t="shared" si="8"/>
        <v>74.5</v>
      </c>
      <c r="AV16" s="4">
        <f t="shared" si="9"/>
        <v>62.7</v>
      </c>
      <c r="AW16" s="4">
        <f t="shared" si="10"/>
        <v>84.3</v>
      </c>
      <c r="AX16" s="4">
        <f t="shared" si="11"/>
        <v>35.199999999999996</v>
      </c>
      <c r="AY16" s="4">
        <f t="shared" si="12"/>
        <v>35.199999999999996</v>
      </c>
      <c r="AZ16" s="4">
        <f t="shared" si="13"/>
        <v>31.3</v>
      </c>
      <c r="BA16" s="4">
        <f t="shared" si="14"/>
        <v>80.300000000000011</v>
      </c>
      <c r="BB16" s="4">
        <f t="shared" si="15"/>
        <v>50.9</v>
      </c>
      <c r="BC16" s="4">
        <f t="shared" si="16"/>
        <v>29.4</v>
      </c>
      <c r="BD16" s="4">
        <f t="shared" si="17"/>
        <v>27.5</v>
      </c>
      <c r="BE16" s="4">
        <f t="shared" si="18"/>
        <v>74.599999999999994</v>
      </c>
      <c r="BF16" s="4">
        <f t="shared" si="19"/>
        <v>62.7</v>
      </c>
      <c r="BG16" s="4">
        <f t="shared" si="20"/>
        <v>62.7</v>
      </c>
      <c r="BH16" s="4">
        <f t="shared" si="21"/>
        <v>47</v>
      </c>
      <c r="BI16" s="4">
        <f t="shared" si="22"/>
        <v>66</v>
      </c>
      <c r="BJ16" s="4">
        <f t="shared" si="23"/>
        <v>58.8</v>
      </c>
      <c r="BK16" s="4">
        <f t="shared" si="24"/>
        <v>58.8</v>
      </c>
      <c r="BL16" s="4">
        <f t="shared" si="25"/>
        <v>60.699999999999996</v>
      </c>
      <c r="BM16" s="4">
        <f t="shared" si="26"/>
        <v>52.900000000000006</v>
      </c>
      <c r="BN16" s="4">
        <f t="shared" si="27"/>
        <v>43.1</v>
      </c>
      <c r="BO16" s="4">
        <f t="shared" si="38"/>
        <v>58.900000000000006</v>
      </c>
    </row>
    <row r="17" spans="1:67">
      <c r="A17" s="2">
        <v>15</v>
      </c>
      <c r="B17" s="5" t="s">
        <v>85</v>
      </c>
      <c r="C17" s="2">
        <v>12</v>
      </c>
      <c r="D17" s="9">
        <v>16.5</v>
      </c>
      <c r="E17" s="9">
        <v>16.5</v>
      </c>
      <c r="F17" s="9">
        <v>6.6</v>
      </c>
      <c r="G17" s="9">
        <v>11.5</v>
      </c>
      <c r="H17" s="9">
        <v>57.2</v>
      </c>
      <c r="I17" s="9">
        <v>0</v>
      </c>
      <c r="J17" s="9">
        <v>0.5</v>
      </c>
      <c r="K17" s="9">
        <v>0</v>
      </c>
      <c r="L17" s="9">
        <v>2</v>
      </c>
      <c r="M17" s="9">
        <v>3</v>
      </c>
      <c r="N17" s="9">
        <v>66.7</v>
      </c>
      <c r="O17" s="9">
        <v>1.5</v>
      </c>
      <c r="P17" s="9">
        <v>7.2</v>
      </c>
      <c r="Q17" s="9">
        <v>8.6999999999999993</v>
      </c>
      <c r="R17" s="9">
        <v>1.4</v>
      </c>
      <c r="S17" s="9">
        <v>0.3</v>
      </c>
      <c r="T17" s="9">
        <v>1.1000000000000001</v>
      </c>
      <c r="U17" s="9">
        <v>1.7</v>
      </c>
      <c r="V17" s="9">
        <v>2.4</v>
      </c>
      <c r="W17" s="9">
        <f t="shared" si="28"/>
        <v>6.6</v>
      </c>
      <c r="X17" s="9">
        <f t="shared" si="29"/>
        <v>11</v>
      </c>
      <c r="Y17" s="9">
        <f t="shared" si="30"/>
        <v>60</v>
      </c>
      <c r="Z17" s="6">
        <f t="shared" si="31"/>
        <v>0.82352941176470584</v>
      </c>
      <c r="AA17" s="9">
        <f t="shared" si="32"/>
        <v>64.352574102964113</v>
      </c>
      <c r="AB17" s="6">
        <f t="shared" si="33"/>
        <v>1.2870514820592822</v>
      </c>
      <c r="AC17" s="6">
        <f t="shared" si="34"/>
        <v>1.1363636363636365</v>
      </c>
      <c r="AD17" s="9">
        <f t="shared" si="35"/>
        <v>57.391304347826086</v>
      </c>
      <c r="AE17" s="4">
        <f>100*(AA17/TOTAL_BASIC!$C$81)</f>
        <v>110.61039590738662</v>
      </c>
      <c r="AF17" s="4">
        <f>100*AC17/TOTAL_BASIC!$C$82</f>
        <v>109.63329102932335</v>
      </c>
      <c r="AG17" s="4">
        <f>100*N17/TOTAL_BASIC!$C$87</f>
        <v>86.545598591549293</v>
      </c>
      <c r="AH17" s="4">
        <f>100*AD17/TOTAL_BASIC!$C$86</f>
        <v>109.73678269899318</v>
      </c>
      <c r="AI17" s="3">
        <f t="shared" si="36"/>
        <v>0.45833333333333337</v>
      </c>
      <c r="AJ17" s="9">
        <f t="shared" si="37"/>
        <v>11.707988980716253</v>
      </c>
      <c r="AM17" s="4">
        <f t="shared" si="0"/>
        <v>76.400000000000006</v>
      </c>
      <c r="AN17" s="4">
        <f t="shared" si="1"/>
        <v>72.5</v>
      </c>
      <c r="AO17" s="4">
        <f t="shared" si="2"/>
        <v>74.5</v>
      </c>
      <c r="AP17" s="4">
        <f t="shared" si="3"/>
        <v>62.7</v>
      </c>
      <c r="AQ17" s="4">
        <f t="shared" si="4"/>
        <v>94.1</v>
      </c>
      <c r="AR17" s="4">
        <f t="shared" si="5"/>
        <v>0</v>
      </c>
      <c r="AS17" s="4">
        <f t="shared" si="6"/>
        <v>7.8</v>
      </c>
      <c r="AT17" s="4">
        <f t="shared" si="7"/>
        <v>0</v>
      </c>
      <c r="AU17" s="4">
        <f t="shared" si="8"/>
        <v>90.100000000000009</v>
      </c>
      <c r="AV17" s="4">
        <f t="shared" si="9"/>
        <v>94.1</v>
      </c>
      <c r="AW17" s="4">
        <f t="shared" si="10"/>
        <v>37.200000000000003</v>
      </c>
      <c r="AX17" s="4">
        <f t="shared" si="11"/>
        <v>80.300000000000011</v>
      </c>
      <c r="AY17" s="4">
        <f t="shared" si="12"/>
        <v>90.100000000000009</v>
      </c>
      <c r="AZ17" s="4">
        <f t="shared" si="13"/>
        <v>90.100000000000009</v>
      </c>
      <c r="BA17" s="4">
        <f t="shared" si="14"/>
        <v>47</v>
      </c>
      <c r="BB17" s="4">
        <f t="shared" si="15"/>
        <v>17.599999999999998</v>
      </c>
      <c r="BC17" s="4">
        <f t="shared" si="16"/>
        <v>90.100000000000009</v>
      </c>
      <c r="BD17" s="4">
        <f t="shared" si="17"/>
        <v>23.599999999999994</v>
      </c>
      <c r="BE17" s="4">
        <f t="shared" si="18"/>
        <v>47.099999999999994</v>
      </c>
      <c r="BF17" s="4">
        <f t="shared" si="19"/>
        <v>92.100000000000009</v>
      </c>
      <c r="BG17" s="4">
        <f t="shared" si="20"/>
        <v>88.2</v>
      </c>
      <c r="BH17" s="4">
        <f t="shared" si="21"/>
        <v>84.3</v>
      </c>
      <c r="BI17" s="4">
        <f t="shared" si="22"/>
        <v>28.000000000000004</v>
      </c>
      <c r="BJ17" s="4">
        <f t="shared" si="23"/>
        <v>90.100000000000009</v>
      </c>
      <c r="BK17" s="4">
        <f t="shared" si="24"/>
        <v>90.100000000000009</v>
      </c>
      <c r="BL17" s="4">
        <f t="shared" si="25"/>
        <v>78.400000000000006</v>
      </c>
      <c r="BM17" s="4">
        <f t="shared" si="26"/>
        <v>86.2</v>
      </c>
      <c r="BN17" s="4">
        <f t="shared" si="27"/>
        <v>92.100000000000009</v>
      </c>
      <c r="BO17" s="4">
        <f t="shared" si="38"/>
        <v>49.1</v>
      </c>
    </row>
    <row r="18" spans="1:67">
      <c r="A18" s="2">
        <v>16</v>
      </c>
      <c r="B18" s="5" t="s">
        <v>83</v>
      </c>
      <c r="C18" s="2">
        <v>12</v>
      </c>
      <c r="D18" s="9">
        <v>14.6</v>
      </c>
      <c r="E18" s="9">
        <v>16.3</v>
      </c>
      <c r="F18" s="9">
        <v>6.9</v>
      </c>
      <c r="G18" s="9">
        <v>12.6</v>
      </c>
      <c r="H18" s="9">
        <v>55</v>
      </c>
      <c r="I18" s="9">
        <v>0.4</v>
      </c>
      <c r="J18" s="9">
        <v>1.4</v>
      </c>
      <c r="K18" s="9">
        <v>29.4</v>
      </c>
      <c r="L18" s="9">
        <v>1.2</v>
      </c>
      <c r="M18" s="9">
        <v>1.4</v>
      </c>
      <c r="N18" s="9">
        <v>82.4</v>
      </c>
      <c r="O18" s="9">
        <v>2.2999999999999998</v>
      </c>
      <c r="P18" s="9">
        <v>7.6</v>
      </c>
      <c r="Q18" s="9">
        <v>9.8000000000000007</v>
      </c>
      <c r="R18" s="9">
        <v>0.8</v>
      </c>
      <c r="S18" s="9">
        <v>0.5</v>
      </c>
      <c r="T18" s="9">
        <v>1.1000000000000001</v>
      </c>
      <c r="U18" s="9">
        <v>2.2000000000000002</v>
      </c>
      <c r="V18" s="9">
        <v>2.5</v>
      </c>
      <c r="W18" s="9">
        <f t="shared" si="28"/>
        <v>6.5</v>
      </c>
      <c r="X18" s="9">
        <f t="shared" si="29"/>
        <v>11.2</v>
      </c>
      <c r="Y18" s="9">
        <f t="shared" si="30"/>
        <v>58.035714285714292</v>
      </c>
      <c r="Z18" s="6">
        <f t="shared" si="31"/>
        <v>0.36363636363636365</v>
      </c>
      <c r="AA18" s="9">
        <f t="shared" si="32"/>
        <v>61.667675544794193</v>
      </c>
      <c r="AB18" s="6">
        <f t="shared" si="33"/>
        <v>1.233353510895884</v>
      </c>
      <c r="AC18" s="6">
        <f t="shared" si="34"/>
        <v>1.0573430202387131</v>
      </c>
      <c r="AD18" s="9">
        <f t="shared" si="35"/>
        <v>56.349206349206348</v>
      </c>
      <c r="AE18" s="4">
        <f>100*(AA18/TOTAL_BASIC!$C$81)</f>
        <v>105.99554255256693</v>
      </c>
      <c r="AF18" s="4">
        <f>100*AC18/TOTAL_BASIC!$C$82</f>
        <v>102.009595648976</v>
      </c>
      <c r="AG18" s="4">
        <f>100*N18/TOTAL_BASIC!$C$87</f>
        <v>106.9169014084507</v>
      </c>
      <c r="AH18" s="4">
        <f>100*AD18/TOTAL_BASIC!$C$86</f>
        <v>107.74420764036549</v>
      </c>
      <c r="AI18" s="3">
        <f t="shared" si="36"/>
        <v>0.44000000000000006</v>
      </c>
      <c r="AJ18" s="9">
        <f t="shared" si="37"/>
        <v>14.270887389724962</v>
      </c>
      <c r="AM18" s="4">
        <f t="shared" ref="AM18:BA18" si="39">(PERCENTRANK(D$3:D$78,D18))*100</f>
        <v>60.699999999999996</v>
      </c>
      <c r="AN18" s="4">
        <f t="shared" si="39"/>
        <v>70.5</v>
      </c>
      <c r="AO18" s="4">
        <f t="shared" si="39"/>
        <v>76.400000000000006</v>
      </c>
      <c r="AP18" s="4">
        <f t="shared" si="39"/>
        <v>64.7</v>
      </c>
      <c r="AQ18" s="4">
        <f t="shared" si="39"/>
        <v>88.2</v>
      </c>
      <c r="AR18" s="4">
        <f t="shared" si="39"/>
        <v>25.4</v>
      </c>
      <c r="AS18" s="4">
        <f t="shared" si="39"/>
        <v>23.5</v>
      </c>
      <c r="AT18" s="4">
        <f t="shared" si="39"/>
        <v>41.099999999999994</v>
      </c>
      <c r="AU18" s="4">
        <f t="shared" si="39"/>
        <v>56.8</v>
      </c>
      <c r="AV18" s="4">
        <f t="shared" si="39"/>
        <v>50.9</v>
      </c>
      <c r="AW18" s="4">
        <f t="shared" si="39"/>
        <v>60.699999999999996</v>
      </c>
      <c r="AX18" s="4">
        <f t="shared" si="39"/>
        <v>98</v>
      </c>
      <c r="AY18" s="4">
        <f t="shared" si="39"/>
        <v>92.100000000000009</v>
      </c>
      <c r="AZ18" s="4">
        <f t="shared" si="39"/>
        <v>94.1</v>
      </c>
      <c r="BA18" s="4">
        <f t="shared" si="39"/>
        <v>21.5</v>
      </c>
      <c r="BB18" s="4">
        <f t="shared" ref="BB18:BB54" si="40">(PERCENTRANK(S$3:S$78,S18))*100</f>
        <v>37.200000000000003</v>
      </c>
      <c r="BC18" s="4">
        <f t="shared" ref="BC18:BC54" si="41">(PERCENTRANK(T$3:T$78,T18))*100</f>
        <v>90.100000000000009</v>
      </c>
      <c r="BD18" s="4">
        <f t="shared" si="17"/>
        <v>7.8999999999999915</v>
      </c>
      <c r="BE18" s="4">
        <f t="shared" si="18"/>
        <v>39.300000000000004</v>
      </c>
      <c r="BF18" s="4">
        <f t="shared" si="19"/>
        <v>90.100000000000009</v>
      </c>
      <c r="BG18" s="4">
        <f t="shared" si="20"/>
        <v>90.100000000000009</v>
      </c>
      <c r="BH18" s="4">
        <f t="shared" si="21"/>
        <v>70.5</v>
      </c>
      <c r="BI18" s="4">
        <f t="shared" si="22"/>
        <v>8</v>
      </c>
      <c r="BJ18" s="4">
        <f t="shared" si="23"/>
        <v>72.5</v>
      </c>
      <c r="BK18" s="4">
        <f t="shared" si="24"/>
        <v>72.5</v>
      </c>
      <c r="BL18" s="4">
        <f t="shared" si="25"/>
        <v>64.7</v>
      </c>
      <c r="BM18" s="4">
        <f t="shared" si="26"/>
        <v>74.5</v>
      </c>
      <c r="BN18" s="4">
        <f t="shared" si="27"/>
        <v>90.100000000000009</v>
      </c>
      <c r="BO18" s="4">
        <f t="shared" si="38"/>
        <v>17.700000000000003</v>
      </c>
    </row>
    <row r="19" spans="1:67">
      <c r="A19" s="2">
        <v>17</v>
      </c>
      <c r="B19" s="5" t="s">
        <v>84</v>
      </c>
      <c r="C19" s="2">
        <v>10</v>
      </c>
      <c r="D19" s="9">
        <v>19</v>
      </c>
      <c r="E19" s="9">
        <v>16.2</v>
      </c>
      <c r="F19" s="9">
        <v>6</v>
      </c>
      <c r="G19" s="9">
        <v>14.4</v>
      </c>
      <c r="H19" s="9">
        <v>41.7</v>
      </c>
      <c r="I19" s="9">
        <v>1.5</v>
      </c>
      <c r="J19" s="9">
        <v>3.9</v>
      </c>
      <c r="K19" s="9">
        <v>38.5</v>
      </c>
      <c r="L19" s="9">
        <v>1.4</v>
      </c>
      <c r="M19" s="9">
        <v>1.7</v>
      </c>
      <c r="N19" s="9">
        <v>82.4</v>
      </c>
      <c r="O19" s="9">
        <v>0.8</v>
      </c>
      <c r="P19" s="9">
        <v>5.4</v>
      </c>
      <c r="Q19" s="9">
        <v>6.2</v>
      </c>
      <c r="R19" s="9">
        <v>3</v>
      </c>
      <c r="S19" s="9">
        <v>0.8</v>
      </c>
      <c r="T19" s="9">
        <v>0.3</v>
      </c>
      <c r="U19" s="9">
        <v>1.5</v>
      </c>
      <c r="V19" s="9">
        <v>2.2999999999999998</v>
      </c>
      <c r="W19" s="9">
        <f t="shared" si="28"/>
        <v>4.5</v>
      </c>
      <c r="X19" s="9">
        <f t="shared" si="29"/>
        <v>10.5</v>
      </c>
      <c r="Y19" s="9">
        <f t="shared" si="30"/>
        <v>42.857142857142854</v>
      </c>
      <c r="Z19" s="6">
        <f t="shared" si="31"/>
        <v>2</v>
      </c>
      <c r="AA19" s="9">
        <f t="shared" si="32"/>
        <v>53.47240559809876</v>
      </c>
      <c r="AB19" s="6">
        <f t="shared" si="33"/>
        <v>1.0694481119619752</v>
      </c>
      <c r="AC19" s="6">
        <f t="shared" si="34"/>
        <v>0.97308986064392111</v>
      </c>
      <c r="AD19" s="9">
        <f t="shared" si="35"/>
        <v>46.875</v>
      </c>
      <c r="AE19" s="4">
        <f>100*(AA19/TOTAL_BASIC!$C$81)</f>
        <v>91.909360826230426</v>
      </c>
      <c r="AF19" s="4">
        <f>100*AC19/TOTAL_BASIC!$C$82</f>
        <v>93.881078622899665</v>
      </c>
      <c r="AG19" s="4">
        <f>100*N19/TOTAL_BASIC!$C$87</f>
        <v>106.9169014084507</v>
      </c>
      <c r="AH19" s="4">
        <f>100*AD19/TOTAL_BASIC!$C$86</f>
        <v>89.628764278296984</v>
      </c>
      <c r="AI19" s="3">
        <f t="shared" si="36"/>
        <v>0.13043478260869565</v>
      </c>
      <c r="AJ19" s="9">
        <f t="shared" si="37"/>
        <v>9.0100913022585303</v>
      </c>
      <c r="AM19" s="4">
        <f t="shared" ref="AM19:AM41" si="42">(PERCENTRANK(D$3:D$78,D19))*100</f>
        <v>92.100000000000009</v>
      </c>
      <c r="AN19" s="4">
        <f t="shared" ref="AN19:AN41" si="43">(PERCENTRANK(E$3:E$78,E19))*100</f>
        <v>66.600000000000009</v>
      </c>
      <c r="AO19" s="4">
        <f t="shared" ref="AO19:AO41" si="44">(PERCENTRANK(F$3:F$78,F19))*100</f>
        <v>66.600000000000009</v>
      </c>
      <c r="AP19" s="4">
        <f t="shared" ref="AP19:AP41" si="45">(PERCENTRANK(G$3:G$78,G19))*100</f>
        <v>74.5</v>
      </c>
      <c r="AQ19" s="4">
        <f t="shared" ref="AQ19:AQ41" si="46">(PERCENTRANK(H$3:H$78,H19))*100</f>
        <v>29.4</v>
      </c>
      <c r="AR19" s="4">
        <f t="shared" ref="AR19:AR41" si="47">(PERCENTRANK(I$3:I$78,I19))*100</f>
        <v>72.5</v>
      </c>
      <c r="AS19" s="4">
        <f t="shared" ref="AS19:AS41" si="48">(PERCENTRANK(J$3:J$78,J19))*100</f>
        <v>68.600000000000009</v>
      </c>
      <c r="AT19" s="4">
        <f t="shared" ref="AT19:AT41" si="49">(PERCENTRANK(K$3:K$78,K19))*100</f>
        <v>86.2</v>
      </c>
      <c r="AU19" s="4">
        <f t="shared" ref="AU19:BA51" si="50">(PERCENTRANK(L$3:L$78,L19))*100</f>
        <v>72.5</v>
      </c>
      <c r="AV19" s="4">
        <f t="shared" si="50"/>
        <v>62.7</v>
      </c>
      <c r="AW19" s="4">
        <f t="shared" si="50"/>
        <v>60.699999999999996</v>
      </c>
      <c r="AX19" s="4">
        <f t="shared" si="50"/>
        <v>35.199999999999996</v>
      </c>
      <c r="AY19" s="4">
        <f t="shared" si="50"/>
        <v>78.400000000000006</v>
      </c>
      <c r="AZ19" s="4">
        <f t="shared" si="50"/>
        <v>74.5</v>
      </c>
      <c r="BA19" s="4">
        <f t="shared" si="50"/>
        <v>72.5</v>
      </c>
      <c r="BB19" s="4">
        <f t="shared" si="40"/>
        <v>54.900000000000006</v>
      </c>
      <c r="BC19" s="4">
        <f t="shared" si="41"/>
        <v>41.099999999999994</v>
      </c>
      <c r="BD19" s="4">
        <f t="shared" si="17"/>
        <v>31.399999999999991</v>
      </c>
      <c r="BE19" s="4">
        <f t="shared" si="18"/>
        <v>60.8</v>
      </c>
      <c r="BF19" s="4">
        <f t="shared" si="19"/>
        <v>62.7</v>
      </c>
      <c r="BG19" s="4">
        <f t="shared" si="20"/>
        <v>82.3</v>
      </c>
      <c r="BH19" s="4">
        <f t="shared" si="21"/>
        <v>15.6</v>
      </c>
      <c r="BI19" s="4">
        <f t="shared" si="22"/>
        <v>60</v>
      </c>
      <c r="BJ19" s="4">
        <f t="shared" si="23"/>
        <v>31.3</v>
      </c>
      <c r="BK19" s="4">
        <f t="shared" si="24"/>
        <v>31.3</v>
      </c>
      <c r="BL19" s="4">
        <f t="shared" si="25"/>
        <v>31.3</v>
      </c>
      <c r="BM19" s="4">
        <f t="shared" si="26"/>
        <v>23.5</v>
      </c>
      <c r="BN19" s="4">
        <f t="shared" si="27"/>
        <v>49</v>
      </c>
      <c r="BO19" s="4">
        <f t="shared" si="38"/>
        <v>68.7</v>
      </c>
    </row>
    <row r="20" spans="1:67">
      <c r="A20" s="2">
        <v>18</v>
      </c>
      <c r="B20" s="5" t="s">
        <v>86</v>
      </c>
      <c r="C20" s="2">
        <v>9</v>
      </c>
      <c r="D20" s="9">
        <v>16.3</v>
      </c>
      <c r="E20" s="9">
        <v>16.2</v>
      </c>
      <c r="F20" s="9">
        <v>5.3</v>
      </c>
      <c r="G20" s="9">
        <v>14.4</v>
      </c>
      <c r="H20" s="9">
        <v>36.9</v>
      </c>
      <c r="I20" s="9">
        <v>1</v>
      </c>
      <c r="J20" s="9">
        <v>4.4000000000000004</v>
      </c>
      <c r="K20" s="9">
        <v>22.5</v>
      </c>
      <c r="L20" s="9">
        <v>2.6</v>
      </c>
      <c r="M20" s="9">
        <v>2.9</v>
      </c>
      <c r="N20" s="9">
        <v>88.5</v>
      </c>
      <c r="O20" s="9">
        <v>1.2</v>
      </c>
      <c r="P20" s="9">
        <v>2.2999999999999998</v>
      </c>
      <c r="Q20" s="9">
        <v>3.6</v>
      </c>
      <c r="R20" s="9">
        <v>4.2</v>
      </c>
      <c r="S20" s="9">
        <v>1</v>
      </c>
      <c r="T20" s="9">
        <v>1</v>
      </c>
      <c r="U20" s="9">
        <v>1.9</v>
      </c>
      <c r="V20" s="9">
        <v>3.1</v>
      </c>
      <c r="W20" s="9">
        <f t="shared" si="28"/>
        <v>4.3</v>
      </c>
      <c r="X20" s="9">
        <f t="shared" si="29"/>
        <v>10</v>
      </c>
      <c r="Y20" s="9">
        <f t="shared" si="30"/>
        <v>43</v>
      </c>
      <c r="Z20" s="6">
        <f t="shared" si="31"/>
        <v>2.2105263157894739</v>
      </c>
      <c r="AA20" s="9">
        <f t="shared" si="32"/>
        <v>51.671344730798673</v>
      </c>
      <c r="AB20" s="6">
        <f t="shared" si="33"/>
        <v>1.0334268946159735</v>
      </c>
      <c r="AC20" s="6">
        <f t="shared" si="34"/>
        <v>0.92171142467000444</v>
      </c>
      <c r="AD20" s="9">
        <f t="shared" si="35"/>
        <v>40.277777777777779</v>
      </c>
      <c r="AE20" s="4">
        <f>100*(AA20/TOTAL_BASIC!$C$81)</f>
        <v>88.813664059437244</v>
      </c>
      <c r="AF20" s="4">
        <f>100*AC20/TOTAL_BASIC!$C$82</f>
        <v>88.924226041990977</v>
      </c>
      <c r="AG20" s="4">
        <f>100*N20/TOTAL_BASIC!$C$87</f>
        <v>114.8318661971831</v>
      </c>
      <c r="AH20" s="4">
        <f>100*AD20/TOTAL_BASIC!$C$86</f>
        <v>77.014345602092234</v>
      </c>
      <c r="AI20" s="3">
        <f t="shared" si="36"/>
        <v>0.32258064516129031</v>
      </c>
      <c r="AJ20" s="9">
        <f t="shared" si="37"/>
        <v>10.810195721438324</v>
      </c>
      <c r="AM20" s="4">
        <f t="shared" si="42"/>
        <v>74.5</v>
      </c>
      <c r="AN20" s="4">
        <f t="shared" si="43"/>
        <v>66.600000000000009</v>
      </c>
      <c r="AO20" s="4">
        <f t="shared" si="44"/>
        <v>56.8</v>
      </c>
      <c r="AP20" s="4">
        <f t="shared" si="45"/>
        <v>74.5</v>
      </c>
      <c r="AQ20" s="4">
        <f t="shared" si="46"/>
        <v>13.700000000000001</v>
      </c>
      <c r="AR20" s="4">
        <f t="shared" si="47"/>
        <v>52.900000000000006</v>
      </c>
      <c r="AS20" s="4">
        <f t="shared" si="48"/>
        <v>72.5</v>
      </c>
      <c r="AT20" s="4">
        <f t="shared" si="49"/>
        <v>29.4</v>
      </c>
      <c r="AU20" s="4">
        <f t="shared" si="50"/>
        <v>96</v>
      </c>
      <c r="AV20" s="4">
        <f t="shared" si="50"/>
        <v>88.2</v>
      </c>
      <c r="AW20" s="4">
        <f t="shared" si="50"/>
        <v>80.300000000000011</v>
      </c>
      <c r="AX20" s="4">
        <f t="shared" si="50"/>
        <v>68.600000000000009</v>
      </c>
      <c r="AY20" s="4">
        <f t="shared" si="50"/>
        <v>21.5</v>
      </c>
      <c r="AZ20" s="4">
        <f t="shared" si="50"/>
        <v>37.200000000000003</v>
      </c>
      <c r="BA20" s="4">
        <f t="shared" si="50"/>
        <v>88.2</v>
      </c>
      <c r="BB20" s="4">
        <f t="shared" si="40"/>
        <v>70.5</v>
      </c>
      <c r="BC20" s="4">
        <f t="shared" si="41"/>
        <v>86.2</v>
      </c>
      <c r="BD20" s="4">
        <f t="shared" si="17"/>
        <v>15.700000000000003</v>
      </c>
      <c r="BE20" s="4">
        <f t="shared" si="18"/>
        <v>23.599999999999994</v>
      </c>
      <c r="BF20" s="4">
        <f t="shared" si="19"/>
        <v>60.699999999999996</v>
      </c>
      <c r="BG20" s="4">
        <f t="shared" si="20"/>
        <v>74.5</v>
      </c>
      <c r="BH20" s="4">
        <f t="shared" si="21"/>
        <v>17.599999999999998</v>
      </c>
      <c r="BI20" s="4">
        <f t="shared" si="22"/>
        <v>68</v>
      </c>
      <c r="BJ20" s="4">
        <f t="shared" si="23"/>
        <v>21.5</v>
      </c>
      <c r="BK20" s="4">
        <f t="shared" si="24"/>
        <v>21.5</v>
      </c>
      <c r="BL20" s="4">
        <f t="shared" si="25"/>
        <v>23.5</v>
      </c>
      <c r="BM20" s="4">
        <f t="shared" si="26"/>
        <v>9.8000000000000007</v>
      </c>
      <c r="BN20" s="4">
        <f t="shared" si="27"/>
        <v>84.3</v>
      </c>
      <c r="BO20" s="4">
        <f t="shared" si="38"/>
        <v>53</v>
      </c>
    </row>
    <row r="21" spans="1:67">
      <c r="A21" s="2">
        <v>19</v>
      </c>
      <c r="B21" s="5" t="s">
        <v>82</v>
      </c>
      <c r="C21" s="2">
        <v>12</v>
      </c>
      <c r="D21" s="9">
        <v>17.8</v>
      </c>
      <c r="E21" s="9">
        <v>15.9</v>
      </c>
      <c r="F21" s="9">
        <v>6.3</v>
      </c>
      <c r="G21" s="9">
        <v>13.7</v>
      </c>
      <c r="H21" s="9">
        <v>45.7</v>
      </c>
      <c r="I21" s="9">
        <v>1</v>
      </c>
      <c r="J21" s="9">
        <v>4.5999999999999996</v>
      </c>
      <c r="K21" s="9">
        <v>21.8</v>
      </c>
      <c r="L21" s="9">
        <v>1.3</v>
      </c>
      <c r="M21" s="9">
        <v>1.4</v>
      </c>
      <c r="N21" s="9">
        <v>88.2</v>
      </c>
      <c r="O21" s="9">
        <v>0.5</v>
      </c>
      <c r="P21" s="9">
        <v>3.8</v>
      </c>
      <c r="Q21" s="9">
        <v>4.3</v>
      </c>
      <c r="R21" s="9">
        <v>3.3</v>
      </c>
      <c r="S21" s="9">
        <v>1</v>
      </c>
      <c r="T21" s="9">
        <v>1</v>
      </c>
      <c r="U21" s="9">
        <v>1.3</v>
      </c>
      <c r="V21" s="9">
        <v>3.1</v>
      </c>
      <c r="W21" s="9">
        <f t="shared" si="28"/>
        <v>5.3</v>
      </c>
      <c r="X21" s="9">
        <f t="shared" si="29"/>
        <v>9.1</v>
      </c>
      <c r="Y21" s="9">
        <f t="shared" si="30"/>
        <v>58.241758241758248</v>
      </c>
      <c r="Z21" s="6">
        <f t="shared" si="31"/>
        <v>2.5384615384615383</v>
      </c>
      <c r="AA21" s="9">
        <f t="shared" si="32"/>
        <v>55.532271584241414</v>
      </c>
      <c r="AB21" s="6">
        <f t="shared" si="33"/>
        <v>1.1106454316848282</v>
      </c>
      <c r="AC21" s="6">
        <f t="shared" si="34"/>
        <v>1.0181864754098362</v>
      </c>
      <c r="AD21" s="9">
        <f t="shared" si="35"/>
        <v>49.635036496350367</v>
      </c>
      <c r="AE21" s="4">
        <f>100*(AA21/TOTAL_BASIC!$C$81)</f>
        <v>95.44989662327329</v>
      </c>
      <c r="AF21" s="4">
        <f>100*AC21/TOTAL_BASIC!$C$82</f>
        <v>98.231878079040243</v>
      </c>
      <c r="AG21" s="4">
        <f>100*N21/TOTAL_BASIC!$C$87</f>
        <v>114.44260563380281</v>
      </c>
      <c r="AH21" s="4">
        <f>100*AD21/TOTAL_BASIC!$C$86</f>
        <v>94.906175702955835</v>
      </c>
      <c r="AI21" s="3">
        <f t="shared" si="36"/>
        <v>0.32258064516129031</v>
      </c>
      <c r="AJ21" s="9">
        <f t="shared" si="37"/>
        <v>8.3247950819672134</v>
      </c>
      <c r="AM21" s="4">
        <f t="shared" si="42"/>
        <v>80.300000000000011</v>
      </c>
      <c r="AN21" s="4">
        <f t="shared" si="43"/>
        <v>64.7</v>
      </c>
      <c r="AO21" s="4">
        <f t="shared" si="44"/>
        <v>70.5</v>
      </c>
      <c r="AP21" s="4">
        <f t="shared" si="45"/>
        <v>70.5</v>
      </c>
      <c r="AQ21" s="4">
        <f t="shared" si="46"/>
        <v>47</v>
      </c>
      <c r="AR21" s="4">
        <f t="shared" si="47"/>
        <v>52.900000000000006</v>
      </c>
      <c r="AS21" s="4">
        <f t="shared" si="48"/>
        <v>76.400000000000006</v>
      </c>
      <c r="AT21" s="4">
        <f t="shared" si="49"/>
        <v>27.400000000000002</v>
      </c>
      <c r="AU21" s="4">
        <f t="shared" si="50"/>
        <v>64.7</v>
      </c>
      <c r="AV21" s="4">
        <f t="shared" si="50"/>
        <v>50.9</v>
      </c>
      <c r="AW21" s="4">
        <f t="shared" si="50"/>
        <v>78.400000000000006</v>
      </c>
      <c r="AX21" s="4">
        <f t="shared" si="50"/>
        <v>19.600000000000001</v>
      </c>
      <c r="AY21" s="4">
        <f t="shared" si="50"/>
        <v>54.900000000000006</v>
      </c>
      <c r="AZ21" s="4">
        <f t="shared" si="50"/>
        <v>47</v>
      </c>
      <c r="BA21" s="4">
        <f t="shared" si="50"/>
        <v>78.400000000000006</v>
      </c>
      <c r="BB21" s="4">
        <f t="shared" si="40"/>
        <v>70.5</v>
      </c>
      <c r="BC21" s="4">
        <f t="shared" si="41"/>
        <v>86.2</v>
      </c>
      <c r="BD21" s="4">
        <f t="shared" si="17"/>
        <v>49.1</v>
      </c>
      <c r="BE21" s="4">
        <f t="shared" si="18"/>
        <v>23.599999999999994</v>
      </c>
      <c r="BF21" s="4">
        <f t="shared" si="19"/>
        <v>70.5</v>
      </c>
      <c r="BG21" s="4">
        <f t="shared" si="20"/>
        <v>68.600000000000009</v>
      </c>
      <c r="BH21" s="4">
        <f t="shared" si="21"/>
        <v>72.5</v>
      </c>
      <c r="BI21" s="4">
        <f t="shared" si="22"/>
        <v>82</v>
      </c>
      <c r="BJ21" s="4">
        <f t="shared" si="23"/>
        <v>43.1</v>
      </c>
      <c r="BK21" s="4">
        <f t="shared" si="24"/>
        <v>43.1</v>
      </c>
      <c r="BL21" s="4">
        <f t="shared" si="25"/>
        <v>50.9</v>
      </c>
      <c r="BM21" s="4">
        <f t="shared" si="26"/>
        <v>41.099999999999994</v>
      </c>
      <c r="BN21" s="4">
        <f t="shared" si="27"/>
        <v>84.3</v>
      </c>
      <c r="BO21" s="4">
        <f t="shared" si="38"/>
        <v>76.5</v>
      </c>
    </row>
    <row r="22" spans="1:67">
      <c r="A22" s="2">
        <v>20</v>
      </c>
      <c r="B22" s="5" t="s">
        <v>87</v>
      </c>
      <c r="C22" s="2">
        <v>12</v>
      </c>
      <c r="D22" s="9">
        <v>13.6</v>
      </c>
      <c r="E22" s="9">
        <v>14.3</v>
      </c>
      <c r="F22" s="9">
        <v>5.4</v>
      </c>
      <c r="G22" s="9">
        <v>11.4</v>
      </c>
      <c r="H22" s="9">
        <v>47.4</v>
      </c>
      <c r="I22" s="9">
        <v>0.5</v>
      </c>
      <c r="J22" s="9">
        <v>1.4</v>
      </c>
      <c r="K22" s="9">
        <v>35.299999999999997</v>
      </c>
      <c r="L22" s="9">
        <v>1.6</v>
      </c>
      <c r="M22" s="9">
        <v>1.8</v>
      </c>
      <c r="N22" s="9">
        <v>86.4</v>
      </c>
      <c r="O22" s="9">
        <v>2.1</v>
      </c>
      <c r="P22" s="9">
        <v>8.3000000000000007</v>
      </c>
      <c r="Q22" s="9">
        <v>10.4</v>
      </c>
      <c r="R22" s="9">
        <v>1.1000000000000001</v>
      </c>
      <c r="S22" s="9">
        <v>0.9</v>
      </c>
      <c r="T22" s="9">
        <v>0.4</v>
      </c>
      <c r="U22" s="9">
        <v>1.7</v>
      </c>
      <c r="V22" s="9">
        <v>2.7</v>
      </c>
      <c r="W22" s="9">
        <f t="shared" si="28"/>
        <v>4.9000000000000004</v>
      </c>
      <c r="X22" s="9">
        <f t="shared" si="29"/>
        <v>10</v>
      </c>
      <c r="Y22" s="9">
        <f t="shared" si="30"/>
        <v>49.000000000000007</v>
      </c>
      <c r="Z22" s="6">
        <f t="shared" si="31"/>
        <v>0.6470588235294118</v>
      </c>
      <c r="AA22" s="9">
        <f t="shared" si="32"/>
        <v>58.645013123359583</v>
      </c>
      <c r="AB22" s="6">
        <f t="shared" si="33"/>
        <v>1.1729002624671916</v>
      </c>
      <c r="AC22" s="6">
        <f t="shared" si="34"/>
        <v>1.0293694212496403</v>
      </c>
      <c r="AD22" s="9">
        <f t="shared" si="35"/>
        <v>49.561403508771932</v>
      </c>
      <c r="AE22" s="4">
        <f>100*(AA22/TOTAL_BASIC!$C$81)</f>
        <v>100.8001344156007</v>
      </c>
      <c r="AF22" s="4">
        <f>100*AC22/TOTAL_BASIC!$C$82</f>
        <v>99.310778456162183</v>
      </c>
      <c r="AG22" s="4">
        <f>100*N22/TOTAL_BASIC!$C$87</f>
        <v>112.10704225352113</v>
      </c>
      <c r="AH22" s="4">
        <f>100*AD22/TOTAL_BASIC!$C$86</f>
        <v>94.765383517637986</v>
      </c>
      <c r="AI22" s="3">
        <f t="shared" si="36"/>
        <v>0.14814814814814814</v>
      </c>
      <c r="AJ22" s="9">
        <f t="shared" si="37"/>
        <v>12.237258854016702</v>
      </c>
      <c r="AM22" s="4">
        <f t="shared" si="42"/>
        <v>56.8</v>
      </c>
      <c r="AN22" s="4">
        <f t="shared" si="43"/>
        <v>62.7</v>
      </c>
      <c r="AO22" s="4">
        <f t="shared" si="44"/>
        <v>62.7</v>
      </c>
      <c r="AP22" s="4">
        <f t="shared" si="45"/>
        <v>60.699999999999996</v>
      </c>
      <c r="AQ22" s="4">
        <f t="shared" si="46"/>
        <v>54.900000000000006</v>
      </c>
      <c r="AR22" s="4">
        <f t="shared" si="47"/>
        <v>29.4</v>
      </c>
      <c r="AS22" s="4">
        <f t="shared" si="48"/>
        <v>23.5</v>
      </c>
      <c r="AT22" s="4">
        <f t="shared" si="49"/>
        <v>68.600000000000009</v>
      </c>
      <c r="AU22" s="4">
        <f t="shared" si="50"/>
        <v>78.400000000000006</v>
      </c>
      <c r="AV22" s="4">
        <f t="shared" si="50"/>
        <v>66.600000000000009</v>
      </c>
      <c r="AW22" s="4">
        <f t="shared" si="50"/>
        <v>74.5</v>
      </c>
      <c r="AX22" s="4">
        <f t="shared" si="50"/>
        <v>96</v>
      </c>
      <c r="AY22" s="4">
        <f t="shared" si="50"/>
        <v>94.1</v>
      </c>
      <c r="AZ22" s="4">
        <f t="shared" si="50"/>
        <v>98</v>
      </c>
      <c r="BA22" s="4">
        <f t="shared" si="50"/>
        <v>29.4</v>
      </c>
      <c r="BB22" s="4">
        <f t="shared" si="40"/>
        <v>64.7</v>
      </c>
      <c r="BC22" s="4">
        <f t="shared" si="41"/>
        <v>62.7</v>
      </c>
      <c r="BD22" s="4">
        <f t="shared" si="17"/>
        <v>23.599999999999994</v>
      </c>
      <c r="BE22" s="4">
        <f t="shared" si="18"/>
        <v>31.399999999999991</v>
      </c>
      <c r="BF22" s="4">
        <f t="shared" si="19"/>
        <v>66.600000000000009</v>
      </c>
      <c r="BG22" s="4">
        <f t="shared" si="20"/>
        <v>74.5</v>
      </c>
      <c r="BH22" s="4">
        <f t="shared" si="21"/>
        <v>35.199999999999996</v>
      </c>
      <c r="BI22" s="4">
        <f t="shared" si="22"/>
        <v>20</v>
      </c>
      <c r="BJ22" s="4">
        <f t="shared" si="23"/>
        <v>60.699999999999996</v>
      </c>
      <c r="BK22" s="4">
        <f t="shared" si="24"/>
        <v>60.699999999999996</v>
      </c>
      <c r="BL22" s="4">
        <f t="shared" si="25"/>
        <v>54.900000000000006</v>
      </c>
      <c r="BM22" s="4">
        <f t="shared" si="26"/>
        <v>37.200000000000003</v>
      </c>
      <c r="BN22" s="4">
        <f t="shared" si="27"/>
        <v>52.900000000000006</v>
      </c>
      <c r="BO22" s="4">
        <f t="shared" si="38"/>
        <v>41.2</v>
      </c>
    </row>
    <row r="23" spans="1:67">
      <c r="A23" s="2">
        <v>21</v>
      </c>
      <c r="B23" s="5" t="s">
        <v>88</v>
      </c>
      <c r="C23" s="2">
        <v>12</v>
      </c>
      <c r="D23" s="9">
        <v>12.8</v>
      </c>
      <c r="E23" s="9">
        <v>14.2</v>
      </c>
      <c r="F23" s="9">
        <v>5.3</v>
      </c>
      <c r="G23" s="9">
        <v>12.6</v>
      </c>
      <c r="H23" s="9">
        <v>41.7</v>
      </c>
      <c r="I23" s="9">
        <v>1.9</v>
      </c>
      <c r="J23" s="9">
        <v>5.5</v>
      </c>
      <c r="K23" s="9">
        <v>34.799999999999997</v>
      </c>
      <c r="L23" s="9">
        <v>0.9</v>
      </c>
      <c r="M23" s="9">
        <v>1.2</v>
      </c>
      <c r="N23" s="9">
        <v>78.599999999999994</v>
      </c>
      <c r="O23" s="9">
        <v>0.8</v>
      </c>
      <c r="P23" s="9">
        <v>2.1</v>
      </c>
      <c r="Q23" s="9">
        <v>2.9</v>
      </c>
      <c r="R23" s="9">
        <v>2.2999999999999998</v>
      </c>
      <c r="S23" s="9">
        <v>1.3</v>
      </c>
      <c r="T23" s="9">
        <v>0.1</v>
      </c>
      <c r="U23" s="9">
        <v>1.4</v>
      </c>
      <c r="V23" s="9">
        <v>2.4</v>
      </c>
      <c r="W23" s="9">
        <f t="shared" si="28"/>
        <v>3.4</v>
      </c>
      <c r="X23" s="9">
        <f t="shared" si="29"/>
        <v>7.1</v>
      </c>
      <c r="Y23" s="9">
        <f t="shared" si="30"/>
        <v>47.887323943661976</v>
      </c>
      <c r="Z23" s="6">
        <f t="shared" si="31"/>
        <v>1.6428571428571428</v>
      </c>
      <c r="AA23" s="9">
        <f t="shared" si="32"/>
        <v>54.08287629494211</v>
      </c>
      <c r="AB23" s="6">
        <f t="shared" si="33"/>
        <v>1.0816575258988421</v>
      </c>
      <c r="AC23" s="6">
        <f t="shared" si="34"/>
        <v>0.97742290748898675</v>
      </c>
      <c r="AD23" s="9">
        <f t="shared" si="35"/>
        <v>49.603174603174601</v>
      </c>
      <c r="AE23" s="4">
        <f>100*(AA23/TOTAL_BASIC!$C$81)</f>
        <v>92.958649163316394</v>
      </c>
      <c r="AF23" s="4">
        <f>100*AC23/TOTAL_BASIC!$C$82</f>
        <v>94.299119266411367</v>
      </c>
      <c r="AG23" s="4">
        <f>100*N23/TOTAL_BASIC!$C$87</f>
        <v>101.98626760563378</v>
      </c>
      <c r="AH23" s="4">
        <f>100*AD23/TOTAL_BASIC!$C$86</f>
        <v>94.845253204547078</v>
      </c>
      <c r="AI23" s="3">
        <f t="shared" si="36"/>
        <v>4.1666666666666671E-2</v>
      </c>
      <c r="AJ23" s="9">
        <f t="shared" si="37"/>
        <v>9.6365638766519819</v>
      </c>
      <c r="AM23" s="4">
        <f t="shared" si="42"/>
        <v>52.900000000000006</v>
      </c>
      <c r="AN23" s="4">
        <f t="shared" si="43"/>
        <v>60.699999999999996</v>
      </c>
      <c r="AO23" s="4">
        <f t="shared" si="44"/>
        <v>56.8</v>
      </c>
      <c r="AP23" s="4">
        <f t="shared" si="45"/>
        <v>64.7</v>
      </c>
      <c r="AQ23" s="4">
        <f t="shared" si="46"/>
        <v>29.4</v>
      </c>
      <c r="AR23" s="4">
        <f t="shared" si="47"/>
        <v>84.3</v>
      </c>
      <c r="AS23" s="4">
        <f t="shared" si="48"/>
        <v>86.2</v>
      </c>
      <c r="AT23" s="4">
        <f t="shared" si="49"/>
        <v>62.7</v>
      </c>
      <c r="AU23" s="4">
        <f t="shared" si="50"/>
        <v>45</v>
      </c>
      <c r="AV23" s="4">
        <f t="shared" si="50"/>
        <v>45</v>
      </c>
      <c r="AW23" s="4">
        <f t="shared" si="50"/>
        <v>54.900000000000006</v>
      </c>
      <c r="AX23" s="4">
        <f t="shared" si="50"/>
        <v>35.199999999999996</v>
      </c>
      <c r="AY23" s="4">
        <f t="shared" si="50"/>
        <v>19.600000000000001</v>
      </c>
      <c r="AZ23" s="4">
        <f t="shared" si="50"/>
        <v>17.599999999999998</v>
      </c>
      <c r="BA23" s="4">
        <f t="shared" si="50"/>
        <v>58.8</v>
      </c>
      <c r="BB23" s="4">
        <f t="shared" si="40"/>
        <v>90.100000000000009</v>
      </c>
      <c r="BC23" s="4">
        <f t="shared" si="41"/>
        <v>19.600000000000001</v>
      </c>
      <c r="BD23" s="4">
        <f t="shared" si="17"/>
        <v>37.299999999999997</v>
      </c>
      <c r="BE23" s="4">
        <f t="shared" si="18"/>
        <v>47.099999999999994</v>
      </c>
      <c r="BF23" s="4">
        <f t="shared" si="19"/>
        <v>56.8</v>
      </c>
      <c r="BG23" s="4">
        <f t="shared" si="20"/>
        <v>56.8</v>
      </c>
      <c r="BH23" s="4">
        <f t="shared" si="21"/>
        <v>31.3</v>
      </c>
      <c r="BI23" s="4">
        <f t="shared" si="22"/>
        <v>52</v>
      </c>
      <c r="BJ23" s="4">
        <f t="shared" si="23"/>
        <v>35.199999999999996</v>
      </c>
      <c r="BK23" s="4">
        <f t="shared" si="24"/>
        <v>35.199999999999996</v>
      </c>
      <c r="BL23" s="4">
        <f t="shared" si="25"/>
        <v>37.200000000000003</v>
      </c>
      <c r="BM23" s="4">
        <f t="shared" si="26"/>
        <v>39.200000000000003</v>
      </c>
      <c r="BN23" s="4">
        <f t="shared" si="27"/>
        <v>23.5</v>
      </c>
      <c r="BO23" s="4">
        <f t="shared" si="38"/>
        <v>62.8</v>
      </c>
    </row>
    <row r="24" spans="1:67">
      <c r="A24" s="2">
        <v>22</v>
      </c>
      <c r="B24" s="5" t="s">
        <v>117</v>
      </c>
      <c r="C24" s="2">
        <v>1</v>
      </c>
      <c r="D24" s="9">
        <v>10</v>
      </c>
      <c r="E24" s="9">
        <v>13</v>
      </c>
      <c r="F24" s="9">
        <v>6</v>
      </c>
      <c r="G24" s="9">
        <v>9</v>
      </c>
      <c r="H24" s="9">
        <v>66.7</v>
      </c>
      <c r="I24" s="9">
        <v>0</v>
      </c>
      <c r="J24" s="9">
        <v>0</v>
      </c>
      <c r="K24" s="9">
        <v>0</v>
      </c>
      <c r="L24" s="9">
        <v>1</v>
      </c>
      <c r="M24" s="9">
        <v>2</v>
      </c>
      <c r="N24" s="9">
        <v>50</v>
      </c>
      <c r="O24" s="9">
        <v>2</v>
      </c>
      <c r="P24" s="9">
        <v>6</v>
      </c>
      <c r="Q24" s="9">
        <v>8</v>
      </c>
      <c r="R24" s="9">
        <v>0</v>
      </c>
      <c r="S24" s="9">
        <v>0</v>
      </c>
      <c r="T24" s="9">
        <v>0</v>
      </c>
      <c r="U24" s="9">
        <v>1</v>
      </c>
      <c r="V24" s="9">
        <v>4</v>
      </c>
      <c r="W24" s="9">
        <f t="shared" si="28"/>
        <v>6</v>
      </c>
      <c r="X24" s="9">
        <f t="shared" si="29"/>
        <v>9</v>
      </c>
      <c r="Y24" s="9">
        <f t="shared" si="30"/>
        <v>66.666666666666657</v>
      </c>
      <c r="Z24" s="6">
        <f t="shared" si="31"/>
        <v>0</v>
      </c>
      <c r="AA24" s="9">
        <f t="shared" si="32"/>
        <v>65.78947368421052</v>
      </c>
      <c r="AB24" s="6">
        <f t="shared" si="33"/>
        <v>1.3157894736842104</v>
      </c>
      <c r="AC24" s="6">
        <f t="shared" si="34"/>
        <v>1.1948529411764706</v>
      </c>
      <c r="AD24" s="9">
        <f t="shared" si="35"/>
        <v>66.666666666666671</v>
      </c>
      <c r="AE24" s="4">
        <f>100*(AA24/TOTAL_BASIC!$C$81)</f>
        <v>113.08016551297419</v>
      </c>
      <c r="AF24" s="4">
        <f>100*AC24/TOTAL_BASIC!$C$82</f>
        <v>115.2761810087738</v>
      </c>
      <c r="AG24" s="4">
        <f>100*N24/TOTAL_BASIC!$C$87</f>
        <v>64.876760563380287</v>
      </c>
      <c r="AH24" s="4">
        <f>100*AD24/TOTAL_BASIC!$C$86</f>
        <v>127.47202030691128</v>
      </c>
      <c r="AI24" s="3">
        <f t="shared" si="36"/>
        <v>0</v>
      </c>
      <c r="AJ24" s="9">
        <f t="shared" si="37"/>
        <v>9.1911764705882355</v>
      </c>
      <c r="AM24" s="4">
        <f t="shared" si="42"/>
        <v>29.4</v>
      </c>
      <c r="AN24" s="4">
        <f t="shared" si="43"/>
        <v>58.8</v>
      </c>
      <c r="AO24" s="4">
        <f t="shared" si="44"/>
        <v>66.600000000000009</v>
      </c>
      <c r="AP24" s="4">
        <f t="shared" si="45"/>
        <v>52.900000000000006</v>
      </c>
      <c r="AQ24" s="4">
        <f t="shared" si="46"/>
        <v>100</v>
      </c>
      <c r="AR24" s="4">
        <f t="shared" si="47"/>
        <v>0</v>
      </c>
      <c r="AS24" s="4">
        <f t="shared" si="48"/>
        <v>0</v>
      </c>
      <c r="AT24" s="4">
        <f t="shared" si="49"/>
        <v>0</v>
      </c>
      <c r="AU24" s="4">
        <f t="shared" si="50"/>
        <v>49</v>
      </c>
      <c r="AV24" s="4">
        <f t="shared" si="50"/>
        <v>78.400000000000006</v>
      </c>
      <c r="AW24" s="4">
        <f t="shared" si="50"/>
        <v>21.5</v>
      </c>
      <c r="AX24" s="4">
        <f t="shared" si="50"/>
        <v>92.100000000000009</v>
      </c>
      <c r="AY24" s="4">
        <f t="shared" si="50"/>
        <v>82.3</v>
      </c>
      <c r="AZ24" s="4">
        <f t="shared" si="50"/>
        <v>84.3</v>
      </c>
      <c r="BA24" s="4">
        <f t="shared" si="50"/>
        <v>0</v>
      </c>
      <c r="BB24" s="4">
        <f t="shared" si="40"/>
        <v>0</v>
      </c>
      <c r="BC24" s="4">
        <f t="shared" si="41"/>
        <v>0</v>
      </c>
      <c r="BD24" s="4">
        <f t="shared" si="17"/>
        <v>72.599999999999994</v>
      </c>
      <c r="BE24" s="4">
        <f t="shared" si="18"/>
        <v>0</v>
      </c>
      <c r="BF24" s="4">
        <f t="shared" si="19"/>
        <v>86.2</v>
      </c>
      <c r="BG24" s="4">
        <f t="shared" si="20"/>
        <v>66.600000000000009</v>
      </c>
      <c r="BH24" s="4">
        <f t="shared" si="21"/>
        <v>100</v>
      </c>
      <c r="BI24" s="4">
        <f t="shared" si="22"/>
        <v>0</v>
      </c>
      <c r="BJ24" s="4">
        <f t="shared" si="23"/>
        <v>94.1</v>
      </c>
      <c r="BK24" s="4">
        <f t="shared" si="24"/>
        <v>94.1</v>
      </c>
      <c r="BL24" s="4">
        <f t="shared" si="25"/>
        <v>96</v>
      </c>
      <c r="BM24" s="4">
        <f t="shared" si="26"/>
        <v>100</v>
      </c>
      <c r="BN24" s="4">
        <f t="shared" si="27"/>
        <v>0</v>
      </c>
      <c r="BO24" s="4">
        <f t="shared" si="38"/>
        <v>66.699999999999989</v>
      </c>
    </row>
    <row r="25" spans="1:67">
      <c r="A25" s="2">
        <v>23</v>
      </c>
      <c r="B25" s="5" t="s">
        <v>90</v>
      </c>
      <c r="C25" s="2">
        <v>12</v>
      </c>
      <c r="D25" s="9">
        <v>14.5</v>
      </c>
      <c r="E25" s="9">
        <v>11.7</v>
      </c>
      <c r="F25" s="9">
        <v>5.3</v>
      </c>
      <c r="G25" s="9">
        <v>8</v>
      </c>
      <c r="H25" s="9">
        <v>65.599999999999994</v>
      </c>
      <c r="I25" s="9">
        <v>0</v>
      </c>
      <c r="J25" s="9">
        <v>0</v>
      </c>
      <c r="K25" s="9">
        <v>0</v>
      </c>
      <c r="L25" s="9">
        <v>0.7</v>
      </c>
      <c r="M25" s="9">
        <v>1</v>
      </c>
      <c r="N25" s="9">
        <v>66.7</v>
      </c>
      <c r="O25" s="9">
        <v>1.3</v>
      </c>
      <c r="P25" s="9">
        <v>6.8</v>
      </c>
      <c r="Q25" s="9">
        <v>8.1</v>
      </c>
      <c r="R25" s="9">
        <v>3.5</v>
      </c>
      <c r="S25" s="9">
        <v>0.8</v>
      </c>
      <c r="T25" s="9">
        <v>0.3</v>
      </c>
      <c r="U25" s="9">
        <v>1.3</v>
      </c>
      <c r="V25" s="9">
        <v>1.6</v>
      </c>
      <c r="W25" s="9">
        <f t="shared" si="28"/>
        <v>5.3</v>
      </c>
      <c r="X25" s="9">
        <f t="shared" si="29"/>
        <v>8</v>
      </c>
      <c r="Y25" s="9">
        <f t="shared" si="30"/>
        <v>66.25</v>
      </c>
      <c r="Z25" s="6">
        <f t="shared" si="31"/>
        <v>2.6923076923076921</v>
      </c>
      <c r="AA25" s="9">
        <f t="shared" si="32"/>
        <v>69.312796208530813</v>
      </c>
      <c r="AB25" s="6">
        <f t="shared" si="33"/>
        <v>1.3862559241706163</v>
      </c>
      <c r="AC25" s="6">
        <f t="shared" si="34"/>
        <v>1.2012320328542094</v>
      </c>
      <c r="AD25" s="9">
        <f t="shared" si="35"/>
        <v>66.25</v>
      </c>
      <c r="AE25" s="4">
        <f>100*(AA25/TOTAL_BASIC!$C$81)</f>
        <v>119.13611750490128</v>
      </c>
      <c r="AF25" s="4">
        <f>100*AC25/TOTAL_BASIC!$C$82</f>
        <v>115.8916185254531</v>
      </c>
      <c r="AG25" s="4">
        <f>100*N25/TOTAL_BASIC!$C$87</f>
        <v>86.545598591549293</v>
      </c>
      <c r="AH25" s="4">
        <f>100*AD25/TOTAL_BASIC!$C$86</f>
        <v>126.67532017999308</v>
      </c>
      <c r="AI25" s="3">
        <f t="shared" si="36"/>
        <v>0.18749999999999997</v>
      </c>
      <c r="AJ25" s="9">
        <f t="shared" si="37"/>
        <v>13.347022587268993</v>
      </c>
      <c r="AM25" s="4">
        <f t="shared" si="42"/>
        <v>58.8</v>
      </c>
      <c r="AN25" s="4">
        <f t="shared" si="43"/>
        <v>56.8</v>
      </c>
      <c r="AO25" s="4">
        <f t="shared" si="44"/>
        <v>56.8</v>
      </c>
      <c r="AP25" s="4">
        <f t="shared" si="45"/>
        <v>43.1</v>
      </c>
      <c r="AQ25" s="4">
        <f t="shared" si="46"/>
        <v>98</v>
      </c>
      <c r="AR25" s="4">
        <f t="shared" si="47"/>
        <v>0</v>
      </c>
      <c r="AS25" s="4">
        <f t="shared" si="48"/>
        <v>0</v>
      </c>
      <c r="AT25" s="4">
        <f t="shared" si="49"/>
        <v>0</v>
      </c>
      <c r="AU25" s="4">
        <f t="shared" si="50"/>
        <v>37.200000000000003</v>
      </c>
      <c r="AV25" s="4">
        <f t="shared" si="50"/>
        <v>39.200000000000003</v>
      </c>
      <c r="AW25" s="4">
        <f t="shared" si="50"/>
        <v>37.200000000000003</v>
      </c>
      <c r="AX25" s="4">
        <f t="shared" si="50"/>
        <v>72.5</v>
      </c>
      <c r="AY25" s="4">
        <f t="shared" si="50"/>
        <v>88.2</v>
      </c>
      <c r="AZ25" s="4">
        <f t="shared" si="50"/>
        <v>86.2</v>
      </c>
      <c r="BA25" s="4">
        <f t="shared" si="50"/>
        <v>80.300000000000011</v>
      </c>
      <c r="BB25" s="4">
        <f t="shared" si="40"/>
        <v>54.900000000000006</v>
      </c>
      <c r="BC25" s="4">
        <f t="shared" si="41"/>
        <v>41.099999999999994</v>
      </c>
      <c r="BD25" s="4">
        <f t="shared" si="17"/>
        <v>49.1</v>
      </c>
      <c r="BE25" s="4">
        <f t="shared" si="18"/>
        <v>92.2</v>
      </c>
      <c r="BF25" s="4">
        <f t="shared" si="19"/>
        <v>70.5</v>
      </c>
      <c r="BG25" s="4">
        <f t="shared" si="20"/>
        <v>58.8</v>
      </c>
      <c r="BH25" s="4">
        <f t="shared" si="21"/>
        <v>98</v>
      </c>
      <c r="BI25" s="4">
        <f t="shared" si="22"/>
        <v>84</v>
      </c>
      <c r="BJ25" s="4">
        <f t="shared" si="23"/>
        <v>98</v>
      </c>
      <c r="BK25" s="4">
        <f t="shared" si="24"/>
        <v>98</v>
      </c>
      <c r="BL25" s="4">
        <f t="shared" si="25"/>
        <v>98</v>
      </c>
      <c r="BM25" s="4">
        <f t="shared" si="26"/>
        <v>98</v>
      </c>
      <c r="BN25" s="4">
        <f t="shared" si="27"/>
        <v>62.7</v>
      </c>
      <c r="BO25" s="4">
        <f t="shared" si="38"/>
        <v>29.5</v>
      </c>
    </row>
    <row r="26" spans="1:67">
      <c r="A26" s="2">
        <v>24</v>
      </c>
      <c r="B26" s="5" t="s">
        <v>92</v>
      </c>
      <c r="C26" s="2">
        <v>12</v>
      </c>
      <c r="D26" s="9">
        <v>10.3</v>
      </c>
      <c r="E26" s="9">
        <v>11.4</v>
      </c>
      <c r="F26" s="9">
        <v>4.4000000000000004</v>
      </c>
      <c r="G26" s="9">
        <v>9.4</v>
      </c>
      <c r="H26" s="9">
        <v>46.9</v>
      </c>
      <c r="I26" s="9">
        <v>0.2</v>
      </c>
      <c r="J26" s="9">
        <v>1.1000000000000001</v>
      </c>
      <c r="K26" s="9">
        <v>15.4</v>
      </c>
      <c r="L26" s="9">
        <v>1.3</v>
      </c>
      <c r="M26" s="9">
        <v>2.2000000000000002</v>
      </c>
      <c r="N26" s="9">
        <v>57.7</v>
      </c>
      <c r="O26" s="9">
        <v>1.8</v>
      </c>
      <c r="P26" s="9">
        <v>2.9</v>
      </c>
      <c r="Q26" s="9">
        <v>4.7</v>
      </c>
      <c r="R26" s="9">
        <v>0.7</v>
      </c>
      <c r="S26" s="9">
        <v>0.4</v>
      </c>
      <c r="T26" s="9">
        <v>0.1</v>
      </c>
      <c r="U26" s="9">
        <v>1.3</v>
      </c>
      <c r="V26" s="9">
        <v>2.9</v>
      </c>
      <c r="W26" s="9">
        <f t="shared" si="28"/>
        <v>4.2</v>
      </c>
      <c r="X26" s="9">
        <f t="shared" si="29"/>
        <v>8.3000000000000007</v>
      </c>
      <c r="Y26" s="9">
        <f t="shared" si="30"/>
        <v>50.602409638554214</v>
      </c>
      <c r="Z26" s="6">
        <f t="shared" si="31"/>
        <v>0.53846153846153844</v>
      </c>
      <c r="AA26" s="9">
        <f t="shared" si="32"/>
        <v>54.976851851851848</v>
      </c>
      <c r="AB26" s="6">
        <f t="shared" si="33"/>
        <v>1.099537037037037</v>
      </c>
      <c r="AC26" s="6">
        <f t="shared" si="34"/>
        <v>0.97703119643469316</v>
      </c>
      <c r="AD26" s="9">
        <f t="shared" si="35"/>
        <v>47.87234042553191</v>
      </c>
      <c r="AE26" s="4">
        <f>100*(AA26/TOTAL_BASIC!$C$81)</f>
        <v>94.49523090320298</v>
      </c>
      <c r="AF26" s="4">
        <f>100*AC26/TOTAL_BASIC!$C$82</f>
        <v>94.261328043038375</v>
      </c>
      <c r="AG26" s="4">
        <f>100*N26/TOTAL_BASIC!$C$87</f>
        <v>74.867781690140845</v>
      </c>
      <c r="AH26" s="4">
        <f>100*AD26/TOTAL_BASIC!$C$86</f>
        <v>91.535759262941596</v>
      </c>
      <c r="AI26" s="3">
        <f t="shared" si="36"/>
        <v>3.4482758620689655E-2</v>
      </c>
      <c r="AJ26" s="9">
        <f t="shared" si="37"/>
        <v>11.141583818992114</v>
      </c>
      <c r="AM26" s="4">
        <f t="shared" si="42"/>
        <v>35.199999999999996</v>
      </c>
      <c r="AN26" s="4">
        <f t="shared" si="43"/>
        <v>54.900000000000006</v>
      </c>
      <c r="AO26" s="4">
        <f t="shared" si="44"/>
        <v>54.900000000000006</v>
      </c>
      <c r="AP26" s="4">
        <f t="shared" si="45"/>
        <v>56.8</v>
      </c>
      <c r="AQ26" s="4">
        <f t="shared" si="46"/>
        <v>52.900000000000006</v>
      </c>
      <c r="AR26" s="4">
        <f t="shared" si="47"/>
        <v>13.700000000000001</v>
      </c>
      <c r="AS26" s="4">
        <f t="shared" si="48"/>
        <v>15.6</v>
      </c>
      <c r="AT26" s="4">
        <f t="shared" si="49"/>
        <v>13.700000000000001</v>
      </c>
      <c r="AU26" s="4">
        <f t="shared" si="50"/>
        <v>64.7</v>
      </c>
      <c r="AV26" s="4">
        <f t="shared" si="50"/>
        <v>82.3</v>
      </c>
      <c r="AW26" s="4">
        <f t="shared" si="50"/>
        <v>29.4</v>
      </c>
      <c r="AX26" s="4">
        <f t="shared" si="50"/>
        <v>88.2</v>
      </c>
      <c r="AY26" s="4">
        <f t="shared" si="50"/>
        <v>39.200000000000003</v>
      </c>
      <c r="AZ26" s="4">
        <f t="shared" si="50"/>
        <v>58.8</v>
      </c>
      <c r="BA26" s="4">
        <f t="shared" si="50"/>
        <v>17.599999999999998</v>
      </c>
      <c r="BB26" s="4">
        <f t="shared" si="40"/>
        <v>27.400000000000002</v>
      </c>
      <c r="BC26" s="4">
        <f t="shared" si="41"/>
        <v>19.600000000000001</v>
      </c>
      <c r="BD26" s="4">
        <f t="shared" si="17"/>
        <v>49.1</v>
      </c>
      <c r="BE26" s="4">
        <f t="shared" si="18"/>
        <v>27.5</v>
      </c>
      <c r="BF26" s="4">
        <f t="shared" si="19"/>
        <v>58.8</v>
      </c>
      <c r="BG26" s="4">
        <f t="shared" si="20"/>
        <v>60.699999999999996</v>
      </c>
      <c r="BH26" s="4">
        <f t="shared" si="21"/>
        <v>43.1</v>
      </c>
      <c r="BI26" s="4">
        <f t="shared" si="22"/>
        <v>14.000000000000002</v>
      </c>
      <c r="BJ26" s="4">
        <f t="shared" si="23"/>
        <v>41.099999999999994</v>
      </c>
      <c r="BK26" s="4">
        <f t="shared" si="24"/>
        <v>41.099999999999994</v>
      </c>
      <c r="BL26" s="4">
        <f t="shared" si="25"/>
        <v>35.199999999999996</v>
      </c>
      <c r="BM26" s="4">
        <f t="shared" si="26"/>
        <v>31.3</v>
      </c>
      <c r="BN26" s="4">
        <f t="shared" si="27"/>
        <v>21.5</v>
      </c>
      <c r="BO26" s="4">
        <f t="shared" si="38"/>
        <v>51</v>
      </c>
    </row>
    <row r="27" spans="1:67">
      <c r="A27" s="2">
        <v>25</v>
      </c>
      <c r="B27" s="5" t="s">
        <v>89</v>
      </c>
      <c r="C27" s="2">
        <v>11</v>
      </c>
      <c r="D27" s="9">
        <v>12</v>
      </c>
      <c r="E27" s="9">
        <v>11.3</v>
      </c>
      <c r="F27" s="9">
        <v>4</v>
      </c>
      <c r="G27" s="9">
        <v>8.8000000000000007</v>
      </c>
      <c r="H27" s="9">
        <v>45.4</v>
      </c>
      <c r="I27" s="9">
        <v>1.5</v>
      </c>
      <c r="J27" s="9">
        <v>4.4000000000000004</v>
      </c>
      <c r="K27" s="9">
        <v>33.299999999999997</v>
      </c>
      <c r="L27" s="9">
        <v>1</v>
      </c>
      <c r="M27" s="9">
        <v>1</v>
      </c>
      <c r="N27" s="9">
        <v>100</v>
      </c>
      <c r="O27" s="9">
        <v>0.7</v>
      </c>
      <c r="P27" s="9">
        <v>2.4</v>
      </c>
      <c r="Q27" s="9">
        <v>3.1</v>
      </c>
      <c r="R27" s="9">
        <v>2.5</v>
      </c>
      <c r="S27" s="9">
        <v>1</v>
      </c>
      <c r="T27" s="9">
        <v>0.4</v>
      </c>
      <c r="U27" s="9">
        <v>0.7</v>
      </c>
      <c r="V27" s="9">
        <v>2.4</v>
      </c>
      <c r="W27" s="9">
        <f t="shared" si="28"/>
        <v>2.5</v>
      </c>
      <c r="X27" s="9">
        <f t="shared" si="29"/>
        <v>4.4000000000000004</v>
      </c>
      <c r="Y27" s="9">
        <f t="shared" si="30"/>
        <v>56.818181818181813</v>
      </c>
      <c r="Z27" s="6">
        <f t="shared" si="31"/>
        <v>3.5714285714285716</v>
      </c>
      <c r="AA27" s="9">
        <f t="shared" si="32"/>
        <v>61.147186147186147</v>
      </c>
      <c r="AB27" s="6">
        <f t="shared" si="33"/>
        <v>1.222943722943723</v>
      </c>
      <c r="AC27" s="6">
        <f t="shared" si="34"/>
        <v>1.1368209255533201</v>
      </c>
      <c r="AD27" s="9">
        <f t="shared" si="35"/>
        <v>53.97727272727272</v>
      </c>
      <c r="AE27" s="4">
        <f>100*(AA27/TOTAL_BASIC!$C$81)</f>
        <v>105.10091573868208</v>
      </c>
      <c r="AF27" s="4">
        <f>100*AC27/TOTAL_BASIC!$C$82</f>
        <v>109.67740905388246</v>
      </c>
      <c r="AG27" s="4">
        <f>100*N27/TOTAL_BASIC!$C$87</f>
        <v>129.75352112676057</v>
      </c>
      <c r="AH27" s="4">
        <f>100*AD27/TOTAL_BASIC!$C$86</f>
        <v>103.20888007803894</v>
      </c>
      <c r="AI27" s="3">
        <f t="shared" si="36"/>
        <v>0.16666666666666669</v>
      </c>
      <c r="AJ27" s="9">
        <f t="shared" si="37"/>
        <v>7.042253521126761</v>
      </c>
      <c r="AM27" s="4">
        <f t="shared" si="42"/>
        <v>47</v>
      </c>
      <c r="AN27" s="4">
        <f t="shared" si="43"/>
        <v>52.900000000000006</v>
      </c>
      <c r="AO27" s="4">
        <f t="shared" si="44"/>
        <v>49</v>
      </c>
      <c r="AP27" s="4">
        <f t="shared" si="45"/>
        <v>50.9</v>
      </c>
      <c r="AQ27" s="4">
        <f t="shared" si="46"/>
        <v>45</v>
      </c>
      <c r="AR27" s="4">
        <f t="shared" si="47"/>
        <v>72.5</v>
      </c>
      <c r="AS27" s="4">
        <f t="shared" si="48"/>
        <v>72.5</v>
      </c>
      <c r="AT27" s="4">
        <f t="shared" si="49"/>
        <v>50.9</v>
      </c>
      <c r="AU27" s="4">
        <f t="shared" si="50"/>
        <v>49</v>
      </c>
      <c r="AV27" s="4">
        <f t="shared" si="50"/>
        <v>39.200000000000003</v>
      </c>
      <c r="AW27" s="4">
        <f t="shared" si="50"/>
        <v>92.100000000000009</v>
      </c>
      <c r="AX27" s="4">
        <f t="shared" si="50"/>
        <v>31.3</v>
      </c>
      <c r="AY27" s="4">
        <f t="shared" si="50"/>
        <v>29.4</v>
      </c>
      <c r="AZ27" s="4">
        <f t="shared" si="50"/>
        <v>25.4</v>
      </c>
      <c r="BA27" s="4">
        <f t="shared" si="50"/>
        <v>62.7</v>
      </c>
      <c r="BB27" s="4">
        <f t="shared" si="40"/>
        <v>70.5</v>
      </c>
      <c r="BC27" s="4">
        <f t="shared" si="41"/>
        <v>62.7</v>
      </c>
      <c r="BD27" s="4">
        <f t="shared" si="17"/>
        <v>86.3</v>
      </c>
      <c r="BE27" s="4">
        <f t="shared" si="18"/>
        <v>47.099999999999994</v>
      </c>
      <c r="BF27" s="4">
        <f t="shared" si="19"/>
        <v>31.3</v>
      </c>
      <c r="BG27" s="4">
        <f t="shared" si="20"/>
        <v>29.4</v>
      </c>
      <c r="BH27" s="4">
        <f t="shared" si="21"/>
        <v>60.699999999999996</v>
      </c>
      <c r="BI27" s="4">
        <f t="shared" si="22"/>
        <v>92</v>
      </c>
      <c r="BJ27" s="4">
        <f t="shared" si="23"/>
        <v>68.600000000000009</v>
      </c>
      <c r="BK27" s="4">
        <f t="shared" si="24"/>
        <v>68.600000000000009</v>
      </c>
      <c r="BL27" s="4">
        <f t="shared" si="25"/>
        <v>80.300000000000011</v>
      </c>
      <c r="BM27" s="4">
        <f t="shared" si="26"/>
        <v>56.8</v>
      </c>
      <c r="BN27" s="4">
        <f t="shared" si="27"/>
        <v>56.8</v>
      </c>
      <c r="BO27" s="4">
        <f t="shared" si="38"/>
        <v>82.4</v>
      </c>
    </row>
    <row r="28" spans="1:67">
      <c r="A28" s="2">
        <v>26</v>
      </c>
      <c r="B28" s="5" t="s">
        <v>94</v>
      </c>
      <c r="C28" s="2">
        <v>10</v>
      </c>
      <c r="D28" s="9">
        <v>10.6</v>
      </c>
      <c r="E28" s="9">
        <v>10.8</v>
      </c>
      <c r="F28" s="9">
        <v>4</v>
      </c>
      <c r="G28" s="9">
        <v>9.6999999999999993</v>
      </c>
      <c r="H28" s="9">
        <v>41.2</v>
      </c>
      <c r="I28" s="9">
        <v>1.3</v>
      </c>
      <c r="J28" s="9">
        <v>3.7</v>
      </c>
      <c r="K28" s="9">
        <v>35.1</v>
      </c>
      <c r="L28" s="9">
        <v>0.9</v>
      </c>
      <c r="M28" s="9">
        <v>0.9</v>
      </c>
      <c r="N28" s="9">
        <v>100</v>
      </c>
      <c r="O28" s="9">
        <v>1.5</v>
      </c>
      <c r="P28" s="9">
        <v>5</v>
      </c>
      <c r="Q28" s="9">
        <v>6.5</v>
      </c>
      <c r="R28" s="9">
        <v>1.5</v>
      </c>
      <c r="S28" s="9">
        <v>0.3</v>
      </c>
      <c r="T28" s="9">
        <v>0.3</v>
      </c>
      <c r="U28" s="9">
        <v>0.6</v>
      </c>
      <c r="V28" s="9">
        <v>1.5</v>
      </c>
      <c r="W28" s="9">
        <f t="shared" si="28"/>
        <v>2.7</v>
      </c>
      <c r="X28" s="9">
        <f t="shared" si="29"/>
        <v>5.9999999999999991</v>
      </c>
      <c r="Y28" s="9">
        <f t="shared" si="30"/>
        <v>45.000000000000014</v>
      </c>
      <c r="Z28" s="6">
        <f t="shared" si="31"/>
        <v>2.5</v>
      </c>
      <c r="AA28" s="9">
        <f t="shared" si="32"/>
        <v>53.486529318541997</v>
      </c>
      <c r="AB28" s="6">
        <f t="shared" si="33"/>
        <v>1.06973058637084</v>
      </c>
      <c r="AC28" s="6">
        <f t="shared" si="34"/>
        <v>1.0097232610321616</v>
      </c>
      <c r="AD28" s="9">
        <f t="shared" si="35"/>
        <v>47.938144329896915</v>
      </c>
      <c r="AE28" s="4">
        <f>100*(AA28/TOTAL_BASIC!$C$81)</f>
        <v>91.933636938440202</v>
      </c>
      <c r="AF28" s="4">
        <f>100*AC28/TOTAL_BASIC!$C$82</f>
        <v>97.415370039518436</v>
      </c>
      <c r="AG28" s="4">
        <f>100*N28/TOTAL_BASIC!$C$87</f>
        <v>129.75352112676057</v>
      </c>
      <c r="AH28" s="4">
        <f>100*AD28/TOTAL_BASIC!$C$86</f>
        <v>91.661581612443939</v>
      </c>
      <c r="AI28" s="3">
        <f t="shared" si="36"/>
        <v>0.19999999999999998</v>
      </c>
      <c r="AJ28" s="9">
        <f t="shared" si="37"/>
        <v>5.6095736724008978</v>
      </c>
      <c r="AM28" s="4">
        <f t="shared" si="42"/>
        <v>39.200000000000003</v>
      </c>
      <c r="AN28" s="4">
        <f t="shared" si="43"/>
        <v>50.9</v>
      </c>
      <c r="AO28" s="4">
        <f t="shared" si="44"/>
        <v>49</v>
      </c>
      <c r="AP28" s="4">
        <f t="shared" si="45"/>
        <v>58.8</v>
      </c>
      <c r="AQ28" s="4">
        <f t="shared" si="46"/>
        <v>23.5</v>
      </c>
      <c r="AR28" s="4">
        <f t="shared" si="47"/>
        <v>66.600000000000009</v>
      </c>
      <c r="AS28" s="4">
        <f t="shared" si="48"/>
        <v>60.699999999999996</v>
      </c>
      <c r="AT28" s="4">
        <f t="shared" si="49"/>
        <v>64.7</v>
      </c>
      <c r="AU28" s="4">
        <f t="shared" si="50"/>
        <v>45</v>
      </c>
      <c r="AV28" s="4">
        <f t="shared" si="50"/>
        <v>37.200000000000003</v>
      </c>
      <c r="AW28" s="4">
        <f t="shared" si="50"/>
        <v>92.100000000000009</v>
      </c>
      <c r="AX28" s="4">
        <f t="shared" si="50"/>
        <v>80.300000000000011</v>
      </c>
      <c r="AY28" s="4">
        <f t="shared" si="50"/>
        <v>72.5</v>
      </c>
      <c r="AZ28" s="4">
        <f t="shared" si="50"/>
        <v>76.400000000000006</v>
      </c>
      <c r="BA28" s="4">
        <f t="shared" si="50"/>
        <v>49</v>
      </c>
      <c r="BB28" s="4">
        <f t="shared" si="40"/>
        <v>17.599999999999998</v>
      </c>
      <c r="BC28" s="4">
        <f t="shared" si="41"/>
        <v>41.099999999999994</v>
      </c>
      <c r="BD28" s="4">
        <f t="shared" si="17"/>
        <v>90.2</v>
      </c>
      <c r="BE28" s="4">
        <f t="shared" si="18"/>
        <v>96.1</v>
      </c>
      <c r="BF28" s="4">
        <f t="shared" si="19"/>
        <v>39.200000000000003</v>
      </c>
      <c r="BG28" s="4">
        <f t="shared" si="20"/>
        <v>47</v>
      </c>
      <c r="BH28" s="4">
        <f t="shared" si="21"/>
        <v>21.5</v>
      </c>
      <c r="BI28" s="4">
        <f t="shared" si="22"/>
        <v>78</v>
      </c>
      <c r="BJ28" s="4">
        <f t="shared" si="23"/>
        <v>33.300000000000004</v>
      </c>
      <c r="BK28" s="4">
        <f t="shared" si="24"/>
        <v>33.300000000000004</v>
      </c>
      <c r="BL28" s="4">
        <f t="shared" si="25"/>
        <v>49</v>
      </c>
      <c r="BM28" s="4">
        <f t="shared" si="26"/>
        <v>33.300000000000004</v>
      </c>
      <c r="BN28" s="4">
        <f t="shared" si="27"/>
        <v>66.600000000000009</v>
      </c>
      <c r="BO28" s="4">
        <f t="shared" si="38"/>
        <v>94.2</v>
      </c>
    </row>
    <row r="29" spans="1:67">
      <c r="A29" s="2">
        <v>27</v>
      </c>
      <c r="B29" s="5" t="s">
        <v>95</v>
      </c>
      <c r="C29" s="2">
        <v>12</v>
      </c>
      <c r="D29" s="9">
        <v>11.2</v>
      </c>
      <c r="E29" s="9">
        <v>10.5</v>
      </c>
      <c r="F29" s="9">
        <v>3.8</v>
      </c>
      <c r="G29" s="9">
        <v>9</v>
      </c>
      <c r="H29" s="9">
        <v>42.6</v>
      </c>
      <c r="I29" s="9">
        <v>0.8</v>
      </c>
      <c r="J29" s="9">
        <v>2.4</v>
      </c>
      <c r="K29" s="9">
        <v>34.5</v>
      </c>
      <c r="L29" s="9">
        <v>1.1000000000000001</v>
      </c>
      <c r="M29" s="9">
        <v>1.3</v>
      </c>
      <c r="N29" s="9">
        <v>86.7</v>
      </c>
      <c r="O29" s="9">
        <v>0.9</v>
      </c>
      <c r="P29" s="9">
        <v>2.6</v>
      </c>
      <c r="Q29" s="9">
        <v>3.5</v>
      </c>
      <c r="R29" s="9">
        <v>1.8</v>
      </c>
      <c r="S29" s="9">
        <v>1.2</v>
      </c>
      <c r="T29" s="9">
        <v>0.3</v>
      </c>
      <c r="U29" s="9">
        <v>0.9</v>
      </c>
      <c r="V29" s="9">
        <v>1.7</v>
      </c>
      <c r="W29" s="9">
        <f t="shared" si="28"/>
        <v>3</v>
      </c>
      <c r="X29" s="9">
        <f t="shared" si="29"/>
        <v>6.6</v>
      </c>
      <c r="Y29" s="9">
        <f t="shared" si="30"/>
        <v>45.45454545454546</v>
      </c>
      <c r="Z29" s="6">
        <f t="shared" si="31"/>
        <v>2</v>
      </c>
      <c r="AA29" s="9">
        <f t="shared" si="32"/>
        <v>54.847471792728797</v>
      </c>
      <c r="AB29" s="6">
        <f t="shared" si="33"/>
        <v>1.0969494358545759</v>
      </c>
      <c r="AC29" s="6">
        <f t="shared" si="34"/>
        <v>1.0026737967914439</v>
      </c>
      <c r="AD29" s="9">
        <f t="shared" si="35"/>
        <v>46.666666666666664</v>
      </c>
      <c r="AE29" s="4">
        <f>100*(AA29/TOTAL_BASIC!$C$81)</f>
        <v>94.272850062007336</v>
      </c>
      <c r="AF29" s="4">
        <f>100*AC29/TOTAL_BASIC!$C$82</f>
        <v>96.735256790579413</v>
      </c>
      <c r="AG29" s="4">
        <f>100*N29/TOTAL_BASIC!$C$87</f>
        <v>112.49630281690141</v>
      </c>
      <c r="AH29" s="4">
        <f>100*AD29/TOTAL_BASIC!$C$86</f>
        <v>89.230414214837879</v>
      </c>
      <c r="AI29" s="3">
        <f t="shared" si="36"/>
        <v>0.17647058823529413</v>
      </c>
      <c r="AJ29" s="9">
        <f t="shared" si="37"/>
        <v>8.5943468296409478</v>
      </c>
      <c r="AM29" s="4">
        <f t="shared" si="42"/>
        <v>43.1</v>
      </c>
      <c r="AN29" s="4">
        <f t="shared" si="43"/>
        <v>49</v>
      </c>
      <c r="AO29" s="4">
        <f t="shared" si="44"/>
        <v>47</v>
      </c>
      <c r="AP29" s="4">
        <f t="shared" si="45"/>
        <v>52.900000000000006</v>
      </c>
      <c r="AQ29" s="4">
        <f t="shared" si="46"/>
        <v>39.200000000000003</v>
      </c>
      <c r="AR29" s="4">
        <f t="shared" si="47"/>
        <v>41.099999999999994</v>
      </c>
      <c r="AS29" s="4">
        <f t="shared" si="48"/>
        <v>39.200000000000003</v>
      </c>
      <c r="AT29" s="4">
        <f t="shared" si="49"/>
        <v>60.699999999999996</v>
      </c>
      <c r="AU29" s="4">
        <f t="shared" si="50"/>
        <v>54.900000000000006</v>
      </c>
      <c r="AV29" s="4">
        <f t="shared" si="50"/>
        <v>49</v>
      </c>
      <c r="AW29" s="4">
        <f t="shared" si="50"/>
        <v>76.400000000000006</v>
      </c>
      <c r="AX29" s="4">
        <f t="shared" si="50"/>
        <v>52.900000000000006</v>
      </c>
      <c r="AY29" s="4">
        <f t="shared" si="50"/>
        <v>33.300000000000004</v>
      </c>
      <c r="AZ29" s="4">
        <f t="shared" si="50"/>
        <v>31.3</v>
      </c>
      <c r="BA29" s="4">
        <f t="shared" si="50"/>
        <v>52.900000000000006</v>
      </c>
      <c r="BB29" s="4">
        <f t="shared" si="40"/>
        <v>86.2</v>
      </c>
      <c r="BC29" s="4">
        <f t="shared" si="41"/>
        <v>41.099999999999994</v>
      </c>
      <c r="BD29" s="4">
        <f t="shared" si="17"/>
        <v>78.5</v>
      </c>
      <c r="BE29" s="4">
        <f t="shared" si="18"/>
        <v>88.3</v>
      </c>
      <c r="BF29" s="4">
        <f t="shared" ref="BF29:BF48" si="51">(PERCENTRANK(W$3:W$78,W29))*100</f>
        <v>47</v>
      </c>
      <c r="BG29" s="4">
        <f t="shared" ref="BG29:BG54" si="52">(PERCENTRANK(X$3:X$78,X29))*100</f>
        <v>50.9</v>
      </c>
      <c r="BH29" s="4">
        <f t="shared" ref="BH29:BH54" si="53">(PERCENTRANK(Y$3:Y$78,Y29))*100</f>
        <v>23.5</v>
      </c>
      <c r="BI29" s="4">
        <f t="shared" ref="BI29:BI54" si="54">(PERCENTRANK(Z$3:Z$78,Z29))*100</f>
        <v>60</v>
      </c>
      <c r="BJ29" s="4">
        <f t="shared" ref="BJ29:BJ54" si="55">(PERCENTRANK(AA$3:AA$78,AA29))*100</f>
        <v>39.200000000000003</v>
      </c>
      <c r="BK29" s="4">
        <f t="shared" ref="BK29:BK54" si="56">(PERCENTRANK(AB$3:AB$78,AB29))*100</f>
        <v>39.200000000000003</v>
      </c>
      <c r="BL29" s="4">
        <f t="shared" ref="BL29:BL54" si="57">(PERCENTRANK(AC$3:AC$78,AC29))*100</f>
        <v>45</v>
      </c>
      <c r="BM29" s="4">
        <f t="shared" ref="BM29:BM54" si="58">(PERCENTRANK(AD$3:AD$78,AD29))*100</f>
        <v>19.600000000000001</v>
      </c>
      <c r="BN29" s="4">
        <f t="shared" si="27"/>
        <v>58.8</v>
      </c>
      <c r="BO29" s="4">
        <f t="shared" si="38"/>
        <v>72.599999999999994</v>
      </c>
    </row>
    <row r="30" spans="1:67">
      <c r="A30" s="2">
        <v>28</v>
      </c>
      <c r="B30" s="5" t="s">
        <v>91</v>
      </c>
      <c r="C30" s="2">
        <v>11</v>
      </c>
      <c r="D30" s="9">
        <v>11.4</v>
      </c>
      <c r="E30" s="9">
        <v>10</v>
      </c>
      <c r="F30" s="9">
        <v>3.5</v>
      </c>
      <c r="G30" s="9">
        <v>7</v>
      </c>
      <c r="H30" s="9">
        <v>49.4</v>
      </c>
      <c r="I30" s="9">
        <v>0.7</v>
      </c>
      <c r="J30" s="9">
        <v>2.2999999999999998</v>
      </c>
      <c r="K30" s="9">
        <v>32</v>
      </c>
      <c r="L30" s="9">
        <v>1.2</v>
      </c>
      <c r="M30" s="9">
        <v>1.8</v>
      </c>
      <c r="N30" s="9">
        <v>65</v>
      </c>
      <c r="O30" s="9">
        <v>1.3</v>
      </c>
      <c r="P30" s="9">
        <v>4.5999999999999996</v>
      </c>
      <c r="Q30" s="9">
        <v>5.9</v>
      </c>
      <c r="R30" s="9">
        <v>1.1000000000000001</v>
      </c>
      <c r="S30" s="9">
        <v>0.3</v>
      </c>
      <c r="T30" s="9">
        <v>1.8</v>
      </c>
      <c r="U30" s="9">
        <v>1.9</v>
      </c>
      <c r="V30" s="9">
        <v>3.4</v>
      </c>
      <c r="W30" s="9">
        <f t="shared" si="28"/>
        <v>2.8</v>
      </c>
      <c r="X30" s="9">
        <f t="shared" si="29"/>
        <v>4.7</v>
      </c>
      <c r="Y30" s="9">
        <f t="shared" si="30"/>
        <v>59.574468085106382</v>
      </c>
      <c r="Z30" s="6">
        <f t="shared" si="31"/>
        <v>0.57894736842105265</v>
      </c>
      <c r="AA30" s="9">
        <f t="shared" si="32"/>
        <v>64.168377823408619</v>
      </c>
      <c r="AB30" s="6">
        <f t="shared" si="33"/>
        <v>1.2833675564681724</v>
      </c>
      <c r="AC30" s="6">
        <f t="shared" si="34"/>
        <v>1.0317787866281469</v>
      </c>
      <c r="AD30" s="9">
        <f t="shared" si="35"/>
        <v>55</v>
      </c>
      <c r="AE30" s="4">
        <f>100*(AA30/TOTAL_BASIC!$C$81)</f>
        <v>110.29379593154567</v>
      </c>
      <c r="AF30" s="4">
        <f>100*AC30/TOTAL_BASIC!$C$82</f>
        <v>99.543227513211448</v>
      </c>
      <c r="AG30" s="4">
        <f>100*N30/TOTAL_BASIC!$C$87</f>
        <v>84.339788732394368</v>
      </c>
      <c r="AH30" s="4">
        <f>100*AD30/TOTAL_BASIC!$C$86</f>
        <v>105.16441675320179</v>
      </c>
      <c r="AI30" s="3">
        <f t="shared" si="36"/>
        <v>0.52941176470588236</v>
      </c>
      <c r="AJ30" s="9">
        <f t="shared" si="37"/>
        <v>19.603796945934793</v>
      </c>
      <c r="AM30" s="4">
        <f t="shared" si="42"/>
        <v>45</v>
      </c>
      <c r="AN30" s="4">
        <f t="shared" si="43"/>
        <v>47</v>
      </c>
      <c r="AO30" s="4">
        <f t="shared" si="44"/>
        <v>39.200000000000003</v>
      </c>
      <c r="AP30" s="4">
        <f t="shared" si="45"/>
        <v>29.4</v>
      </c>
      <c r="AQ30" s="4">
        <f t="shared" si="46"/>
        <v>64.7</v>
      </c>
      <c r="AR30" s="4">
        <f t="shared" si="47"/>
        <v>37.200000000000003</v>
      </c>
      <c r="AS30" s="4">
        <f t="shared" si="48"/>
        <v>35.199999999999996</v>
      </c>
      <c r="AT30" s="4">
        <f t="shared" si="49"/>
        <v>49</v>
      </c>
      <c r="AU30" s="4">
        <f t="shared" si="50"/>
        <v>56.8</v>
      </c>
      <c r="AV30" s="4">
        <f t="shared" si="50"/>
        <v>66.600000000000009</v>
      </c>
      <c r="AW30" s="4">
        <f t="shared" si="50"/>
        <v>35.199999999999996</v>
      </c>
      <c r="AX30" s="4">
        <f t="shared" si="50"/>
        <v>72.5</v>
      </c>
      <c r="AY30" s="4">
        <f t="shared" si="50"/>
        <v>68.600000000000009</v>
      </c>
      <c r="AZ30" s="4">
        <f t="shared" si="50"/>
        <v>72.5</v>
      </c>
      <c r="BA30" s="4">
        <f t="shared" si="50"/>
        <v>29.4</v>
      </c>
      <c r="BB30" s="4">
        <f t="shared" si="40"/>
        <v>17.599999999999998</v>
      </c>
      <c r="BC30" s="4">
        <f t="shared" si="41"/>
        <v>98</v>
      </c>
      <c r="BD30" s="4">
        <f t="shared" si="17"/>
        <v>15.700000000000003</v>
      </c>
      <c r="BE30" s="4">
        <f t="shared" si="18"/>
        <v>9.8999999999999915</v>
      </c>
      <c r="BF30" s="4">
        <f t="shared" si="51"/>
        <v>43.1</v>
      </c>
      <c r="BG30" s="4">
        <f t="shared" si="52"/>
        <v>33.300000000000004</v>
      </c>
      <c r="BH30" s="4">
        <f t="shared" si="53"/>
        <v>82.3</v>
      </c>
      <c r="BI30" s="4">
        <f t="shared" si="54"/>
        <v>18</v>
      </c>
      <c r="BJ30" s="4">
        <f t="shared" si="55"/>
        <v>86.2</v>
      </c>
      <c r="BK30" s="4">
        <f t="shared" si="56"/>
        <v>86.2</v>
      </c>
      <c r="BL30" s="4">
        <f t="shared" si="57"/>
        <v>56.8</v>
      </c>
      <c r="BM30" s="4">
        <f t="shared" si="58"/>
        <v>58.8</v>
      </c>
      <c r="BN30" s="4">
        <f t="shared" si="27"/>
        <v>94.1</v>
      </c>
      <c r="BO30" s="4">
        <f t="shared" si="38"/>
        <v>4</v>
      </c>
    </row>
    <row r="31" spans="1:67">
      <c r="A31" s="2">
        <v>29</v>
      </c>
      <c r="B31" s="5" t="s">
        <v>93</v>
      </c>
      <c r="C31" s="2">
        <v>12</v>
      </c>
      <c r="D31" s="9">
        <v>16</v>
      </c>
      <c r="E31" s="9">
        <v>9.3000000000000007</v>
      </c>
      <c r="F31" s="9">
        <v>3.3</v>
      </c>
      <c r="G31" s="9">
        <v>7.9</v>
      </c>
      <c r="H31" s="9">
        <v>42.1</v>
      </c>
      <c r="I31" s="9">
        <v>1.6</v>
      </c>
      <c r="J31" s="9">
        <v>4.2</v>
      </c>
      <c r="K31" s="9">
        <v>38</v>
      </c>
      <c r="L31" s="9">
        <v>0.5</v>
      </c>
      <c r="M31" s="9">
        <v>0.6</v>
      </c>
      <c r="N31" s="9">
        <v>85.7</v>
      </c>
      <c r="O31" s="9">
        <v>0.3</v>
      </c>
      <c r="P31" s="9">
        <v>3.8</v>
      </c>
      <c r="Q31" s="9">
        <v>4.2</v>
      </c>
      <c r="R31" s="9">
        <v>3.7</v>
      </c>
      <c r="S31" s="9">
        <v>0.6</v>
      </c>
      <c r="T31" s="9">
        <v>0.3</v>
      </c>
      <c r="U31" s="9">
        <v>1.3</v>
      </c>
      <c r="V31" s="9">
        <v>2.8</v>
      </c>
      <c r="W31" s="9">
        <f t="shared" si="28"/>
        <v>1.6999999999999997</v>
      </c>
      <c r="X31" s="9">
        <f t="shared" si="29"/>
        <v>3.7</v>
      </c>
      <c r="Y31" s="9">
        <f t="shared" si="30"/>
        <v>45.945945945945937</v>
      </c>
      <c r="Z31" s="6">
        <f t="shared" si="31"/>
        <v>2.8461538461538463</v>
      </c>
      <c r="AA31" s="9">
        <f t="shared" si="32"/>
        <v>56.957373836354741</v>
      </c>
      <c r="AB31" s="6">
        <f t="shared" si="33"/>
        <v>1.1391474767270948</v>
      </c>
      <c r="AC31" s="6">
        <f t="shared" si="34"/>
        <v>0.98267117497886736</v>
      </c>
      <c r="AD31" s="9">
        <f t="shared" si="35"/>
        <v>51.898734177215182</v>
      </c>
      <c r="AE31" s="4">
        <f>100*(AA31/TOTAL_BASIC!$C$81)</f>
        <v>97.899388761109975</v>
      </c>
      <c r="AF31" s="4">
        <f>100*AC31/TOTAL_BASIC!$C$82</f>
        <v>94.805457923075053</v>
      </c>
      <c r="AG31" s="4">
        <f>100*N31/TOTAL_BASIC!$C$87</f>
        <v>111.1987676056338</v>
      </c>
      <c r="AH31" s="4">
        <f>100*AD31/TOTAL_BASIC!$C$86</f>
        <v>99.234547454114463</v>
      </c>
      <c r="AI31" s="3">
        <f t="shared" si="36"/>
        <v>0.10714285714285715</v>
      </c>
      <c r="AJ31" s="9">
        <f t="shared" si="37"/>
        <v>13.736263736263735</v>
      </c>
      <c r="AM31" s="4">
        <f t="shared" si="42"/>
        <v>70.5</v>
      </c>
      <c r="AN31" s="4">
        <f t="shared" si="43"/>
        <v>41.099999999999994</v>
      </c>
      <c r="AO31" s="4">
        <f t="shared" si="44"/>
        <v>33.300000000000004</v>
      </c>
      <c r="AP31" s="4">
        <f t="shared" si="45"/>
        <v>37.200000000000003</v>
      </c>
      <c r="AQ31" s="4">
        <f t="shared" si="46"/>
        <v>35.199999999999996</v>
      </c>
      <c r="AR31" s="4">
        <f t="shared" si="47"/>
        <v>76.400000000000006</v>
      </c>
      <c r="AS31" s="4">
        <f t="shared" si="48"/>
        <v>70.5</v>
      </c>
      <c r="AT31" s="4">
        <f t="shared" si="49"/>
        <v>84.3</v>
      </c>
      <c r="AU31" s="4">
        <f t="shared" si="50"/>
        <v>33.300000000000004</v>
      </c>
      <c r="AV31" s="4">
        <f t="shared" si="50"/>
        <v>27.400000000000002</v>
      </c>
      <c r="AW31" s="4">
        <f t="shared" si="50"/>
        <v>70.5</v>
      </c>
      <c r="AX31" s="4">
        <f t="shared" si="50"/>
        <v>5.8000000000000007</v>
      </c>
      <c r="AY31" s="4">
        <f t="shared" si="50"/>
        <v>54.900000000000006</v>
      </c>
      <c r="AZ31" s="4">
        <f t="shared" si="50"/>
        <v>45</v>
      </c>
      <c r="BA31" s="4">
        <f t="shared" si="50"/>
        <v>84.3</v>
      </c>
      <c r="BB31" s="4">
        <f t="shared" si="40"/>
        <v>45</v>
      </c>
      <c r="BC31" s="4">
        <f t="shared" si="41"/>
        <v>41.099999999999994</v>
      </c>
      <c r="BD31" s="4">
        <f t="shared" si="17"/>
        <v>49.1</v>
      </c>
      <c r="BE31" s="4">
        <f t="shared" si="18"/>
        <v>29.5</v>
      </c>
      <c r="BF31" s="4">
        <f t="shared" si="51"/>
        <v>17.599999999999998</v>
      </c>
      <c r="BG31" s="4">
        <f t="shared" si="52"/>
        <v>19.600000000000001</v>
      </c>
      <c r="BH31" s="4">
        <f t="shared" si="53"/>
        <v>25.4</v>
      </c>
      <c r="BI31" s="4">
        <f t="shared" si="54"/>
        <v>86</v>
      </c>
      <c r="BJ31" s="4">
        <f t="shared" si="55"/>
        <v>49</v>
      </c>
      <c r="BK31" s="4">
        <f t="shared" si="56"/>
        <v>49</v>
      </c>
      <c r="BL31" s="4">
        <f t="shared" si="57"/>
        <v>41.099999999999994</v>
      </c>
      <c r="BM31" s="4">
        <f t="shared" si="58"/>
        <v>49</v>
      </c>
      <c r="BN31" s="4">
        <f t="shared" si="27"/>
        <v>45</v>
      </c>
      <c r="BO31" s="4">
        <f t="shared" si="38"/>
        <v>19.699999999999989</v>
      </c>
    </row>
    <row r="32" spans="1:67">
      <c r="A32" s="2">
        <v>30</v>
      </c>
      <c r="B32" s="5" t="s">
        <v>103</v>
      </c>
      <c r="C32" s="2">
        <v>12</v>
      </c>
      <c r="D32" s="9">
        <v>11.1</v>
      </c>
      <c r="E32" s="9">
        <v>9.3000000000000007</v>
      </c>
      <c r="F32" s="9">
        <v>3.7</v>
      </c>
      <c r="G32" s="9">
        <v>7.9</v>
      </c>
      <c r="H32" s="9">
        <v>46.3</v>
      </c>
      <c r="I32" s="9">
        <v>1.3</v>
      </c>
      <c r="J32" s="9">
        <v>3</v>
      </c>
      <c r="K32" s="9">
        <v>41.7</v>
      </c>
      <c r="L32" s="9">
        <v>0.4</v>
      </c>
      <c r="M32" s="9">
        <v>0.5</v>
      </c>
      <c r="N32" s="9">
        <v>83.3</v>
      </c>
      <c r="O32" s="9">
        <v>0.6</v>
      </c>
      <c r="P32" s="9">
        <v>2.2999999999999998</v>
      </c>
      <c r="Q32" s="9">
        <v>2.9</v>
      </c>
      <c r="R32" s="9">
        <v>2.6</v>
      </c>
      <c r="S32" s="9">
        <v>0.5</v>
      </c>
      <c r="T32" s="9">
        <v>0</v>
      </c>
      <c r="U32" s="9">
        <v>1.1000000000000001</v>
      </c>
      <c r="V32" s="9">
        <v>2.2999999999999998</v>
      </c>
      <c r="W32" s="9">
        <f t="shared" si="28"/>
        <v>2.4000000000000004</v>
      </c>
      <c r="X32" s="9">
        <f t="shared" si="29"/>
        <v>4.9000000000000004</v>
      </c>
      <c r="Y32" s="9">
        <f t="shared" si="30"/>
        <v>48.979591836734699</v>
      </c>
      <c r="Z32" s="6">
        <f t="shared" si="31"/>
        <v>2.3636363636363633</v>
      </c>
      <c r="AA32" s="9">
        <f t="shared" si="32"/>
        <v>57.266009852216747</v>
      </c>
      <c r="AB32" s="6">
        <f t="shared" si="33"/>
        <v>1.145320197044335</v>
      </c>
      <c r="AC32" s="6">
        <f t="shared" si="34"/>
        <v>1.0086767895878526</v>
      </c>
      <c r="AD32" s="9">
        <f t="shared" si="35"/>
        <v>55.063291139240512</v>
      </c>
      <c r="AE32" s="4">
        <f>100*(AA32/TOTAL_BASIC!$C$81)</f>
        <v>98.429878059815465</v>
      </c>
      <c r="AF32" s="4">
        <f>100*AC32/TOTAL_BASIC!$C$82</f>
        <v>97.314409304119565</v>
      </c>
      <c r="AG32" s="4">
        <f>100*N32/TOTAL_BASIC!$C$87</f>
        <v>108.08468309859155</v>
      </c>
      <c r="AH32" s="4">
        <f>100*AD32/TOTAL_BASIC!$C$86</f>
        <v>105.2854344939995</v>
      </c>
      <c r="AI32" s="3">
        <f t="shared" si="36"/>
        <v>0</v>
      </c>
      <c r="AJ32" s="9">
        <f t="shared" si="37"/>
        <v>11.930585683297181</v>
      </c>
      <c r="AM32" s="4">
        <f t="shared" si="42"/>
        <v>41.099999999999994</v>
      </c>
      <c r="AN32" s="4">
        <f t="shared" si="43"/>
        <v>41.099999999999994</v>
      </c>
      <c r="AO32" s="4">
        <f t="shared" si="44"/>
        <v>43.1</v>
      </c>
      <c r="AP32" s="4">
        <f t="shared" si="45"/>
        <v>37.200000000000003</v>
      </c>
      <c r="AQ32" s="4">
        <f t="shared" si="46"/>
        <v>50.9</v>
      </c>
      <c r="AR32" s="4">
        <f t="shared" si="47"/>
        <v>66.600000000000009</v>
      </c>
      <c r="AS32" s="4">
        <f t="shared" si="48"/>
        <v>50.9</v>
      </c>
      <c r="AT32" s="4">
        <f t="shared" si="49"/>
        <v>92.100000000000009</v>
      </c>
      <c r="AU32" s="4">
        <f t="shared" si="50"/>
        <v>29.4</v>
      </c>
      <c r="AV32" s="4">
        <f t="shared" si="50"/>
        <v>19.600000000000001</v>
      </c>
      <c r="AW32" s="4">
        <f t="shared" si="50"/>
        <v>66.600000000000009</v>
      </c>
      <c r="AX32" s="4">
        <f t="shared" si="50"/>
        <v>27.400000000000002</v>
      </c>
      <c r="AY32" s="4">
        <f t="shared" si="50"/>
        <v>21.5</v>
      </c>
      <c r="AZ32" s="4">
        <f t="shared" si="50"/>
        <v>17.599999999999998</v>
      </c>
      <c r="BA32" s="4">
        <f t="shared" si="50"/>
        <v>66.600000000000009</v>
      </c>
      <c r="BB32" s="4">
        <f t="shared" si="40"/>
        <v>37.200000000000003</v>
      </c>
      <c r="BC32" s="4">
        <f t="shared" si="41"/>
        <v>0</v>
      </c>
      <c r="BD32" s="4">
        <f t="shared" si="17"/>
        <v>58.900000000000006</v>
      </c>
      <c r="BE32" s="4">
        <f t="shared" si="18"/>
        <v>60.8</v>
      </c>
      <c r="BF32" s="4">
        <f t="shared" si="51"/>
        <v>29.4</v>
      </c>
      <c r="BG32" s="4">
        <f t="shared" si="52"/>
        <v>39.200000000000003</v>
      </c>
      <c r="BH32" s="4">
        <f t="shared" si="53"/>
        <v>33.300000000000004</v>
      </c>
      <c r="BI32" s="4">
        <f t="shared" si="54"/>
        <v>70</v>
      </c>
      <c r="BJ32" s="4">
        <f t="shared" si="55"/>
        <v>50.9</v>
      </c>
      <c r="BK32" s="4">
        <f t="shared" si="56"/>
        <v>50.9</v>
      </c>
      <c r="BL32" s="4">
        <f t="shared" si="57"/>
        <v>47</v>
      </c>
      <c r="BM32" s="4">
        <f t="shared" si="58"/>
        <v>60.699999999999996</v>
      </c>
      <c r="BN32" s="4">
        <f t="shared" si="27"/>
        <v>0</v>
      </c>
      <c r="BO32" s="4">
        <f t="shared" si="38"/>
        <v>43.2</v>
      </c>
    </row>
    <row r="33" spans="1:67">
      <c r="A33" s="2">
        <v>31</v>
      </c>
      <c r="B33" s="5" t="s">
        <v>101</v>
      </c>
      <c r="C33" s="2">
        <v>12</v>
      </c>
      <c r="D33" s="9">
        <v>14.8</v>
      </c>
      <c r="E33" s="9">
        <v>9.3000000000000007</v>
      </c>
      <c r="F33" s="9">
        <v>3.2</v>
      </c>
      <c r="G33" s="9">
        <v>8.1999999999999993</v>
      </c>
      <c r="H33" s="9">
        <v>38.799999999999997</v>
      </c>
      <c r="I33" s="9">
        <v>0.9</v>
      </c>
      <c r="J33" s="9">
        <v>3.3</v>
      </c>
      <c r="K33" s="9">
        <v>27.5</v>
      </c>
      <c r="L33" s="9">
        <v>1.2</v>
      </c>
      <c r="M33" s="9">
        <v>1.6</v>
      </c>
      <c r="N33" s="9">
        <v>73.7</v>
      </c>
      <c r="O33" s="9">
        <v>1.7</v>
      </c>
      <c r="P33" s="9">
        <v>3.3</v>
      </c>
      <c r="Q33" s="9">
        <v>5</v>
      </c>
      <c r="R33" s="9">
        <v>4</v>
      </c>
      <c r="S33" s="9">
        <v>1.8</v>
      </c>
      <c r="T33" s="9">
        <v>0.5</v>
      </c>
      <c r="U33" s="9">
        <v>0.6</v>
      </c>
      <c r="V33" s="9">
        <v>2.2999999999999998</v>
      </c>
      <c r="W33" s="9">
        <f t="shared" si="28"/>
        <v>2.3000000000000003</v>
      </c>
      <c r="X33" s="9">
        <f t="shared" si="29"/>
        <v>4.8999999999999995</v>
      </c>
      <c r="Y33" s="9">
        <f t="shared" si="30"/>
        <v>46.938775510204096</v>
      </c>
      <c r="Z33" s="6">
        <f t="shared" si="31"/>
        <v>6.666666666666667</v>
      </c>
      <c r="AA33" s="9">
        <f t="shared" si="32"/>
        <v>52.223719676549869</v>
      </c>
      <c r="AB33" s="6">
        <f t="shared" si="33"/>
        <v>1.0444743935309975</v>
      </c>
      <c r="AC33" s="6">
        <f t="shared" si="34"/>
        <v>0.9785353535353537</v>
      </c>
      <c r="AD33" s="9">
        <f t="shared" si="35"/>
        <v>44.51219512195123</v>
      </c>
      <c r="AE33" s="4">
        <f>100*(AA33/TOTAL_BASIC!$C$81)</f>
        <v>89.763096343856887</v>
      </c>
      <c r="AF33" s="4">
        <f>100*AC33/TOTAL_BASIC!$C$82</f>
        <v>94.406445053028449</v>
      </c>
      <c r="AG33" s="4">
        <f>100*N33/TOTAL_BASIC!$C$87</f>
        <v>95.62834507042254</v>
      </c>
      <c r="AH33" s="4">
        <f>100*AD33/TOTAL_BASIC!$C$86</f>
        <v>85.110891607358454</v>
      </c>
      <c r="AI33" s="3">
        <f t="shared" si="36"/>
        <v>0.21739130434782611</v>
      </c>
      <c r="AJ33" s="9">
        <f t="shared" si="37"/>
        <v>6.3131313131313131</v>
      </c>
      <c r="AM33" s="4">
        <f t="shared" si="42"/>
        <v>62.7</v>
      </c>
      <c r="AN33" s="4">
        <f t="shared" si="43"/>
        <v>41.099999999999994</v>
      </c>
      <c r="AO33" s="4">
        <f t="shared" si="44"/>
        <v>31.3</v>
      </c>
      <c r="AP33" s="4">
        <f t="shared" si="45"/>
        <v>47</v>
      </c>
      <c r="AQ33" s="4">
        <f t="shared" si="46"/>
        <v>17.599999999999998</v>
      </c>
      <c r="AR33" s="4">
        <f t="shared" si="47"/>
        <v>50.9</v>
      </c>
      <c r="AS33" s="4">
        <f t="shared" si="48"/>
        <v>54.900000000000006</v>
      </c>
      <c r="AT33" s="4">
        <f t="shared" si="49"/>
        <v>37.200000000000003</v>
      </c>
      <c r="AU33" s="4">
        <f t="shared" si="50"/>
        <v>56.8</v>
      </c>
      <c r="AV33" s="4">
        <f t="shared" si="50"/>
        <v>60.699999999999996</v>
      </c>
      <c r="AW33" s="4">
        <f t="shared" si="50"/>
        <v>49</v>
      </c>
      <c r="AX33" s="4">
        <f t="shared" si="50"/>
        <v>84.3</v>
      </c>
      <c r="AY33" s="4">
        <f t="shared" si="50"/>
        <v>43.1</v>
      </c>
      <c r="AZ33" s="4">
        <f t="shared" si="50"/>
        <v>64.7</v>
      </c>
      <c r="BA33" s="4">
        <f t="shared" si="50"/>
        <v>86.2</v>
      </c>
      <c r="BB33" s="4">
        <f t="shared" si="40"/>
        <v>98</v>
      </c>
      <c r="BC33" s="4">
        <f t="shared" si="41"/>
        <v>68.600000000000009</v>
      </c>
      <c r="BD33" s="4">
        <f t="shared" si="17"/>
        <v>90.2</v>
      </c>
      <c r="BE33" s="4">
        <f t="shared" si="18"/>
        <v>60.8</v>
      </c>
      <c r="BF33" s="4">
        <f t="shared" si="51"/>
        <v>27.400000000000002</v>
      </c>
      <c r="BG33" s="4">
        <f t="shared" si="52"/>
        <v>37.200000000000003</v>
      </c>
      <c r="BH33" s="4">
        <f t="shared" si="53"/>
        <v>27.400000000000002</v>
      </c>
      <c r="BI33" s="4">
        <f t="shared" si="54"/>
        <v>100</v>
      </c>
      <c r="BJ33" s="4">
        <f t="shared" si="55"/>
        <v>23.5</v>
      </c>
      <c r="BK33" s="4">
        <f t="shared" si="56"/>
        <v>23.5</v>
      </c>
      <c r="BL33" s="4">
        <f t="shared" si="57"/>
        <v>39.200000000000003</v>
      </c>
      <c r="BM33" s="4">
        <f t="shared" si="58"/>
        <v>17.599999999999998</v>
      </c>
      <c r="BN33" s="4">
        <f t="shared" si="27"/>
        <v>70.5</v>
      </c>
      <c r="BO33" s="4">
        <f t="shared" si="38"/>
        <v>88.3</v>
      </c>
    </row>
    <row r="34" spans="1:67">
      <c r="A34" s="2">
        <v>32</v>
      </c>
      <c r="B34" s="5" t="s">
        <v>118</v>
      </c>
      <c r="C34" s="2">
        <v>1</v>
      </c>
      <c r="D34" s="9">
        <v>13</v>
      </c>
      <c r="E34" s="9">
        <v>9</v>
      </c>
      <c r="F34" s="9">
        <v>4</v>
      </c>
      <c r="G34" s="9">
        <v>8</v>
      </c>
      <c r="H34" s="9">
        <v>50</v>
      </c>
      <c r="I34" s="9">
        <v>1</v>
      </c>
      <c r="J34" s="9">
        <v>2</v>
      </c>
      <c r="K34" s="9">
        <v>50</v>
      </c>
      <c r="L34" s="9">
        <v>0</v>
      </c>
      <c r="M34" s="9">
        <v>0</v>
      </c>
      <c r="N34" s="9">
        <v>0</v>
      </c>
      <c r="O34" s="9">
        <v>1</v>
      </c>
      <c r="P34" s="9">
        <v>2</v>
      </c>
      <c r="Q34" s="9">
        <v>3</v>
      </c>
      <c r="R34" s="9">
        <v>5</v>
      </c>
      <c r="S34" s="9">
        <v>2</v>
      </c>
      <c r="T34" s="9">
        <v>0</v>
      </c>
      <c r="U34" s="9">
        <v>2</v>
      </c>
      <c r="V34" s="9">
        <v>3</v>
      </c>
      <c r="W34" s="9">
        <f t="shared" si="28"/>
        <v>3</v>
      </c>
      <c r="X34" s="9">
        <f t="shared" si="29"/>
        <v>6</v>
      </c>
      <c r="Y34" s="9">
        <f t="shared" si="30"/>
        <v>50</v>
      </c>
      <c r="Z34" s="6">
        <f t="shared" si="31"/>
        <v>2.5</v>
      </c>
      <c r="AA34" s="9">
        <f t="shared" si="32"/>
        <v>56.25</v>
      </c>
      <c r="AB34" s="6">
        <f t="shared" si="33"/>
        <v>1.125</v>
      </c>
      <c r="AC34" s="6">
        <f t="shared" si="34"/>
        <v>0.9</v>
      </c>
      <c r="AD34" s="9">
        <f t="shared" si="35"/>
        <v>56.25</v>
      </c>
      <c r="AE34" s="4">
        <f>100*(AA34/TOTAL_BASIC!$C$81)</f>
        <v>96.683541513592942</v>
      </c>
      <c r="AF34" s="4">
        <f>100*AC34/TOTAL_BASIC!$C$82</f>
        <v>86.829566495224086</v>
      </c>
      <c r="AG34" s="4">
        <f>100*N34/TOTAL_BASIC!$C$87</f>
        <v>0</v>
      </c>
      <c r="AH34" s="4">
        <f>100*AD34/TOTAL_BASIC!$C$86</f>
        <v>107.55451713395638</v>
      </c>
      <c r="AI34" s="3">
        <f t="shared" si="36"/>
        <v>0</v>
      </c>
      <c r="AJ34" s="9">
        <f t="shared" si="37"/>
        <v>20</v>
      </c>
      <c r="AM34" s="4">
        <f t="shared" si="42"/>
        <v>54.900000000000006</v>
      </c>
      <c r="AN34" s="4">
        <f t="shared" si="43"/>
        <v>39.200000000000003</v>
      </c>
      <c r="AO34" s="4">
        <f t="shared" si="44"/>
        <v>49</v>
      </c>
      <c r="AP34" s="4">
        <f t="shared" si="45"/>
        <v>43.1</v>
      </c>
      <c r="AQ34" s="4">
        <f t="shared" si="46"/>
        <v>68.600000000000009</v>
      </c>
      <c r="AR34" s="4">
        <f t="shared" si="47"/>
        <v>52.900000000000006</v>
      </c>
      <c r="AS34" s="4">
        <f t="shared" si="48"/>
        <v>31.3</v>
      </c>
      <c r="AT34" s="4">
        <f t="shared" si="49"/>
        <v>98</v>
      </c>
      <c r="AU34" s="4">
        <f t="shared" si="50"/>
        <v>0</v>
      </c>
      <c r="AV34" s="4">
        <f t="shared" si="50"/>
        <v>0</v>
      </c>
      <c r="AW34" s="4">
        <f t="shared" si="50"/>
        <v>0</v>
      </c>
      <c r="AX34" s="4">
        <f t="shared" si="50"/>
        <v>60.699999999999996</v>
      </c>
      <c r="AY34" s="4">
        <f t="shared" si="50"/>
        <v>11.700000000000001</v>
      </c>
      <c r="AZ34" s="4">
        <f t="shared" si="50"/>
        <v>21.5</v>
      </c>
      <c r="BA34" s="4">
        <f t="shared" si="50"/>
        <v>94.1</v>
      </c>
      <c r="BB34" s="4">
        <f t="shared" si="40"/>
        <v>100</v>
      </c>
      <c r="BC34" s="4">
        <f t="shared" si="41"/>
        <v>0</v>
      </c>
      <c r="BD34" s="4">
        <f t="shared" si="17"/>
        <v>11.799999999999997</v>
      </c>
      <c r="BE34" s="4">
        <f t="shared" si="18"/>
        <v>25.5</v>
      </c>
      <c r="BF34" s="4">
        <f t="shared" si="51"/>
        <v>47</v>
      </c>
      <c r="BG34" s="4">
        <f t="shared" si="52"/>
        <v>49</v>
      </c>
      <c r="BH34" s="4">
        <f t="shared" si="53"/>
        <v>39.200000000000003</v>
      </c>
      <c r="BI34" s="4">
        <f t="shared" si="54"/>
        <v>78</v>
      </c>
      <c r="BJ34" s="4">
        <f t="shared" si="55"/>
        <v>47</v>
      </c>
      <c r="BK34" s="4">
        <f t="shared" si="56"/>
        <v>47</v>
      </c>
      <c r="BL34" s="4">
        <f t="shared" si="57"/>
        <v>19.600000000000001</v>
      </c>
      <c r="BM34" s="4">
        <f t="shared" si="58"/>
        <v>72.5</v>
      </c>
      <c r="BN34" s="4">
        <f t="shared" si="27"/>
        <v>0</v>
      </c>
      <c r="BO34" s="4">
        <f t="shared" si="38"/>
        <v>2</v>
      </c>
    </row>
    <row r="35" spans="1:67">
      <c r="A35" s="2">
        <v>33</v>
      </c>
      <c r="B35" s="5" t="s">
        <v>98</v>
      </c>
      <c r="C35" s="2">
        <v>12</v>
      </c>
      <c r="D35" s="9">
        <v>12.3</v>
      </c>
      <c r="E35" s="9">
        <v>8.9</v>
      </c>
      <c r="F35" s="9">
        <v>3.3</v>
      </c>
      <c r="G35" s="9">
        <v>7.8</v>
      </c>
      <c r="H35" s="9">
        <v>41.9</v>
      </c>
      <c r="I35" s="9">
        <v>0.8</v>
      </c>
      <c r="J35" s="9">
        <v>3.8</v>
      </c>
      <c r="K35" s="9">
        <v>21.7</v>
      </c>
      <c r="L35" s="9">
        <v>0.8</v>
      </c>
      <c r="M35" s="9">
        <v>1.4</v>
      </c>
      <c r="N35" s="9">
        <v>58.8</v>
      </c>
      <c r="O35" s="9">
        <v>1.8</v>
      </c>
      <c r="P35" s="9">
        <v>5.2</v>
      </c>
      <c r="Q35" s="9">
        <v>6.9</v>
      </c>
      <c r="R35" s="9">
        <v>1.1000000000000001</v>
      </c>
      <c r="S35" s="9">
        <v>0.8</v>
      </c>
      <c r="T35" s="9">
        <v>0.3</v>
      </c>
      <c r="U35" s="9">
        <v>1.2</v>
      </c>
      <c r="V35" s="9">
        <v>1.8</v>
      </c>
      <c r="W35" s="9">
        <f t="shared" si="28"/>
        <v>2.5</v>
      </c>
      <c r="X35" s="9">
        <f t="shared" si="29"/>
        <v>4</v>
      </c>
      <c r="Y35" s="9">
        <f t="shared" si="30"/>
        <v>62.5</v>
      </c>
      <c r="Z35" s="6">
        <f t="shared" si="31"/>
        <v>0.91666666666666674</v>
      </c>
      <c r="AA35" s="9">
        <f t="shared" si="32"/>
        <v>52.875475285171099</v>
      </c>
      <c r="AB35" s="6">
        <f t="shared" si="33"/>
        <v>1.0575095057034221</v>
      </c>
      <c r="AC35" s="6">
        <f t="shared" si="34"/>
        <v>0.92554076539101504</v>
      </c>
      <c r="AD35" s="9">
        <f t="shared" si="35"/>
        <v>47.435897435897438</v>
      </c>
      <c r="AE35" s="4">
        <f>100*(AA35/TOTAL_BASIC!$C$81)</f>
        <v>90.883345951729737</v>
      </c>
      <c r="AF35" s="4">
        <f>100*AC35/TOTAL_BASIC!$C$82</f>
        <v>89.293670480621927</v>
      </c>
      <c r="AG35" s="4">
        <f>100*N35/TOTAL_BASIC!$C$87</f>
        <v>76.295070422535204</v>
      </c>
      <c r="AH35" s="4">
        <f>100*AD35/TOTAL_BASIC!$C$86</f>
        <v>90.701245218379185</v>
      </c>
      <c r="AI35" s="3">
        <f t="shared" si="36"/>
        <v>0.16666666666666666</v>
      </c>
      <c r="AJ35" s="9">
        <f t="shared" si="37"/>
        <v>12.479201331114808</v>
      </c>
      <c r="AM35" s="4">
        <f t="shared" si="42"/>
        <v>50.9</v>
      </c>
      <c r="AN35" s="4">
        <f t="shared" si="43"/>
        <v>37.200000000000003</v>
      </c>
      <c r="AO35" s="4">
        <f t="shared" si="44"/>
        <v>33.300000000000004</v>
      </c>
      <c r="AP35" s="4">
        <f t="shared" si="45"/>
        <v>35.199999999999996</v>
      </c>
      <c r="AQ35" s="4">
        <f t="shared" si="46"/>
        <v>33.300000000000004</v>
      </c>
      <c r="AR35" s="4">
        <f t="shared" si="47"/>
        <v>41.099999999999994</v>
      </c>
      <c r="AS35" s="4">
        <f t="shared" si="48"/>
        <v>64.7</v>
      </c>
      <c r="AT35" s="4">
        <f t="shared" si="49"/>
        <v>25.4</v>
      </c>
      <c r="AU35" s="4">
        <f t="shared" si="50"/>
        <v>41.099999999999994</v>
      </c>
      <c r="AV35" s="4">
        <f t="shared" si="50"/>
        <v>50.9</v>
      </c>
      <c r="AW35" s="4">
        <f t="shared" si="50"/>
        <v>31.3</v>
      </c>
      <c r="AX35" s="4">
        <f t="shared" si="50"/>
        <v>88.2</v>
      </c>
      <c r="AY35" s="4">
        <f t="shared" si="50"/>
        <v>76.400000000000006</v>
      </c>
      <c r="AZ35" s="4">
        <f t="shared" si="50"/>
        <v>82.3</v>
      </c>
      <c r="BA35" s="4">
        <f t="shared" si="50"/>
        <v>29.4</v>
      </c>
      <c r="BB35" s="4">
        <f t="shared" si="40"/>
        <v>54.900000000000006</v>
      </c>
      <c r="BC35" s="4">
        <f t="shared" si="41"/>
        <v>41.099999999999994</v>
      </c>
      <c r="BD35" s="4">
        <f t="shared" si="17"/>
        <v>53</v>
      </c>
      <c r="BE35" s="4">
        <f t="shared" si="18"/>
        <v>84.4</v>
      </c>
      <c r="BF35" s="4">
        <f t="shared" si="51"/>
        <v>31.3</v>
      </c>
      <c r="BG35" s="4">
        <f t="shared" si="52"/>
        <v>21.5</v>
      </c>
      <c r="BH35" s="4">
        <f t="shared" si="53"/>
        <v>90.100000000000009</v>
      </c>
      <c r="BI35" s="4">
        <f t="shared" si="54"/>
        <v>32</v>
      </c>
      <c r="BJ35" s="4">
        <f t="shared" si="55"/>
        <v>27.400000000000002</v>
      </c>
      <c r="BK35" s="4">
        <f t="shared" si="56"/>
        <v>27.400000000000002</v>
      </c>
      <c r="BL35" s="4">
        <f t="shared" si="57"/>
        <v>25.4</v>
      </c>
      <c r="BM35" s="4">
        <f t="shared" si="58"/>
        <v>27.400000000000002</v>
      </c>
      <c r="BN35" s="4">
        <f t="shared" si="27"/>
        <v>54.900000000000006</v>
      </c>
      <c r="BO35" s="4">
        <f t="shared" si="38"/>
        <v>39.300000000000004</v>
      </c>
    </row>
    <row r="36" spans="1:67">
      <c r="A36" s="2">
        <v>34</v>
      </c>
      <c r="B36" s="5" t="s">
        <v>99</v>
      </c>
      <c r="C36" s="2">
        <v>11</v>
      </c>
      <c r="D36" s="9">
        <v>8</v>
      </c>
      <c r="E36" s="9">
        <v>8.5</v>
      </c>
      <c r="F36" s="9">
        <v>3.1</v>
      </c>
      <c r="G36" s="9">
        <v>5</v>
      </c>
      <c r="H36" s="9">
        <v>61.8</v>
      </c>
      <c r="I36" s="9">
        <v>0</v>
      </c>
      <c r="J36" s="9">
        <v>0.1</v>
      </c>
      <c r="K36" s="9">
        <v>0</v>
      </c>
      <c r="L36" s="9">
        <v>1.3</v>
      </c>
      <c r="M36" s="9">
        <v>1.5</v>
      </c>
      <c r="N36" s="9">
        <v>82.4</v>
      </c>
      <c r="O36" s="9">
        <v>0.8</v>
      </c>
      <c r="P36" s="9">
        <v>3.5</v>
      </c>
      <c r="Q36" s="9">
        <v>4.3</v>
      </c>
      <c r="R36" s="9">
        <v>0</v>
      </c>
      <c r="S36" s="9">
        <v>0.2</v>
      </c>
      <c r="T36" s="9">
        <v>1.1000000000000001</v>
      </c>
      <c r="U36" s="9">
        <v>1.3</v>
      </c>
      <c r="V36" s="9">
        <v>1.5</v>
      </c>
      <c r="W36" s="9">
        <f t="shared" si="28"/>
        <v>3.1</v>
      </c>
      <c r="X36" s="9">
        <f t="shared" si="29"/>
        <v>4.9000000000000004</v>
      </c>
      <c r="Y36" s="9">
        <f t="shared" si="30"/>
        <v>63.265306122448969</v>
      </c>
      <c r="Z36" s="6">
        <f t="shared" si="31"/>
        <v>0</v>
      </c>
      <c r="AA36" s="9">
        <f t="shared" si="32"/>
        <v>75.088339222614835</v>
      </c>
      <c r="AB36" s="6">
        <f t="shared" si="33"/>
        <v>1.5017667844522966</v>
      </c>
      <c r="AC36" s="6">
        <f t="shared" si="34"/>
        <v>1.2212643678160919</v>
      </c>
      <c r="AD36" s="9">
        <f t="shared" si="35"/>
        <v>62</v>
      </c>
      <c r="AE36" s="4">
        <f>100*(AA36/TOTAL_BASIC!$C$81)</f>
        <v>129.06322777629208</v>
      </c>
      <c r="AF36" s="4">
        <f>100*AC36/TOTAL_BASIC!$C$82</f>
        <v>117.82428403726129</v>
      </c>
      <c r="AG36" s="4">
        <f>100*N36/TOTAL_BASIC!$C$87</f>
        <v>106.9169014084507</v>
      </c>
      <c r="AH36" s="4">
        <f>100*AD36/TOTAL_BASIC!$C$86</f>
        <v>118.54897888542749</v>
      </c>
      <c r="AI36" s="3">
        <f t="shared" si="36"/>
        <v>0.73333333333333339</v>
      </c>
      <c r="AJ36" s="9">
        <f t="shared" si="37"/>
        <v>18.678160919540229</v>
      </c>
      <c r="AM36" s="4">
        <f t="shared" si="42"/>
        <v>11.700000000000001</v>
      </c>
      <c r="AN36" s="4">
        <f t="shared" si="43"/>
        <v>35.199999999999996</v>
      </c>
      <c r="AO36" s="4">
        <f t="shared" si="44"/>
        <v>29.4</v>
      </c>
      <c r="AP36" s="4">
        <f t="shared" si="45"/>
        <v>11.700000000000001</v>
      </c>
      <c r="AQ36" s="4">
        <f t="shared" si="46"/>
        <v>96</v>
      </c>
      <c r="AR36" s="4">
        <f t="shared" si="47"/>
        <v>0</v>
      </c>
      <c r="AS36" s="4">
        <f t="shared" si="48"/>
        <v>3.9</v>
      </c>
      <c r="AT36" s="4">
        <f t="shared" si="49"/>
        <v>0</v>
      </c>
      <c r="AU36" s="4">
        <f t="shared" si="50"/>
        <v>64.7</v>
      </c>
      <c r="AV36" s="4">
        <f t="shared" si="50"/>
        <v>56.8</v>
      </c>
      <c r="AW36" s="4">
        <f t="shared" si="50"/>
        <v>60.699999999999996</v>
      </c>
      <c r="AX36" s="4">
        <f t="shared" si="50"/>
        <v>35.199999999999996</v>
      </c>
      <c r="AY36" s="4">
        <f t="shared" si="50"/>
        <v>47</v>
      </c>
      <c r="AZ36" s="4">
        <f t="shared" si="50"/>
        <v>47</v>
      </c>
      <c r="BA36" s="4">
        <f t="shared" si="50"/>
        <v>0</v>
      </c>
      <c r="BB36" s="4">
        <f t="shared" si="40"/>
        <v>13.700000000000001</v>
      </c>
      <c r="BC36" s="4">
        <f t="shared" si="41"/>
        <v>90.100000000000009</v>
      </c>
      <c r="BD36" s="4">
        <f t="shared" si="17"/>
        <v>49.1</v>
      </c>
      <c r="BE36" s="4">
        <f t="shared" si="18"/>
        <v>96.1</v>
      </c>
      <c r="BF36" s="4">
        <f t="shared" si="51"/>
        <v>50.9</v>
      </c>
      <c r="BG36" s="4">
        <f t="shared" si="52"/>
        <v>39.200000000000003</v>
      </c>
      <c r="BH36" s="4">
        <f t="shared" si="53"/>
        <v>94.1</v>
      </c>
      <c r="BI36" s="4">
        <f t="shared" si="54"/>
        <v>0</v>
      </c>
      <c r="BJ36" s="4">
        <f t="shared" si="55"/>
        <v>100</v>
      </c>
      <c r="BK36" s="4">
        <f t="shared" si="56"/>
        <v>100</v>
      </c>
      <c r="BL36" s="4">
        <f t="shared" si="57"/>
        <v>100</v>
      </c>
      <c r="BM36" s="4">
        <f t="shared" si="58"/>
        <v>96</v>
      </c>
      <c r="BN36" s="4">
        <f t="shared" si="27"/>
        <v>100</v>
      </c>
      <c r="BO36" s="4">
        <f t="shared" si="38"/>
        <v>5.9000000000000057</v>
      </c>
    </row>
    <row r="37" spans="1:67">
      <c r="A37" s="2">
        <v>35</v>
      </c>
      <c r="B37" s="5" t="s">
        <v>97</v>
      </c>
      <c r="C37" s="2">
        <v>11</v>
      </c>
      <c r="D37" s="9">
        <v>8.5</v>
      </c>
      <c r="E37" s="9">
        <v>8.3000000000000007</v>
      </c>
      <c r="F37" s="9">
        <v>3.5</v>
      </c>
      <c r="G37" s="9">
        <v>6.9</v>
      </c>
      <c r="H37" s="9">
        <v>50</v>
      </c>
      <c r="I37" s="9">
        <v>0.8</v>
      </c>
      <c r="J37" s="9">
        <v>2.5</v>
      </c>
      <c r="K37" s="9">
        <v>33.299999999999997</v>
      </c>
      <c r="L37" s="9">
        <v>0.3</v>
      </c>
      <c r="M37" s="9">
        <v>0.6</v>
      </c>
      <c r="N37" s="9">
        <v>42.9</v>
      </c>
      <c r="O37" s="9">
        <v>0.8</v>
      </c>
      <c r="P37" s="9">
        <v>2.2999999999999998</v>
      </c>
      <c r="Q37" s="9">
        <v>3.1</v>
      </c>
      <c r="R37" s="9">
        <v>0.3</v>
      </c>
      <c r="S37" s="9">
        <v>0.5</v>
      </c>
      <c r="T37" s="9">
        <v>0</v>
      </c>
      <c r="U37" s="9">
        <v>0.8</v>
      </c>
      <c r="V37" s="9">
        <v>1.8</v>
      </c>
      <c r="W37" s="9">
        <f t="shared" si="28"/>
        <v>2.7</v>
      </c>
      <c r="X37" s="9">
        <f t="shared" si="29"/>
        <v>4.4000000000000004</v>
      </c>
      <c r="Y37" s="9">
        <f t="shared" si="30"/>
        <v>61.363636363636367</v>
      </c>
      <c r="Z37" s="6">
        <f t="shared" si="31"/>
        <v>0.37499999999999994</v>
      </c>
      <c r="AA37" s="9">
        <f t="shared" si="32"/>
        <v>57.928531546622004</v>
      </c>
      <c r="AB37" s="6">
        <f t="shared" si="33"/>
        <v>1.1585706309324402</v>
      </c>
      <c r="AC37" s="6">
        <f t="shared" si="34"/>
        <v>1.0421898543445505</v>
      </c>
      <c r="AD37" s="9">
        <f t="shared" si="35"/>
        <v>56.521739130434781</v>
      </c>
      <c r="AE37" s="4">
        <f>100*(AA37/TOTAL_BASIC!$C$81)</f>
        <v>99.56863261527657</v>
      </c>
      <c r="AF37" s="4">
        <f>100*AC37/TOTAL_BASIC!$C$82</f>
        <v>100.5476591760645</v>
      </c>
      <c r="AG37" s="4">
        <f>100*N37/TOTAL_BASIC!$C$87</f>
        <v>55.664260563380282</v>
      </c>
      <c r="AH37" s="4">
        <f>100*AD37/TOTAL_BASIC!$C$86</f>
        <v>108.07410417325086</v>
      </c>
      <c r="AI37" s="3">
        <f t="shared" si="36"/>
        <v>0</v>
      </c>
      <c r="AJ37" s="9">
        <f t="shared" si="37"/>
        <v>10.04520341536916</v>
      </c>
      <c r="AM37" s="4">
        <f t="shared" si="42"/>
        <v>19.600000000000001</v>
      </c>
      <c r="AN37" s="4">
        <f t="shared" si="43"/>
        <v>33.300000000000004</v>
      </c>
      <c r="AO37" s="4">
        <f t="shared" si="44"/>
        <v>39.200000000000003</v>
      </c>
      <c r="AP37" s="4">
        <f t="shared" si="45"/>
        <v>25.4</v>
      </c>
      <c r="AQ37" s="4">
        <f t="shared" si="46"/>
        <v>68.600000000000009</v>
      </c>
      <c r="AR37" s="4">
        <f t="shared" si="47"/>
        <v>41.099999999999994</v>
      </c>
      <c r="AS37" s="4">
        <f t="shared" si="48"/>
        <v>41.099999999999994</v>
      </c>
      <c r="AT37" s="4">
        <f t="shared" si="49"/>
        <v>50.9</v>
      </c>
      <c r="AU37" s="4">
        <f t="shared" si="50"/>
        <v>17.599999999999998</v>
      </c>
      <c r="AV37" s="4">
        <f t="shared" si="50"/>
        <v>27.400000000000002</v>
      </c>
      <c r="AW37" s="4">
        <f t="shared" si="50"/>
        <v>17.599999999999998</v>
      </c>
      <c r="AX37" s="4">
        <f t="shared" si="50"/>
        <v>35.199999999999996</v>
      </c>
      <c r="AY37" s="4">
        <f t="shared" si="50"/>
        <v>21.5</v>
      </c>
      <c r="AZ37" s="4">
        <f t="shared" si="50"/>
        <v>25.4</v>
      </c>
      <c r="BA37" s="4">
        <f t="shared" si="50"/>
        <v>9.8000000000000007</v>
      </c>
      <c r="BB37" s="4">
        <f t="shared" si="40"/>
        <v>37.200000000000003</v>
      </c>
      <c r="BC37" s="4">
        <f t="shared" si="41"/>
        <v>0</v>
      </c>
      <c r="BD37" s="4">
        <f t="shared" si="17"/>
        <v>82.4</v>
      </c>
      <c r="BE37" s="4">
        <f t="shared" si="18"/>
        <v>84.4</v>
      </c>
      <c r="BF37" s="4">
        <f t="shared" si="51"/>
        <v>39.200000000000003</v>
      </c>
      <c r="BG37" s="4">
        <f t="shared" si="52"/>
        <v>29.4</v>
      </c>
      <c r="BH37" s="4">
        <f t="shared" si="53"/>
        <v>88.2</v>
      </c>
      <c r="BI37" s="4">
        <f t="shared" si="54"/>
        <v>10</v>
      </c>
      <c r="BJ37" s="4">
        <f t="shared" si="55"/>
        <v>56.8</v>
      </c>
      <c r="BK37" s="4">
        <f t="shared" si="56"/>
        <v>56.8</v>
      </c>
      <c r="BL37" s="4">
        <f t="shared" si="57"/>
        <v>58.8</v>
      </c>
      <c r="BM37" s="4">
        <f t="shared" si="58"/>
        <v>76.400000000000006</v>
      </c>
      <c r="BN37" s="4">
        <f t="shared" si="27"/>
        <v>0</v>
      </c>
      <c r="BO37" s="4">
        <f t="shared" si="38"/>
        <v>56.9</v>
      </c>
    </row>
    <row r="38" spans="1:67">
      <c r="A38" s="2">
        <v>36</v>
      </c>
      <c r="B38" s="5" t="s">
        <v>102</v>
      </c>
      <c r="C38" s="2">
        <v>12</v>
      </c>
      <c r="D38" s="9">
        <v>12</v>
      </c>
      <c r="E38" s="9">
        <v>8</v>
      </c>
      <c r="F38" s="9">
        <v>3.7</v>
      </c>
      <c r="G38" s="9">
        <v>8.3000000000000007</v>
      </c>
      <c r="H38" s="9">
        <v>44</v>
      </c>
      <c r="I38" s="9">
        <v>0.5</v>
      </c>
      <c r="J38" s="9">
        <v>1.5</v>
      </c>
      <c r="K38" s="9">
        <v>33.299999999999997</v>
      </c>
      <c r="L38" s="9">
        <v>0.1</v>
      </c>
      <c r="M38" s="9">
        <v>0.3</v>
      </c>
      <c r="N38" s="9">
        <v>33.299999999999997</v>
      </c>
      <c r="O38" s="9">
        <v>0.4</v>
      </c>
      <c r="P38" s="9">
        <v>4.2</v>
      </c>
      <c r="Q38" s="9">
        <v>4.5999999999999996</v>
      </c>
      <c r="R38" s="9">
        <v>4.3</v>
      </c>
      <c r="S38" s="9">
        <v>0.5</v>
      </c>
      <c r="T38" s="9">
        <v>0.1</v>
      </c>
      <c r="U38" s="9">
        <v>1.3</v>
      </c>
      <c r="V38" s="9">
        <v>2.2000000000000002</v>
      </c>
      <c r="W38" s="9">
        <f t="shared" si="28"/>
        <v>3.2</v>
      </c>
      <c r="X38" s="9">
        <f t="shared" si="29"/>
        <v>6.8000000000000007</v>
      </c>
      <c r="Y38" s="9">
        <f t="shared" si="30"/>
        <v>47.058823529411761</v>
      </c>
      <c r="Z38" s="6">
        <f t="shared" si="31"/>
        <v>3.3076923076923075</v>
      </c>
      <c r="AA38" s="9">
        <f t="shared" si="32"/>
        <v>47.438330170777988</v>
      </c>
      <c r="AB38" s="6">
        <f t="shared" si="33"/>
        <v>0.94876660341555974</v>
      </c>
      <c r="AC38" s="6">
        <f t="shared" si="34"/>
        <v>0.82203041512535957</v>
      </c>
      <c r="AD38" s="9">
        <f t="shared" si="35"/>
        <v>47.590361445783131</v>
      </c>
      <c r="AE38" s="4">
        <f>100*(AA38/TOTAL_BASIC!$C$81)</f>
        <v>81.537880256034526</v>
      </c>
      <c r="AF38" s="4">
        <f>100*AC38/TOTAL_BASIC!$C$82</f>
        <v>79.307271768026752</v>
      </c>
      <c r="AG38" s="4">
        <f>100*N38/TOTAL_BASIC!$C$87</f>
        <v>43.20792253521126</v>
      </c>
      <c r="AH38" s="4">
        <f>100*AD38/TOTAL_BASIC!$C$86</f>
        <v>90.996592809451712</v>
      </c>
      <c r="AI38" s="3">
        <f t="shared" si="36"/>
        <v>4.5454545454545456E-2</v>
      </c>
      <c r="AJ38" s="9">
        <f t="shared" si="37"/>
        <v>13.357994245787093</v>
      </c>
      <c r="AM38" s="4">
        <f t="shared" si="42"/>
        <v>47</v>
      </c>
      <c r="AN38" s="4">
        <f t="shared" si="43"/>
        <v>31.3</v>
      </c>
      <c r="AO38" s="4">
        <f t="shared" si="44"/>
        <v>43.1</v>
      </c>
      <c r="AP38" s="4">
        <f t="shared" si="45"/>
        <v>49</v>
      </c>
      <c r="AQ38" s="4">
        <f t="shared" si="46"/>
        <v>41.099999999999994</v>
      </c>
      <c r="AR38" s="4">
        <f t="shared" si="47"/>
        <v>29.4</v>
      </c>
      <c r="AS38" s="4">
        <f t="shared" si="48"/>
        <v>27.400000000000002</v>
      </c>
      <c r="AT38" s="4">
        <f t="shared" si="49"/>
        <v>50.9</v>
      </c>
      <c r="AU38" s="4">
        <f t="shared" si="50"/>
        <v>11.700000000000001</v>
      </c>
      <c r="AV38" s="4">
        <f t="shared" si="50"/>
        <v>13.700000000000001</v>
      </c>
      <c r="AW38" s="4">
        <f t="shared" si="50"/>
        <v>11.700000000000001</v>
      </c>
      <c r="AX38" s="4">
        <f t="shared" si="50"/>
        <v>9.8000000000000007</v>
      </c>
      <c r="AY38" s="4">
        <f t="shared" si="50"/>
        <v>62.7</v>
      </c>
      <c r="AZ38" s="4">
        <f t="shared" si="50"/>
        <v>54.900000000000006</v>
      </c>
      <c r="BA38" s="4">
        <f t="shared" si="50"/>
        <v>90.100000000000009</v>
      </c>
      <c r="BB38" s="4">
        <f t="shared" si="40"/>
        <v>37.200000000000003</v>
      </c>
      <c r="BC38" s="4">
        <f t="shared" si="41"/>
        <v>19.600000000000001</v>
      </c>
      <c r="BD38" s="4">
        <f t="shared" si="17"/>
        <v>49.1</v>
      </c>
      <c r="BE38" s="4">
        <f t="shared" si="18"/>
        <v>64.800000000000011</v>
      </c>
      <c r="BF38" s="4">
        <f t="shared" si="51"/>
        <v>52.900000000000006</v>
      </c>
      <c r="BG38" s="4">
        <f t="shared" si="52"/>
        <v>54.900000000000006</v>
      </c>
      <c r="BH38" s="4">
        <f t="shared" si="53"/>
        <v>29.4</v>
      </c>
      <c r="BI38" s="4">
        <f t="shared" si="54"/>
        <v>90</v>
      </c>
      <c r="BJ38" s="4">
        <f t="shared" si="55"/>
        <v>15.6</v>
      </c>
      <c r="BK38" s="4">
        <f t="shared" si="56"/>
        <v>15.6</v>
      </c>
      <c r="BL38" s="4">
        <f t="shared" si="57"/>
        <v>13.700000000000001</v>
      </c>
      <c r="BM38" s="4">
        <f t="shared" si="58"/>
        <v>29.4</v>
      </c>
      <c r="BN38" s="4">
        <f t="shared" si="27"/>
        <v>25.4</v>
      </c>
      <c r="BO38" s="4">
        <f t="shared" si="38"/>
        <v>27.5</v>
      </c>
    </row>
    <row r="39" spans="1:67">
      <c r="A39" s="2">
        <v>37</v>
      </c>
      <c r="B39" s="5" t="s">
        <v>100</v>
      </c>
      <c r="C39" s="2">
        <v>10</v>
      </c>
      <c r="D39" s="9">
        <v>9.4</v>
      </c>
      <c r="E39" s="9">
        <v>7.8</v>
      </c>
      <c r="F39" s="9">
        <v>2.8</v>
      </c>
      <c r="G39" s="9">
        <v>7.9</v>
      </c>
      <c r="H39" s="9">
        <v>35.4</v>
      </c>
      <c r="I39" s="9">
        <v>0.7</v>
      </c>
      <c r="J39" s="9">
        <v>2.5</v>
      </c>
      <c r="K39" s="9">
        <v>28</v>
      </c>
      <c r="L39" s="9">
        <v>0.8</v>
      </c>
      <c r="M39" s="9">
        <v>1.1000000000000001</v>
      </c>
      <c r="N39" s="9">
        <v>72.7</v>
      </c>
      <c r="O39" s="9">
        <v>0.4</v>
      </c>
      <c r="P39" s="9">
        <v>3.4</v>
      </c>
      <c r="Q39" s="9">
        <v>3.8</v>
      </c>
      <c r="R39" s="9">
        <v>3.1</v>
      </c>
      <c r="S39" s="9">
        <v>1</v>
      </c>
      <c r="T39" s="9">
        <v>0.2</v>
      </c>
      <c r="U39" s="9">
        <v>0.7</v>
      </c>
      <c r="V39" s="9">
        <v>2.2999999999999998</v>
      </c>
      <c r="W39" s="9">
        <f t="shared" si="28"/>
        <v>2.0999999999999996</v>
      </c>
      <c r="X39" s="9">
        <f t="shared" si="29"/>
        <v>5.4</v>
      </c>
      <c r="Y39" s="9">
        <f t="shared" si="30"/>
        <v>38.888888888888879</v>
      </c>
      <c r="Z39" s="6">
        <f t="shared" si="31"/>
        <v>4.4285714285714288</v>
      </c>
      <c r="AA39" s="9">
        <f t="shared" si="32"/>
        <v>46.517175572519079</v>
      </c>
      <c r="AB39" s="6">
        <f t="shared" si="33"/>
        <v>0.93034351145038163</v>
      </c>
      <c r="AC39" s="6">
        <f t="shared" si="34"/>
        <v>0.85865257595772793</v>
      </c>
      <c r="AD39" s="9">
        <f t="shared" si="35"/>
        <v>39.873417721518983</v>
      </c>
      <c r="AE39" s="4">
        <f>100*(AA39/TOTAL_BASIC!$C$81)</f>
        <v>79.954582676635383</v>
      </c>
      <c r="AF39" s="4">
        <f>100*AC39/TOTAL_BASIC!$C$82</f>
        <v>82.84047882268554</v>
      </c>
      <c r="AG39" s="4">
        <f>100*N39/TOTAL_BASIC!$C$87</f>
        <v>94.330809859154925</v>
      </c>
      <c r="AH39" s="4">
        <f>100*AD39/TOTAL_BASIC!$C$86</f>
        <v>76.241176702551343</v>
      </c>
      <c r="AI39" s="3">
        <f t="shared" si="36"/>
        <v>8.6956521739130446E-2</v>
      </c>
      <c r="AJ39" s="9">
        <f t="shared" si="37"/>
        <v>7.7058564509026866</v>
      </c>
      <c r="AM39" s="4">
        <f t="shared" si="42"/>
        <v>25.4</v>
      </c>
      <c r="AN39" s="4">
        <f t="shared" si="43"/>
        <v>29.4</v>
      </c>
      <c r="AO39" s="4">
        <f t="shared" si="44"/>
        <v>23.5</v>
      </c>
      <c r="AP39" s="4">
        <f t="shared" si="45"/>
        <v>37.200000000000003</v>
      </c>
      <c r="AQ39" s="4">
        <f t="shared" si="46"/>
        <v>9.8000000000000007</v>
      </c>
      <c r="AR39" s="4">
        <f t="shared" si="47"/>
        <v>37.200000000000003</v>
      </c>
      <c r="AS39" s="4">
        <f t="shared" si="48"/>
        <v>41.099999999999994</v>
      </c>
      <c r="AT39" s="4">
        <f t="shared" si="49"/>
        <v>39.200000000000003</v>
      </c>
      <c r="AU39" s="4">
        <f t="shared" si="50"/>
        <v>41.099999999999994</v>
      </c>
      <c r="AV39" s="4">
        <f t="shared" si="50"/>
        <v>43.1</v>
      </c>
      <c r="AW39" s="4">
        <f t="shared" si="50"/>
        <v>45</v>
      </c>
      <c r="AX39" s="4">
        <f t="shared" si="50"/>
        <v>9.8000000000000007</v>
      </c>
      <c r="AY39" s="4">
        <f t="shared" si="50"/>
        <v>45</v>
      </c>
      <c r="AZ39" s="4">
        <f t="shared" si="50"/>
        <v>39.200000000000003</v>
      </c>
      <c r="BA39" s="4">
        <f t="shared" si="50"/>
        <v>76.400000000000006</v>
      </c>
      <c r="BB39" s="4">
        <f t="shared" si="40"/>
        <v>70.5</v>
      </c>
      <c r="BC39" s="4">
        <f t="shared" si="41"/>
        <v>29.4</v>
      </c>
      <c r="BD39" s="4">
        <f t="shared" si="17"/>
        <v>86.3</v>
      </c>
      <c r="BE39" s="4">
        <f t="shared" si="18"/>
        <v>60.8</v>
      </c>
      <c r="BF39" s="4">
        <f t="shared" si="51"/>
        <v>25.4</v>
      </c>
      <c r="BG39" s="4">
        <f t="shared" si="52"/>
        <v>43.1</v>
      </c>
      <c r="BH39" s="4">
        <f t="shared" si="53"/>
        <v>11.700000000000001</v>
      </c>
      <c r="BI39" s="4">
        <f t="shared" si="54"/>
        <v>96</v>
      </c>
      <c r="BJ39" s="4">
        <f t="shared" si="55"/>
        <v>11.700000000000001</v>
      </c>
      <c r="BK39" s="4">
        <f t="shared" si="56"/>
        <v>11.700000000000001</v>
      </c>
      <c r="BL39" s="4">
        <f t="shared" si="57"/>
        <v>17.599999999999998</v>
      </c>
      <c r="BM39" s="4">
        <f t="shared" si="58"/>
        <v>7.8</v>
      </c>
      <c r="BN39" s="4">
        <f t="shared" si="27"/>
        <v>35.199999999999996</v>
      </c>
      <c r="BO39" s="4">
        <f t="shared" si="38"/>
        <v>80.400000000000006</v>
      </c>
    </row>
    <row r="40" spans="1:67">
      <c r="A40" s="2">
        <v>38</v>
      </c>
      <c r="B40" s="5" t="s">
        <v>96</v>
      </c>
      <c r="C40" s="2">
        <v>9</v>
      </c>
      <c r="D40" s="9">
        <v>10.1</v>
      </c>
      <c r="E40" s="9">
        <v>7.4</v>
      </c>
      <c r="F40" s="9">
        <v>3.4</v>
      </c>
      <c r="G40" s="9">
        <v>6.9</v>
      </c>
      <c r="H40" s="9">
        <v>50</v>
      </c>
      <c r="I40" s="9">
        <v>0.1</v>
      </c>
      <c r="J40" s="9">
        <v>1.2</v>
      </c>
      <c r="K40" s="9">
        <v>9.1</v>
      </c>
      <c r="L40" s="9">
        <v>0.3</v>
      </c>
      <c r="M40" s="9">
        <v>0.4</v>
      </c>
      <c r="N40" s="9">
        <v>75</v>
      </c>
      <c r="O40" s="9">
        <v>0.9</v>
      </c>
      <c r="P40" s="9">
        <v>4.5999999999999996</v>
      </c>
      <c r="Q40" s="9">
        <v>5.4</v>
      </c>
      <c r="R40" s="9">
        <v>1.2</v>
      </c>
      <c r="S40" s="9">
        <v>0.4</v>
      </c>
      <c r="T40" s="9">
        <v>0.8</v>
      </c>
      <c r="U40" s="9">
        <v>1.1000000000000001</v>
      </c>
      <c r="V40" s="9">
        <v>2.6</v>
      </c>
      <c r="W40" s="9">
        <f t="shared" si="28"/>
        <v>3.3</v>
      </c>
      <c r="X40" s="9">
        <f t="shared" si="29"/>
        <v>5.7</v>
      </c>
      <c r="Y40" s="9">
        <f t="shared" si="30"/>
        <v>57.894736842105253</v>
      </c>
      <c r="Z40" s="6">
        <f t="shared" si="31"/>
        <v>1.0909090909090908</v>
      </c>
      <c r="AA40" s="9">
        <f t="shared" si="32"/>
        <v>52.289429055963815</v>
      </c>
      <c r="AB40" s="6">
        <f t="shared" si="33"/>
        <v>1.0457885811192762</v>
      </c>
      <c r="AC40" s="6">
        <f t="shared" si="34"/>
        <v>0.90508806262230923</v>
      </c>
      <c r="AD40" s="9">
        <f t="shared" si="35"/>
        <v>50</v>
      </c>
      <c r="AE40" s="4">
        <f>100*(AA40/TOTAL_BASIC!$C$81)</f>
        <v>89.87603884185512</v>
      </c>
      <c r="AF40" s="4">
        <f>100*AC40/TOTAL_BASIC!$C$82</f>
        <v>87.320449019441483</v>
      </c>
      <c r="AG40" s="4">
        <f>100*N40/TOTAL_BASIC!$C$87</f>
        <v>97.315140845070417</v>
      </c>
      <c r="AH40" s="4">
        <f>100*AD40/TOTAL_BASIC!$C$86</f>
        <v>95.60401523018345</v>
      </c>
      <c r="AI40" s="3">
        <f t="shared" si="36"/>
        <v>0.30769230769230771</v>
      </c>
      <c r="AJ40" s="9">
        <f t="shared" si="37"/>
        <v>13.454011741682976</v>
      </c>
      <c r="AM40" s="4">
        <f t="shared" si="42"/>
        <v>33.300000000000004</v>
      </c>
      <c r="AN40" s="4">
        <f t="shared" si="43"/>
        <v>27.400000000000002</v>
      </c>
      <c r="AO40" s="4">
        <f t="shared" si="44"/>
        <v>37.200000000000003</v>
      </c>
      <c r="AP40" s="4">
        <f t="shared" si="45"/>
        <v>25.4</v>
      </c>
      <c r="AQ40" s="4">
        <f t="shared" si="46"/>
        <v>68.600000000000009</v>
      </c>
      <c r="AR40" s="4">
        <f t="shared" si="47"/>
        <v>9.8000000000000007</v>
      </c>
      <c r="AS40" s="4">
        <f t="shared" si="48"/>
        <v>19.600000000000001</v>
      </c>
      <c r="AT40" s="4">
        <f t="shared" si="49"/>
        <v>9.8000000000000007</v>
      </c>
      <c r="AU40" s="4">
        <f t="shared" si="50"/>
        <v>17.599999999999998</v>
      </c>
      <c r="AV40" s="4">
        <f t="shared" si="50"/>
        <v>17.599999999999998</v>
      </c>
      <c r="AW40" s="4">
        <f t="shared" si="50"/>
        <v>50.9</v>
      </c>
      <c r="AX40" s="4">
        <f t="shared" si="50"/>
        <v>52.900000000000006</v>
      </c>
      <c r="AY40" s="4">
        <f t="shared" si="50"/>
        <v>68.600000000000009</v>
      </c>
      <c r="AZ40" s="4">
        <f t="shared" si="50"/>
        <v>68.600000000000009</v>
      </c>
      <c r="BA40" s="4">
        <f t="shared" si="50"/>
        <v>41.099999999999994</v>
      </c>
      <c r="BB40" s="4">
        <f t="shared" si="40"/>
        <v>27.400000000000002</v>
      </c>
      <c r="BC40" s="4">
        <f t="shared" si="41"/>
        <v>84.3</v>
      </c>
      <c r="BD40" s="4">
        <f t="shared" si="17"/>
        <v>58.900000000000006</v>
      </c>
      <c r="BE40" s="4">
        <f t="shared" si="18"/>
        <v>35.299999999999997</v>
      </c>
      <c r="BF40" s="4">
        <f t="shared" si="51"/>
        <v>54.900000000000006</v>
      </c>
      <c r="BG40" s="4">
        <f t="shared" si="52"/>
        <v>45</v>
      </c>
      <c r="BH40" s="4">
        <f t="shared" si="53"/>
        <v>68.600000000000009</v>
      </c>
      <c r="BI40" s="4">
        <f t="shared" si="54"/>
        <v>40</v>
      </c>
      <c r="BJ40" s="4">
        <f t="shared" si="55"/>
        <v>25.4</v>
      </c>
      <c r="BK40" s="4">
        <f t="shared" si="56"/>
        <v>25.4</v>
      </c>
      <c r="BL40" s="4">
        <f t="shared" si="57"/>
        <v>21.5</v>
      </c>
      <c r="BM40" s="4">
        <f t="shared" si="58"/>
        <v>43.1</v>
      </c>
      <c r="BN40" s="4">
        <f t="shared" si="27"/>
        <v>80.300000000000011</v>
      </c>
      <c r="BO40" s="4">
        <f t="shared" si="38"/>
        <v>25.5</v>
      </c>
    </row>
    <row r="41" spans="1:67">
      <c r="A41" s="2">
        <v>39</v>
      </c>
      <c r="B41" s="5" t="s">
        <v>104</v>
      </c>
      <c r="C41" s="2">
        <v>12</v>
      </c>
      <c r="D41" s="9">
        <v>8.1</v>
      </c>
      <c r="E41" s="9">
        <v>6.6</v>
      </c>
      <c r="F41" s="9">
        <v>2.9</v>
      </c>
      <c r="G41" s="9">
        <v>5.4</v>
      </c>
      <c r="H41" s="9">
        <v>53.8</v>
      </c>
      <c r="I41" s="9">
        <v>0.2</v>
      </c>
      <c r="J41" s="9">
        <v>1.3</v>
      </c>
      <c r="K41" s="9">
        <v>13.3</v>
      </c>
      <c r="L41" s="9">
        <v>0.3</v>
      </c>
      <c r="M41" s="9">
        <v>0.8</v>
      </c>
      <c r="N41" s="9">
        <v>44.4</v>
      </c>
      <c r="O41" s="9">
        <v>1.1000000000000001</v>
      </c>
      <c r="P41" s="9">
        <v>3.7</v>
      </c>
      <c r="Q41" s="9">
        <v>4.8</v>
      </c>
      <c r="R41" s="9">
        <v>0.8</v>
      </c>
      <c r="S41" s="9">
        <v>0.4</v>
      </c>
      <c r="T41" s="9">
        <v>0.6</v>
      </c>
      <c r="U41" s="9">
        <v>1.1000000000000001</v>
      </c>
      <c r="V41" s="9">
        <v>2.2999999999999998</v>
      </c>
      <c r="W41" s="9">
        <f t="shared" si="28"/>
        <v>2.6999999999999997</v>
      </c>
      <c r="X41" s="9">
        <f t="shared" si="29"/>
        <v>4.1000000000000005</v>
      </c>
      <c r="Y41" s="9">
        <f t="shared" si="30"/>
        <v>65.853658536585343</v>
      </c>
      <c r="Z41" s="6">
        <f t="shared" si="31"/>
        <v>0.72727272727272729</v>
      </c>
      <c r="AA41" s="9">
        <f t="shared" si="32"/>
        <v>57.371349095966615</v>
      </c>
      <c r="AB41" s="6">
        <f t="shared" si="33"/>
        <v>1.1474269819193323</v>
      </c>
      <c r="AC41" s="6">
        <f t="shared" si="34"/>
        <v>0.96322241681260934</v>
      </c>
      <c r="AD41" s="9">
        <f t="shared" si="35"/>
        <v>55.55555555555555</v>
      </c>
      <c r="AE41" s="4">
        <f>100*(AA41/TOTAL_BASIC!$C$81)</f>
        <v>98.610937102412819</v>
      </c>
      <c r="AF41" s="4">
        <f>100*AC41/TOTAL_BASIC!$C$82</f>
        <v>92.929094322578791</v>
      </c>
      <c r="AG41" s="4">
        <f>100*N41/TOTAL_BASIC!$C$87</f>
        <v>57.61056338028169</v>
      </c>
      <c r="AH41" s="4">
        <f>100*AD41/TOTAL_BASIC!$C$86</f>
        <v>106.22668358909272</v>
      </c>
      <c r="AI41" s="3">
        <f t="shared" si="36"/>
        <v>0.2608695652173913</v>
      </c>
      <c r="AJ41" s="9">
        <f t="shared" si="37"/>
        <v>16.053706946876826</v>
      </c>
      <c r="AM41" s="4">
        <f t="shared" si="42"/>
        <v>15.6</v>
      </c>
      <c r="AN41" s="4">
        <f t="shared" si="43"/>
        <v>25.4</v>
      </c>
      <c r="AO41" s="4">
        <f t="shared" si="44"/>
        <v>27.400000000000002</v>
      </c>
      <c r="AP41" s="4">
        <f t="shared" si="45"/>
        <v>17.599999999999998</v>
      </c>
      <c r="AQ41" s="4">
        <f t="shared" si="46"/>
        <v>82.3</v>
      </c>
      <c r="AR41" s="4">
        <f t="shared" si="47"/>
        <v>13.700000000000001</v>
      </c>
      <c r="AS41" s="4">
        <f t="shared" si="48"/>
        <v>21.5</v>
      </c>
      <c r="AT41" s="4">
        <f t="shared" si="49"/>
        <v>11.700000000000001</v>
      </c>
      <c r="AU41" s="4">
        <f t="shared" si="50"/>
        <v>17.599999999999998</v>
      </c>
      <c r="AV41" s="4">
        <f t="shared" si="50"/>
        <v>35.199999999999996</v>
      </c>
      <c r="AW41" s="4">
        <f t="shared" si="50"/>
        <v>19.600000000000001</v>
      </c>
      <c r="AX41" s="4">
        <f t="shared" si="50"/>
        <v>66.600000000000009</v>
      </c>
      <c r="AY41" s="4">
        <f t="shared" si="50"/>
        <v>50.9</v>
      </c>
      <c r="AZ41" s="4">
        <f t="shared" si="50"/>
        <v>60.699999999999996</v>
      </c>
      <c r="BA41" s="4">
        <f t="shared" si="50"/>
        <v>21.5</v>
      </c>
      <c r="BB41" s="4">
        <f t="shared" si="40"/>
        <v>27.400000000000002</v>
      </c>
      <c r="BC41" s="4">
        <f t="shared" si="41"/>
        <v>72.5</v>
      </c>
      <c r="BD41" s="4">
        <f t="shared" si="17"/>
        <v>58.900000000000006</v>
      </c>
      <c r="BE41" s="4">
        <f t="shared" si="18"/>
        <v>60.8</v>
      </c>
      <c r="BF41" s="4">
        <f t="shared" si="51"/>
        <v>37.200000000000003</v>
      </c>
      <c r="BG41" s="4">
        <f t="shared" si="52"/>
        <v>27.400000000000002</v>
      </c>
      <c r="BH41" s="4">
        <f t="shared" si="53"/>
        <v>96</v>
      </c>
      <c r="BI41" s="4">
        <f t="shared" si="54"/>
        <v>24</v>
      </c>
      <c r="BJ41" s="4">
        <f t="shared" si="55"/>
        <v>52.900000000000006</v>
      </c>
      <c r="BK41" s="4">
        <f t="shared" si="56"/>
        <v>52.900000000000006</v>
      </c>
      <c r="BL41" s="4">
        <f t="shared" si="57"/>
        <v>29.4</v>
      </c>
      <c r="BM41" s="4">
        <f t="shared" si="58"/>
        <v>66.600000000000009</v>
      </c>
      <c r="BN41" s="4">
        <f t="shared" si="27"/>
        <v>76.400000000000006</v>
      </c>
      <c r="BO41" s="4">
        <f t="shared" si="38"/>
        <v>11.799999999999997</v>
      </c>
    </row>
    <row r="42" spans="1:67">
      <c r="A42" s="2">
        <v>40</v>
      </c>
      <c r="B42" s="5" t="s">
        <v>107</v>
      </c>
      <c r="C42" s="2">
        <v>12</v>
      </c>
      <c r="D42" s="9">
        <v>8.8000000000000007</v>
      </c>
      <c r="E42" s="9">
        <v>6.5</v>
      </c>
      <c r="F42" s="9">
        <v>2.8</v>
      </c>
      <c r="G42" s="9">
        <v>4.9000000000000004</v>
      </c>
      <c r="H42" s="9">
        <v>55.9</v>
      </c>
      <c r="I42" s="9">
        <v>0.3</v>
      </c>
      <c r="J42" s="9">
        <v>0.9</v>
      </c>
      <c r="K42" s="9">
        <v>36.4</v>
      </c>
      <c r="L42" s="9">
        <v>0.3</v>
      </c>
      <c r="M42" s="9">
        <v>0.7</v>
      </c>
      <c r="N42" s="9">
        <v>50</v>
      </c>
      <c r="O42" s="9">
        <v>1.3</v>
      </c>
      <c r="P42" s="9">
        <v>3.2</v>
      </c>
      <c r="Q42" s="9">
        <v>4.5</v>
      </c>
      <c r="R42" s="9">
        <v>0.6</v>
      </c>
      <c r="S42" s="9">
        <v>0.6</v>
      </c>
      <c r="T42" s="9">
        <v>0.3</v>
      </c>
      <c r="U42" s="9">
        <v>0.9</v>
      </c>
      <c r="V42" s="9">
        <v>2.1</v>
      </c>
      <c r="W42" s="9">
        <f t="shared" si="28"/>
        <v>2.5</v>
      </c>
      <c r="X42" s="9">
        <f t="shared" si="29"/>
        <v>4</v>
      </c>
      <c r="Y42" s="9">
        <f t="shared" si="30"/>
        <v>62.5</v>
      </c>
      <c r="Z42" s="6">
        <f t="shared" si="31"/>
        <v>0.66666666666666663</v>
      </c>
      <c r="AA42" s="9">
        <f t="shared" si="32"/>
        <v>62.403993855606757</v>
      </c>
      <c r="AB42" s="6">
        <f t="shared" si="33"/>
        <v>1.2480798771121351</v>
      </c>
      <c r="AC42" s="6">
        <f t="shared" si="34"/>
        <v>1.0641781270464963</v>
      </c>
      <c r="AD42" s="9">
        <f t="shared" si="35"/>
        <v>60.204081632653057</v>
      </c>
      <c r="AE42" s="4">
        <f>100*(AA42/TOTAL_BASIC!$C$81)</f>
        <v>107.26114009871208</v>
      </c>
      <c r="AF42" s="4">
        <f>100*AC42/TOTAL_BASIC!$C$82</f>
        <v>102.66902827238532</v>
      </c>
      <c r="AG42" s="4">
        <f>100*N42/TOTAL_BASIC!$C$87</f>
        <v>64.876760563380287</v>
      </c>
      <c r="AH42" s="4">
        <f>100*AD42/TOTAL_BASIC!$C$86</f>
        <v>115.11503874654743</v>
      </c>
      <c r="AI42" s="3">
        <f t="shared" si="36"/>
        <v>0.14285714285714285</v>
      </c>
      <c r="AJ42" s="9">
        <f t="shared" si="37"/>
        <v>14.734774066797641</v>
      </c>
      <c r="AM42" s="4">
        <f t="shared" ref="AM42:AS54" si="59">(PERCENTRANK(D$3:D$78,D42))*100</f>
        <v>23.5</v>
      </c>
      <c r="AN42" s="4">
        <f t="shared" si="59"/>
        <v>23.5</v>
      </c>
      <c r="AO42" s="4">
        <f t="shared" si="59"/>
        <v>23.5</v>
      </c>
      <c r="AP42" s="4">
        <f t="shared" si="59"/>
        <v>9.8000000000000007</v>
      </c>
      <c r="AQ42" s="4">
        <f t="shared" si="59"/>
        <v>90.100000000000009</v>
      </c>
      <c r="AR42" s="4">
        <f t="shared" si="59"/>
        <v>19.600000000000001</v>
      </c>
      <c r="AS42" s="4">
        <f t="shared" si="59"/>
        <v>11.700000000000001</v>
      </c>
      <c r="AT42" s="4">
        <f t="shared" ref="AT42:BA54" si="60">(PERCENTRANK(K$3:K$78,K42))*100</f>
        <v>72.5</v>
      </c>
      <c r="AU42" s="4">
        <f t="shared" si="50"/>
        <v>17.599999999999998</v>
      </c>
      <c r="AV42" s="4">
        <f t="shared" si="50"/>
        <v>33.300000000000004</v>
      </c>
      <c r="AW42" s="4">
        <f t="shared" si="50"/>
        <v>21.5</v>
      </c>
      <c r="AX42" s="4">
        <f t="shared" si="50"/>
        <v>72.5</v>
      </c>
      <c r="AY42" s="4">
        <f t="shared" si="50"/>
        <v>41.099999999999994</v>
      </c>
      <c r="AZ42" s="4">
        <f t="shared" si="50"/>
        <v>50.9</v>
      </c>
      <c r="BA42" s="4">
        <f t="shared" si="50"/>
        <v>15.6</v>
      </c>
      <c r="BB42" s="4">
        <f t="shared" si="40"/>
        <v>45</v>
      </c>
      <c r="BC42" s="4">
        <f t="shared" si="41"/>
        <v>41.099999999999994</v>
      </c>
      <c r="BD42" s="4">
        <f t="shared" si="17"/>
        <v>78.5</v>
      </c>
      <c r="BE42" s="4">
        <f t="shared" si="18"/>
        <v>68.7</v>
      </c>
      <c r="BF42" s="4">
        <f t="shared" si="51"/>
        <v>31.3</v>
      </c>
      <c r="BG42" s="4">
        <f t="shared" si="52"/>
        <v>21.5</v>
      </c>
      <c r="BH42" s="4">
        <f t="shared" si="53"/>
        <v>90.100000000000009</v>
      </c>
      <c r="BI42" s="4">
        <f t="shared" si="54"/>
        <v>22</v>
      </c>
      <c r="BJ42" s="4">
        <f t="shared" si="55"/>
        <v>78.400000000000006</v>
      </c>
      <c r="BK42" s="4">
        <f t="shared" si="56"/>
        <v>78.400000000000006</v>
      </c>
      <c r="BL42" s="4">
        <f t="shared" si="57"/>
        <v>66.600000000000009</v>
      </c>
      <c r="BM42" s="4">
        <f t="shared" si="58"/>
        <v>92.100000000000009</v>
      </c>
      <c r="BN42" s="4">
        <f t="shared" si="27"/>
        <v>50.9</v>
      </c>
      <c r="BO42" s="4">
        <f t="shared" si="38"/>
        <v>15.700000000000003</v>
      </c>
    </row>
    <row r="43" spans="1:67">
      <c r="A43" s="2">
        <v>41</v>
      </c>
      <c r="B43" s="5" t="s">
        <v>105</v>
      </c>
      <c r="C43" s="2">
        <v>11</v>
      </c>
      <c r="D43" s="9">
        <v>10</v>
      </c>
      <c r="E43" s="9">
        <v>6.2</v>
      </c>
      <c r="F43" s="9">
        <v>2.5</v>
      </c>
      <c r="G43" s="9">
        <v>6.2</v>
      </c>
      <c r="H43" s="9">
        <v>41.2</v>
      </c>
      <c r="I43" s="9">
        <v>0.5</v>
      </c>
      <c r="J43" s="9">
        <v>2.8</v>
      </c>
      <c r="K43" s="9">
        <v>16.100000000000001</v>
      </c>
      <c r="L43" s="9">
        <v>0.3</v>
      </c>
      <c r="M43" s="9">
        <v>0.5</v>
      </c>
      <c r="N43" s="9">
        <v>50</v>
      </c>
      <c r="O43" s="9">
        <v>0.7</v>
      </c>
      <c r="P43" s="9">
        <v>2.7</v>
      </c>
      <c r="Q43" s="9">
        <v>3.5</v>
      </c>
      <c r="R43" s="9">
        <v>1</v>
      </c>
      <c r="S43" s="9">
        <v>0.4</v>
      </c>
      <c r="T43" s="9">
        <v>0.2</v>
      </c>
      <c r="U43" s="9">
        <v>1</v>
      </c>
      <c r="V43" s="9">
        <v>2.2000000000000002</v>
      </c>
      <c r="W43" s="9">
        <f t="shared" si="28"/>
        <v>2</v>
      </c>
      <c r="X43" s="9">
        <f t="shared" si="29"/>
        <v>3.4000000000000004</v>
      </c>
      <c r="Y43" s="9">
        <f t="shared" si="30"/>
        <v>58.823529411764696</v>
      </c>
      <c r="Z43" s="6">
        <f t="shared" si="31"/>
        <v>1</v>
      </c>
      <c r="AA43" s="9">
        <f t="shared" si="32"/>
        <v>48.286604361370721</v>
      </c>
      <c r="AB43" s="6">
        <f t="shared" si="33"/>
        <v>0.96573208722741444</v>
      </c>
      <c r="AC43" s="6">
        <f t="shared" si="34"/>
        <v>0.83557951482479786</v>
      </c>
      <c r="AD43" s="9">
        <f t="shared" si="35"/>
        <v>44.354838709677416</v>
      </c>
      <c r="AE43" s="4">
        <f>100*(AA43/TOTAL_BASIC!$C$81)</f>
        <v>82.995909641298198</v>
      </c>
      <c r="AF43" s="4">
        <f>100*AC43/TOTAL_BASIC!$C$82</f>
        <v>80.614452271696507</v>
      </c>
      <c r="AG43" s="4">
        <f>100*N43/TOTAL_BASIC!$C$87</f>
        <v>64.876760563380287</v>
      </c>
      <c r="AH43" s="4">
        <f>100*AD43/TOTAL_BASIC!$C$86</f>
        <v>84.810013510646598</v>
      </c>
      <c r="AI43" s="3">
        <f t="shared" si="36"/>
        <v>9.0909090909090912E-2</v>
      </c>
      <c r="AJ43" s="9">
        <f t="shared" si="37"/>
        <v>13.477088948787062</v>
      </c>
      <c r="AM43" s="4">
        <f t="shared" si="59"/>
        <v>29.4</v>
      </c>
      <c r="AN43" s="4">
        <f t="shared" si="59"/>
        <v>21.5</v>
      </c>
      <c r="AO43" s="4">
        <f t="shared" si="59"/>
        <v>21.5</v>
      </c>
      <c r="AP43" s="4">
        <f t="shared" si="59"/>
        <v>19.600000000000001</v>
      </c>
      <c r="AQ43" s="4">
        <f t="shared" si="59"/>
        <v>23.5</v>
      </c>
      <c r="AR43" s="4">
        <f t="shared" si="59"/>
        <v>29.4</v>
      </c>
      <c r="AS43" s="4">
        <f t="shared" si="59"/>
        <v>47</v>
      </c>
      <c r="AT43" s="4">
        <f t="shared" si="60"/>
        <v>17.599999999999998</v>
      </c>
      <c r="AU43" s="4">
        <f t="shared" si="50"/>
        <v>17.599999999999998</v>
      </c>
      <c r="AV43" s="4">
        <f t="shared" si="50"/>
        <v>19.600000000000001</v>
      </c>
      <c r="AW43" s="4">
        <f t="shared" si="50"/>
        <v>21.5</v>
      </c>
      <c r="AX43" s="4">
        <f t="shared" si="50"/>
        <v>31.3</v>
      </c>
      <c r="AY43" s="4">
        <f t="shared" si="50"/>
        <v>35.199999999999996</v>
      </c>
      <c r="AZ43" s="4">
        <f t="shared" si="50"/>
        <v>31.3</v>
      </c>
      <c r="BA43" s="4">
        <f t="shared" si="50"/>
        <v>27.400000000000002</v>
      </c>
      <c r="BB43" s="4">
        <f t="shared" si="40"/>
        <v>27.400000000000002</v>
      </c>
      <c r="BC43" s="4">
        <f t="shared" si="41"/>
        <v>29.4</v>
      </c>
      <c r="BD43" s="4">
        <f t="shared" si="17"/>
        <v>72.599999999999994</v>
      </c>
      <c r="BE43" s="4">
        <f t="shared" si="18"/>
        <v>64.800000000000011</v>
      </c>
      <c r="BF43" s="4">
        <f t="shared" si="51"/>
        <v>23.5</v>
      </c>
      <c r="BG43" s="4">
        <f t="shared" si="52"/>
        <v>17.599999999999998</v>
      </c>
      <c r="BH43" s="4">
        <f t="shared" si="53"/>
        <v>76.400000000000006</v>
      </c>
      <c r="BI43" s="4">
        <f t="shared" si="54"/>
        <v>36</v>
      </c>
      <c r="BJ43" s="4">
        <f t="shared" si="55"/>
        <v>17.599999999999998</v>
      </c>
      <c r="BK43" s="4">
        <f t="shared" si="56"/>
        <v>17.599999999999998</v>
      </c>
      <c r="BL43" s="4">
        <f t="shared" si="57"/>
        <v>15.6</v>
      </c>
      <c r="BM43" s="4">
        <f t="shared" si="58"/>
        <v>15.6</v>
      </c>
      <c r="BN43" s="4">
        <f t="shared" si="27"/>
        <v>37.200000000000003</v>
      </c>
      <c r="BO43" s="4">
        <f t="shared" si="38"/>
        <v>23.599999999999994</v>
      </c>
    </row>
    <row r="44" spans="1:67">
      <c r="A44" s="2">
        <v>42</v>
      </c>
      <c r="B44" s="5" t="s">
        <v>108</v>
      </c>
      <c r="C44" s="2">
        <v>12</v>
      </c>
      <c r="D44" s="9">
        <v>8.1</v>
      </c>
      <c r="E44" s="9">
        <v>6.1</v>
      </c>
      <c r="F44" s="9">
        <v>2.2999999999999998</v>
      </c>
      <c r="G44" s="9">
        <v>6.5</v>
      </c>
      <c r="H44" s="9">
        <v>35.9</v>
      </c>
      <c r="I44" s="9">
        <v>1.1000000000000001</v>
      </c>
      <c r="J44" s="9">
        <v>3.1</v>
      </c>
      <c r="K44" s="9">
        <v>35.1</v>
      </c>
      <c r="L44" s="9">
        <v>0.2</v>
      </c>
      <c r="M44" s="9">
        <v>0.5</v>
      </c>
      <c r="N44" s="9">
        <v>33.299999999999997</v>
      </c>
      <c r="O44" s="9">
        <v>0.4</v>
      </c>
      <c r="P44" s="9">
        <v>1.5</v>
      </c>
      <c r="Q44" s="9">
        <v>1.9</v>
      </c>
      <c r="R44" s="9">
        <v>1.3</v>
      </c>
      <c r="S44" s="9">
        <v>0.3</v>
      </c>
      <c r="T44" s="9">
        <v>0.1</v>
      </c>
      <c r="U44" s="9">
        <v>1</v>
      </c>
      <c r="V44" s="9">
        <v>1.8</v>
      </c>
      <c r="W44" s="9">
        <f t="shared" si="28"/>
        <v>1.1999999999999997</v>
      </c>
      <c r="X44" s="9">
        <f t="shared" si="29"/>
        <v>3.4</v>
      </c>
      <c r="Y44" s="9">
        <f t="shared" si="30"/>
        <v>35.294117647058812</v>
      </c>
      <c r="Z44" s="6">
        <f t="shared" si="31"/>
        <v>1.3</v>
      </c>
      <c r="AA44" s="9">
        <f t="shared" si="32"/>
        <v>45.386904761904766</v>
      </c>
      <c r="AB44" s="6">
        <f t="shared" si="33"/>
        <v>0.90773809523809534</v>
      </c>
      <c r="AC44" s="6">
        <f t="shared" si="34"/>
        <v>0.7901554404145078</v>
      </c>
      <c r="AD44" s="9">
        <f t="shared" si="35"/>
        <v>43.84615384615384</v>
      </c>
      <c r="AE44" s="4">
        <f>100*(AA44/TOTAL_BASIC!$C$81)</f>
        <v>78.011852279486376</v>
      </c>
      <c r="AF44" s="4">
        <f>100*AC44/TOTAL_BASIC!$C$82</f>
        <v>76.232060394482872</v>
      </c>
      <c r="AG44" s="4">
        <f>100*N44/TOTAL_BASIC!$C$87</f>
        <v>43.20792253521126</v>
      </c>
      <c r="AH44" s="4">
        <f>100*AD44/TOTAL_BASIC!$C$86</f>
        <v>83.837367201853169</v>
      </c>
      <c r="AI44" s="3">
        <f t="shared" si="36"/>
        <v>5.5555555555555559E-2</v>
      </c>
      <c r="AJ44" s="9">
        <f t="shared" si="37"/>
        <v>12.953367875647668</v>
      </c>
      <c r="AM44" s="4">
        <f t="shared" si="59"/>
        <v>15.6</v>
      </c>
      <c r="AN44" s="4">
        <f t="shared" si="59"/>
        <v>19.600000000000001</v>
      </c>
      <c r="AO44" s="4">
        <f t="shared" si="59"/>
        <v>17.599999999999998</v>
      </c>
      <c r="AP44" s="4">
        <f t="shared" si="59"/>
        <v>21.5</v>
      </c>
      <c r="AQ44" s="4">
        <f t="shared" si="59"/>
        <v>11.700000000000001</v>
      </c>
      <c r="AR44" s="4">
        <f t="shared" si="59"/>
        <v>60.699999999999996</v>
      </c>
      <c r="AS44" s="4">
        <f t="shared" si="59"/>
        <v>52.900000000000006</v>
      </c>
      <c r="AT44" s="4">
        <f t="shared" si="60"/>
        <v>64.7</v>
      </c>
      <c r="AU44" s="4">
        <f t="shared" si="50"/>
        <v>15.6</v>
      </c>
      <c r="AV44" s="4">
        <f t="shared" si="50"/>
        <v>19.600000000000001</v>
      </c>
      <c r="AW44" s="4">
        <f t="shared" si="50"/>
        <v>11.700000000000001</v>
      </c>
      <c r="AX44" s="4">
        <f t="shared" si="50"/>
        <v>9.8000000000000007</v>
      </c>
      <c r="AY44" s="4">
        <f t="shared" si="50"/>
        <v>9.8000000000000007</v>
      </c>
      <c r="AZ44" s="4">
        <f t="shared" si="50"/>
        <v>7.8</v>
      </c>
      <c r="BA44" s="4">
        <f t="shared" si="50"/>
        <v>43.1</v>
      </c>
      <c r="BB44" s="4">
        <f t="shared" si="40"/>
        <v>17.599999999999998</v>
      </c>
      <c r="BC44" s="4">
        <f t="shared" si="41"/>
        <v>19.600000000000001</v>
      </c>
      <c r="BD44" s="4">
        <f t="shared" si="17"/>
        <v>72.599999999999994</v>
      </c>
      <c r="BE44" s="4">
        <f t="shared" si="18"/>
        <v>84.4</v>
      </c>
      <c r="BF44" s="4">
        <f t="shared" si="51"/>
        <v>11.700000000000001</v>
      </c>
      <c r="BG44" s="4">
        <f t="shared" si="52"/>
        <v>15.6</v>
      </c>
      <c r="BH44" s="4">
        <f t="shared" si="53"/>
        <v>7.8</v>
      </c>
      <c r="BI44" s="4">
        <f t="shared" si="54"/>
        <v>46</v>
      </c>
      <c r="BJ44" s="4">
        <f t="shared" si="55"/>
        <v>9.8000000000000007</v>
      </c>
      <c r="BK44" s="4">
        <f t="shared" si="56"/>
        <v>9.8000000000000007</v>
      </c>
      <c r="BL44" s="4">
        <f t="shared" si="57"/>
        <v>11.700000000000001</v>
      </c>
      <c r="BM44" s="4">
        <f t="shared" si="58"/>
        <v>13.700000000000001</v>
      </c>
      <c r="BN44" s="4">
        <f t="shared" si="27"/>
        <v>27.400000000000002</v>
      </c>
      <c r="BO44" s="4">
        <f t="shared" si="38"/>
        <v>33.399999999999991</v>
      </c>
    </row>
    <row r="45" spans="1:67">
      <c r="A45" s="2">
        <v>43</v>
      </c>
      <c r="B45" s="5" t="s">
        <v>119</v>
      </c>
      <c r="C45" s="2">
        <v>1</v>
      </c>
      <c r="D45" s="9">
        <v>8</v>
      </c>
      <c r="E45" s="9">
        <v>6</v>
      </c>
      <c r="F45" s="9">
        <v>2</v>
      </c>
      <c r="G45" s="9">
        <v>7</v>
      </c>
      <c r="H45" s="9">
        <v>28.6</v>
      </c>
      <c r="I45" s="9">
        <v>2</v>
      </c>
      <c r="J45" s="9">
        <v>6</v>
      </c>
      <c r="K45" s="9">
        <v>33.299999999999997</v>
      </c>
      <c r="L45" s="9">
        <v>0</v>
      </c>
      <c r="M45" s="9">
        <v>0</v>
      </c>
      <c r="N45" s="9">
        <v>0</v>
      </c>
      <c r="O45" s="9">
        <v>0</v>
      </c>
      <c r="P45" s="9">
        <v>4</v>
      </c>
      <c r="Q45" s="9">
        <v>4</v>
      </c>
      <c r="R45" s="9">
        <v>0</v>
      </c>
      <c r="S45" s="9">
        <v>0</v>
      </c>
      <c r="T45" s="9">
        <v>0</v>
      </c>
      <c r="U45" s="9">
        <v>1</v>
      </c>
      <c r="V45" s="9">
        <v>2</v>
      </c>
      <c r="W45" s="9">
        <f t="shared" si="28"/>
        <v>0</v>
      </c>
      <c r="X45" s="9">
        <f t="shared" si="29"/>
        <v>1</v>
      </c>
      <c r="Y45" s="9">
        <f t="shared" si="30"/>
        <v>0</v>
      </c>
      <c r="Z45" s="6">
        <f t="shared" si="31"/>
        <v>0</v>
      </c>
      <c r="AA45" s="9">
        <f t="shared" si="32"/>
        <v>42.857142857142854</v>
      </c>
      <c r="AB45" s="6">
        <f t="shared" si="33"/>
        <v>0.8571428571428571</v>
      </c>
      <c r="AC45" s="6">
        <f t="shared" si="34"/>
        <v>0.75</v>
      </c>
      <c r="AD45" s="9">
        <f t="shared" si="35"/>
        <v>42.857142857142854</v>
      </c>
      <c r="AE45" s="4">
        <f>100*(AA45/TOTAL_BASIC!$C$81)</f>
        <v>73.663650677023185</v>
      </c>
      <c r="AF45" s="4">
        <f>100*AC45/TOTAL_BASIC!$C$82</f>
        <v>72.357972079353402</v>
      </c>
      <c r="AG45" s="4">
        <f>100*N45/TOTAL_BASIC!$C$87</f>
        <v>0</v>
      </c>
      <c r="AH45" s="4">
        <f>100*AD45/TOTAL_BASIC!$C$86</f>
        <v>81.946298768728667</v>
      </c>
      <c r="AI45" s="3">
        <f t="shared" si="36"/>
        <v>0</v>
      </c>
      <c r="AJ45" s="9">
        <f t="shared" si="37"/>
        <v>12.5</v>
      </c>
      <c r="AM45" s="4">
        <f t="shared" si="59"/>
        <v>11.700000000000001</v>
      </c>
      <c r="AN45" s="4">
        <f t="shared" si="59"/>
        <v>17.599999999999998</v>
      </c>
      <c r="AO45" s="4">
        <f t="shared" si="59"/>
        <v>9.8000000000000007</v>
      </c>
      <c r="AP45" s="4">
        <f t="shared" si="59"/>
        <v>29.4</v>
      </c>
      <c r="AQ45" s="4">
        <f t="shared" si="59"/>
        <v>1.9</v>
      </c>
      <c r="AR45" s="4">
        <f t="shared" si="59"/>
        <v>86.2</v>
      </c>
      <c r="AS45" s="4">
        <f t="shared" si="59"/>
        <v>90.100000000000009</v>
      </c>
      <c r="AT45" s="4">
        <f t="shared" si="60"/>
        <v>50.9</v>
      </c>
      <c r="AU45" s="4">
        <f t="shared" si="50"/>
        <v>0</v>
      </c>
      <c r="AV45" s="4">
        <f t="shared" si="50"/>
        <v>0</v>
      </c>
      <c r="AW45" s="4">
        <f t="shared" si="50"/>
        <v>0</v>
      </c>
      <c r="AX45" s="4">
        <f t="shared" si="50"/>
        <v>0</v>
      </c>
      <c r="AY45" s="4">
        <f t="shared" si="50"/>
        <v>60.699999999999996</v>
      </c>
      <c r="AZ45" s="4">
        <f t="shared" si="50"/>
        <v>41.099999999999994</v>
      </c>
      <c r="BA45" s="4">
        <f t="shared" si="50"/>
        <v>0</v>
      </c>
      <c r="BB45" s="4">
        <f t="shared" si="40"/>
        <v>0</v>
      </c>
      <c r="BC45" s="4">
        <f t="shared" si="41"/>
        <v>0</v>
      </c>
      <c r="BD45" s="4">
        <f t="shared" si="17"/>
        <v>72.599999999999994</v>
      </c>
      <c r="BE45" s="4">
        <f t="shared" si="18"/>
        <v>74.599999999999994</v>
      </c>
      <c r="BF45" s="4">
        <f t="shared" si="51"/>
        <v>0</v>
      </c>
      <c r="BG45" s="4">
        <f t="shared" si="52"/>
        <v>1.9</v>
      </c>
      <c r="BH45" s="4">
        <f t="shared" si="53"/>
        <v>0</v>
      </c>
      <c r="BI45" s="4">
        <f t="shared" si="54"/>
        <v>0</v>
      </c>
      <c r="BJ45" s="4">
        <f t="shared" si="55"/>
        <v>7.8</v>
      </c>
      <c r="BK45" s="4">
        <f t="shared" si="56"/>
        <v>7.8</v>
      </c>
      <c r="BL45" s="4">
        <f t="shared" si="57"/>
        <v>9.8000000000000007</v>
      </c>
      <c r="BM45" s="4">
        <f t="shared" si="58"/>
        <v>11.700000000000001</v>
      </c>
      <c r="BN45" s="4">
        <f t="shared" si="27"/>
        <v>0</v>
      </c>
      <c r="BO45" s="4">
        <f t="shared" si="38"/>
        <v>37.299999999999997</v>
      </c>
    </row>
    <row r="46" spans="1:67">
      <c r="A46" s="2">
        <v>44</v>
      </c>
      <c r="B46" s="5" t="s">
        <v>109</v>
      </c>
      <c r="C46" s="2">
        <v>8</v>
      </c>
      <c r="D46" s="9">
        <v>7.3</v>
      </c>
      <c r="E46" s="9">
        <v>5.3</v>
      </c>
      <c r="F46" s="9">
        <v>2.1</v>
      </c>
      <c r="G46" s="9">
        <v>5.0999999999999996</v>
      </c>
      <c r="H46" s="9">
        <v>41.5</v>
      </c>
      <c r="I46" s="9">
        <v>0.8</v>
      </c>
      <c r="J46" s="9">
        <v>2.9</v>
      </c>
      <c r="K46" s="9">
        <v>26.1</v>
      </c>
      <c r="L46" s="9">
        <v>0.1</v>
      </c>
      <c r="M46" s="9">
        <v>0.1</v>
      </c>
      <c r="N46" s="9">
        <v>100</v>
      </c>
      <c r="O46" s="9">
        <v>0.1</v>
      </c>
      <c r="P46" s="9">
        <v>0.9</v>
      </c>
      <c r="Q46" s="9">
        <v>1</v>
      </c>
      <c r="R46" s="9">
        <v>1.5</v>
      </c>
      <c r="S46" s="9">
        <v>0.8</v>
      </c>
      <c r="T46" s="9">
        <v>0</v>
      </c>
      <c r="U46" s="9">
        <v>0.3</v>
      </c>
      <c r="V46" s="9">
        <v>2.2999999999999998</v>
      </c>
      <c r="W46" s="9">
        <f t="shared" si="28"/>
        <v>1.3</v>
      </c>
      <c r="X46" s="9">
        <f t="shared" si="29"/>
        <v>2.1999999999999997</v>
      </c>
      <c r="Y46" s="9">
        <f t="shared" si="30"/>
        <v>59.090909090909108</v>
      </c>
      <c r="Z46" s="6">
        <f t="shared" si="31"/>
        <v>5</v>
      </c>
      <c r="AA46" s="9">
        <f t="shared" si="32"/>
        <v>51.516329704510113</v>
      </c>
      <c r="AB46" s="6">
        <f t="shared" si="33"/>
        <v>1.0303265940902022</v>
      </c>
      <c r="AC46" s="6">
        <f t="shared" si="34"/>
        <v>0.97354886113152106</v>
      </c>
      <c r="AD46" s="9">
        <f t="shared" si="35"/>
        <v>49.019607843137258</v>
      </c>
      <c r="AE46" s="4">
        <f>100*(AA46/TOTAL_BASIC!$C$81)</f>
        <v>88.547221362025681</v>
      </c>
      <c r="AF46" s="4">
        <f>100*AC46/TOTAL_BASIC!$C$82</f>
        <v>93.925361748854542</v>
      </c>
      <c r="AG46" s="4">
        <f>100*N46/TOTAL_BASIC!$C$87</f>
        <v>129.75352112676057</v>
      </c>
      <c r="AH46" s="4">
        <f>100*AD46/TOTAL_BASIC!$C$86</f>
        <v>93.729426696258287</v>
      </c>
      <c r="AI46" s="3">
        <f t="shared" si="36"/>
        <v>0</v>
      </c>
      <c r="AJ46" s="9">
        <f t="shared" si="37"/>
        <v>5.5106539309331382</v>
      </c>
      <c r="AM46" s="4">
        <f t="shared" si="59"/>
        <v>9.8000000000000007</v>
      </c>
      <c r="AN46" s="4">
        <f t="shared" si="59"/>
        <v>15.6</v>
      </c>
      <c r="AO46" s="4">
        <f t="shared" si="59"/>
        <v>13.700000000000001</v>
      </c>
      <c r="AP46" s="4">
        <f t="shared" si="59"/>
        <v>13.700000000000001</v>
      </c>
      <c r="AQ46" s="4">
        <f t="shared" si="59"/>
        <v>27.400000000000002</v>
      </c>
      <c r="AR46" s="4">
        <f t="shared" si="59"/>
        <v>41.099999999999994</v>
      </c>
      <c r="AS46" s="4">
        <f t="shared" si="59"/>
        <v>49</v>
      </c>
      <c r="AT46" s="4">
        <f t="shared" si="60"/>
        <v>35.199999999999996</v>
      </c>
      <c r="AU46" s="4">
        <f t="shared" si="50"/>
        <v>11.700000000000001</v>
      </c>
      <c r="AV46" s="4">
        <f t="shared" si="50"/>
        <v>7.8</v>
      </c>
      <c r="AW46" s="4">
        <f t="shared" si="50"/>
        <v>92.100000000000009</v>
      </c>
      <c r="AX46" s="4">
        <f t="shared" si="50"/>
        <v>1.9</v>
      </c>
      <c r="AY46" s="4">
        <f t="shared" si="50"/>
        <v>1.9</v>
      </c>
      <c r="AZ46" s="4">
        <f t="shared" si="50"/>
        <v>0</v>
      </c>
      <c r="BA46" s="4">
        <f t="shared" si="50"/>
        <v>49</v>
      </c>
      <c r="BB46" s="4">
        <f t="shared" si="40"/>
        <v>54.900000000000006</v>
      </c>
      <c r="BC46" s="4">
        <f t="shared" si="41"/>
        <v>0</v>
      </c>
      <c r="BD46" s="4">
        <f t="shared" si="17"/>
        <v>98.1</v>
      </c>
      <c r="BE46" s="4">
        <f t="shared" si="18"/>
        <v>60.8</v>
      </c>
      <c r="BF46" s="4">
        <f t="shared" si="51"/>
        <v>13.700000000000001</v>
      </c>
      <c r="BG46" s="4">
        <f t="shared" si="52"/>
        <v>5.8000000000000007</v>
      </c>
      <c r="BH46" s="4">
        <f t="shared" si="53"/>
        <v>78.400000000000006</v>
      </c>
      <c r="BI46" s="4">
        <f t="shared" si="54"/>
        <v>98</v>
      </c>
      <c r="BJ46" s="4">
        <f t="shared" si="55"/>
        <v>19.600000000000001</v>
      </c>
      <c r="BK46" s="4">
        <f t="shared" si="56"/>
        <v>19.600000000000001</v>
      </c>
      <c r="BL46" s="4">
        <f t="shared" si="57"/>
        <v>33.300000000000004</v>
      </c>
      <c r="BM46" s="4">
        <f t="shared" si="58"/>
        <v>35.199999999999996</v>
      </c>
      <c r="BN46" s="4">
        <f t="shared" si="27"/>
        <v>0</v>
      </c>
      <c r="BO46" s="4">
        <f t="shared" si="38"/>
        <v>96.1</v>
      </c>
    </row>
    <row r="47" spans="1:67">
      <c r="A47" s="2">
        <v>45</v>
      </c>
      <c r="B47" s="5" t="s">
        <v>106</v>
      </c>
      <c r="C47" s="2">
        <v>11</v>
      </c>
      <c r="D47" s="9">
        <v>8.5</v>
      </c>
      <c r="E47" s="9">
        <v>5.2</v>
      </c>
      <c r="F47" s="9">
        <v>2.1</v>
      </c>
      <c r="G47" s="9">
        <v>6.7</v>
      </c>
      <c r="H47" s="9">
        <v>31.1</v>
      </c>
      <c r="I47" s="9">
        <v>0.4</v>
      </c>
      <c r="J47" s="9">
        <v>2</v>
      </c>
      <c r="K47" s="9">
        <v>18.2</v>
      </c>
      <c r="L47" s="9">
        <v>0.4</v>
      </c>
      <c r="M47" s="9">
        <v>0.5</v>
      </c>
      <c r="N47" s="9">
        <v>66.7</v>
      </c>
      <c r="O47" s="9">
        <v>0.4</v>
      </c>
      <c r="P47" s="9">
        <v>2</v>
      </c>
      <c r="Q47" s="9">
        <v>2.4</v>
      </c>
      <c r="R47" s="9">
        <v>1.1000000000000001</v>
      </c>
      <c r="S47" s="9">
        <v>0.9</v>
      </c>
      <c r="T47" s="9">
        <v>1.1000000000000001</v>
      </c>
      <c r="U47" s="9">
        <v>1.4</v>
      </c>
      <c r="V47" s="9">
        <v>1.6</v>
      </c>
      <c r="W47" s="9">
        <f t="shared" si="28"/>
        <v>1.7000000000000002</v>
      </c>
      <c r="X47" s="9">
        <f t="shared" si="29"/>
        <v>4.7</v>
      </c>
      <c r="Y47" s="9">
        <f t="shared" si="30"/>
        <v>36.170212765957451</v>
      </c>
      <c r="Z47" s="6">
        <f t="shared" si="31"/>
        <v>0.78571428571428581</v>
      </c>
      <c r="AA47" s="9">
        <f t="shared" si="32"/>
        <v>37.572254335260119</v>
      </c>
      <c r="AB47" s="6">
        <f t="shared" si="33"/>
        <v>0.75144508670520238</v>
      </c>
      <c r="AC47" s="6">
        <f t="shared" si="34"/>
        <v>0.625</v>
      </c>
      <c r="AD47" s="9">
        <f t="shared" si="35"/>
        <v>34.32835820895523</v>
      </c>
      <c r="AE47" s="4">
        <f>100*(AA47/TOTAL_BASIC!$C$81)</f>
        <v>64.579886431687001</v>
      </c>
      <c r="AF47" s="4">
        <f>100*AC47/TOTAL_BASIC!$C$82</f>
        <v>60.29831006612784</v>
      </c>
      <c r="AG47" s="4">
        <f>100*N47/TOTAL_BASIC!$C$87</f>
        <v>86.545598591549293</v>
      </c>
      <c r="AH47" s="4">
        <f>100*AD47/TOTAL_BASIC!$C$86</f>
        <v>65.63857762072297</v>
      </c>
      <c r="AI47" s="3">
        <f t="shared" si="36"/>
        <v>0.6875</v>
      </c>
      <c r="AJ47" s="9">
        <f t="shared" si="37"/>
        <v>16.826923076923077</v>
      </c>
      <c r="AM47" s="4">
        <f t="shared" si="59"/>
        <v>19.600000000000001</v>
      </c>
      <c r="AN47" s="4">
        <f t="shared" si="59"/>
        <v>13.700000000000001</v>
      </c>
      <c r="AO47" s="4">
        <f t="shared" si="59"/>
        <v>13.700000000000001</v>
      </c>
      <c r="AP47" s="4">
        <f t="shared" si="59"/>
        <v>23.5</v>
      </c>
      <c r="AQ47" s="4">
        <f t="shared" si="59"/>
        <v>7.8</v>
      </c>
      <c r="AR47" s="4">
        <f t="shared" si="59"/>
        <v>25.4</v>
      </c>
      <c r="AS47" s="4">
        <f t="shared" si="59"/>
        <v>31.3</v>
      </c>
      <c r="AT47" s="4">
        <f t="shared" si="60"/>
        <v>21.5</v>
      </c>
      <c r="AU47" s="4">
        <f t="shared" si="50"/>
        <v>29.4</v>
      </c>
      <c r="AV47" s="4">
        <f t="shared" si="50"/>
        <v>19.600000000000001</v>
      </c>
      <c r="AW47" s="4">
        <f t="shared" si="50"/>
        <v>37.200000000000003</v>
      </c>
      <c r="AX47" s="4">
        <f t="shared" si="50"/>
        <v>9.8000000000000007</v>
      </c>
      <c r="AY47" s="4">
        <f t="shared" si="50"/>
        <v>11.700000000000001</v>
      </c>
      <c r="AZ47" s="4">
        <f t="shared" si="50"/>
        <v>11.700000000000001</v>
      </c>
      <c r="BA47" s="4">
        <f t="shared" si="50"/>
        <v>29.4</v>
      </c>
      <c r="BB47" s="4">
        <f t="shared" si="40"/>
        <v>64.7</v>
      </c>
      <c r="BC47" s="4">
        <f t="shared" si="41"/>
        <v>90.100000000000009</v>
      </c>
      <c r="BD47" s="4">
        <f t="shared" si="17"/>
        <v>37.299999999999997</v>
      </c>
      <c r="BE47" s="4">
        <f t="shared" si="18"/>
        <v>92.2</v>
      </c>
      <c r="BF47" s="4">
        <f t="shared" si="51"/>
        <v>19.600000000000001</v>
      </c>
      <c r="BG47" s="4">
        <f t="shared" si="52"/>
        <v>33.300000000000004</v>
      </c>
      <c r="BH47" s="4">
        <f t="shared" si="53"/>
        <v>9.8000000000000007</v>
      </c>
      <c r="BI47" s="4">
        <f t="shared" si="54"/>
        <v>26</v>
      </c>
      <c r="BJ47" s="4">
        <f t="shared" si="55"/>
        <v>3.9</v>
      </c>
      <c r="BK47" s="4">
        <f t="shared" si="56"/>
        <v>3.9</v>
      </c>
      <c r="BL47" s="4">
        <f t="shared" si="57"/>
        <v>1.9</v>
      </c>
      <c r="BM47" s="4">
        <f t="shared" si="58"/>
        <v>1.9</v>
      </c>
      <c r="BN47" s="4">
        <f t="shared" si="27"/>
        <v>98</v>
      </c>
      <c r="BO47" s="4">
        <f t="shared" si="38"/>
        <v>7.8999999999999915</v>
      </c>
    </row>
    <row r="48" spans="1:67">
      <c r="A48" s="2">
        <v>46</v>
      </c>
      <c r="B48" s="5" t="s">
        <v>110</v>
      </c>
      <c r="C48" s="2">
        <v>1</v>
      </c>
      <c r="D48" s="9">
        <v>7</v>
      </c>
      <c r="E48" s="9">
        <v>5</v>
      </c>
      <c r="F48" s="9">
        <v>2</v>
      </c>
      <c r="G48" s="9">
        <v>7</v>
      </c>
      <c r="H48" s="9">
        <v>28.6</v>
      </c>
      <c r="I48" s="9">
        <v>1</v>
      </c>
      <c r="J48" s="9">
        <v>5</v>
      </c>
      <c r="K48" s="9">
        <v>20</v>
      </c>
      <c r="L48" s="9">
        <v>0</v>
      </c>
      <c r="M48" s="9">
        <v>0</v>
      </c>
      <c r="N48" s="9">
        <v>0</v>
      </c>
      <c r="O48" s="9">
        <v>1</v>
      </c>
      <c r="P48" s="9">
        <v>1</v>
      </c>
      <c r="Q48" s="9">
        <v>2</v>
      </c>
      <c r="R48" s="9">
        <v>0</v>
      </c>
      <c r="S48" s="9">
        <v>0</v>
      </c>
      <c r="T48" s="9">
        <v>0</v>
      </c>
      <c r="U48" s="9">
        <v>1</v>
      </c>
      <c r="V48" s="9">
        <v>1</v>
      </c>
      <c r="W48" s="9">
        <f t="shared" si="28"/>
        <v>1</v>
      </c>
      <c r="X48" s="9">
        <f t="shared" si="29"/>
        <v>2</v>
      </c>
      <c r="Y48" s="9">
        <f t="shared" si="30"/>
        <v>50</v>
      </c>
      <c r="Z48" s="6">
        <f t="shared" si="31"/>
        <v>0</v>
      </c>
      <c r="AA48" s="9">
        <f t="shared" si="32"/>
        <v>35.714285714285715</v>
      </c>
      <c r="AB48" s="6">
        <f t="shared" si="33"/>
        <v>0.7142857142857143</v>
      </c>
      <c r="AC48" s="6">
        <f t="shared" si="34"/>
        <v>0.625</v>
      </c>
      <c r="AD48" s="9">
        <f t="shared" si="35"/>
        <v>35.714285714285715</v>
      </c>
      <c r="AE48" s="4">
        <f>100*(AA48/TOTAL_BASIC!$C$81)</f>
        <v>61.386375564186004</v>
      </c>
      <c r="AF48" s="4">
        <f>100*AC48/TOTAL_BASIC!$C$82</f>
        <v>60.29831006612784</v>
      </c>
      <c r="AG48" s="4">
        <f>100*N48/TOTAL_BASIC!$C$87</f>
        <v>0</v>
      </c>
      <c r="AH48" s="4">
        <f>100*AD48/TOTAL_BASIC!$C$86</f>
        <v>68.288582307273899</v>
      </c>
      <c r="AI48" s="3">
        <f t="shared" si="36"/>
        <v>0</v>
      </c>
      <c r="AJ48" s="9">
        <f t="shared" si="37"/>
        <v>12.5</v>
      </c>
      <c r="AM48" s="4">
        <f t="shared" si="59"/>
        <v>7.8</v>
      </c>
      <c r="AN48" s="4">
        <f t="shared" si="59"/>
        <v>9.8000000000000007</v>
      </c>
      <c r="AO48" s="4">
        <f t="shared" si="59"/>
        <v>9.8000000000000007</v>
      </c>
      <c r="AP48" s="4">
        <f t="shared" si="59"/>
        <v>29.4</v>
      </c>
      <c r="AQ48" s="4">
        <f t="shared" si="59"/>
        <v>1.9</v>
      </c>
      <c r="AR48" s="4">
        <f t="shared" si="59"/>
        <v>52.900000000000006</v>
      </c>
      <c r="AS48" s="4">
        <f t="shared" si="59"/>
        <v>80.300000000000011</v>
      </c>
      <c r="AT48" s="4">
        <f t="shared" si="60"/>
        <v>23.5</v>
      </c>
      <c r="AU48" s="4">
        <f t="shared" si="50"/>
        <v>0</v>
      </c>
      <c r="AV48" s="4">
        <f t="shared" si="50"/>
        <v>0</v>
      </c>
      <c r="AW48" s="4">
        <f t="shared" si="50"/>
        <v>0</v>
      </c>
      <c r="AX48" s="4">
        <f t="shared" si="50"/>
        <v>60.699999999999996</v>
      </c>
      <c r="AY48" s="4">
        <f t="shared" si="50"/>
        <v>3.9</v>
      </c>
      <c r="AZ48" s="4">
        <f t="shared" si="50"/>
        <v>9.8000000000000007</v>
      </c>
      <c r="BA48" s="4">
        <f t="shared" si="50"/>
        <v>0</v>
      </c>
      <c r="BB48" s="4">
        <f t="shared" si="40"/>
        <v>0</v>
      </c>
      <c r="BC48" s="4">
        <f t="shared" si="41"/>
        <v>0</v>
      </c>
      <c r="BD48" s="4">
        <f t="shared" si="17"/>
        <v>72.599999999999994</v>
      </c>
      <c r="BE48" s="4">
        <f t="shared" si="18"/>
        <v>100</v>
      </c>
      <c r="BF48" s="4">
        <f t="shared" si="51"/>
        <v>9.8000000000000007</v>
      </c>
      <c r="BG48" s="4">
        <f t="shared" si="52"/>
        <v>3.9</v>
      </c>
      <c r="BH48" s="4">
        <f t="shared" si="53"/>
        <v>39.200000000000003</v>
      </c>
      <c r="BI48" s="4">
        <f t="shared" si="54"/>
        <v>0</v>
      </c>
      <c r="BJ48" s="4">
        <f t="shared" si="55"/>
        <v>1.9</v>
      </c>
      <c r="BK48" s="4">
        <f t="shared" si="56"/>
        <v>1.9</v>
      </c>
      <c r="BL48" s="4">
        <f t="shared" si="57"/>
        <v>1.9</v>
      </c>
      <c r="BM48" s="4">
        <f t="shared" si="58"/>
        <v>5.8000000000000007</v>
      </c>
      <c r="BN48" s="4">
        <f t="shared" si="27"/>
        <v>0</v>
      </c>
      <c r="BO48" s="4">
        <f t="shared" si="38"/>
        <v>37.299999999999997</v>
      </c>
    </row>
    <row r="49" spans="1:67">
      <c r="A49" s="2">
        <v>47</v>
      </c>
      <c r="B49" s="5" t="s">
        <v>116</v>
      </c>
      <c r="C49" s="2">
        <v>3</v>
      </c>
      <c r="D49" s="9">
        <v>6</v>
      </c>
      <c r="E49" s="9">
        <v>5</v>
      </c>
      <c r="F49" s="9">
        <v>2.2999999999999998</v>
      </c>
      <c r="G49" s="9">
        <v>4.7</v>
      </c>
      <c r="H49" s="9">
        <v>50</v>
      </c>
      <c r="I49" s="9">
        <v>0.3</v>
      </c>
      <c r="J49" s="9">
        <v>0.7</v>
      </c>
      <c r="K49" s="9">
        <v>50</v>
      </c>
      <c r="L49" s="9">
        <v>0</v>
      </c>
      <c r="M49" s="9">
        <v>0</v>
      </c>
      <c r="N49" s="9">
        <v>0</v>
      </c>
      <c r="O49" s="9">
        <v>0.3</v>
      </c>
      <c r="P49" s="9">
        <v>1</v>
      </c>
      <c r="Q49" s="9">
        <v>1.3</v>
      </c>
      <c r="R49" s="9">
        <v>1.3</v>
      </c>
      <c r="S49" s="9">
        <v>0</v>
      </c>
      <c r="T49" s="9">
        <v>0.3</v>
      </c>
      <c r="U49" s="9">
        <v>0.3</v>
      </c>
      <c r="V49" s="9">
        <v>1.7</v>
      </c>
      <c r="W49" s="9">
        <f t="shared" si="28"/>
        <v>1.9999999999999998</v>
      </c>
      <c r="X49" s="9">
        <f t="shared" si="29"/>
        <v>4</v>
      </c>
      <c r="Y49" s="9">
        <f t="shared" si="30"/>
        <v>49.999999999999993</v>
      </c>
      <c r="Z49" s="6">
        <f t="shared" si="31"/>
        <v>4.3333333333333339</v>
      </c>
      <c r="AA49" s="9">
        <f t="shared" si="32"/>
        <v>53.191489361702125</v>
      </c>
      <c r="AB49" s="6">
        <f t="shared" si="33"/>
        <v>1.0638297872340425</v>
      </c>
      <c r="AC49" s="6">
        <f t="shared" si="34"/>
        <v>1</v>
      </c>
      <c r="AD49" s="9">
        <f t="shared" si="35"/>
        <v>52.127659574468076</v>
      </c>
      <c r="AE49" s="4">
        <f>100*(AA49/TOTAL_BASIC!$C$81)</f>
        <v>91.426516797723821</v>
      </c>
      <c r="AF49" s="4">
        <f>100*AC49/TOTAL_BASIC!$C$82</f>
        <v>96.477296105804541</v>
      </c>
      <c r="AG49" s="4">
        <f>100*N49/TOTAL_BASIC!$C$87</f>
        <v>0</v>
      </c>
      <c r="AH49" s="4">
        <f>100*AD49/TOTAL_BASIC!$C$86</f>
        <v>99.672271197425289</v>
      </c>
      <c r="AI49" s="3">
        <f t="shared" si="36"/>
        <v>0.17647058823529413</v>
      </c>
      <c r="AJ49" s="9">
        <f t="shared" si="37"/>
        <v>6</v>
      </c>
      <c r="AM49" s="4">
        <f t="shared" si="59"/>
        <v>1.9</v>
      </c>
      <c r="AN49" s="4">
        <f t="shared" si="59"/>
        <v>9.8000000000000007</v>
      </c>
      <c r="AO49" s="4">
        <f t="shared" si="59"/>
        <v>17.599999999999998</v>
      </c>
      <c r="AP49" s="4">
        <f t="shared" si="59"/>
        <v>7.8</v>
      </c>
      <c r="AQ49" s="4">
        <f t="shared" si="59"/>
        <v>68.600000000000009</v>
      </c>
      <c r="AR49" s="4">
        <f t="shared" si="59"/>
        <v>19.600000000000001</v>
      </c>
      <c r="AS49" s="4">
        <f t="shared" si="59"/>
        <v>9.8000000000000007</v>
      </c>
      <c r="AT49" s="4">
        <f t="shared" si="60"/>
        <v>98</v>
      </c>
      <c r="AU49" s="4">
        <f t="shared" si="50"/>
        <v>0</v>
      </c>
      <c r="AV49" s="4">
        <f t="shared" si="50"/>
        <v>0</v>
      </c>
      <c r="AW49" s="4">
        <f t="shared" si="50"/>
        <v>0</v>
      </c>
      <c r="AX49" s="4">
        <f t="shared" si="50"/>
        <v>5.8000000000000007</v>
      </c>
      <c r="AY49" s="4">
        <f t="shared" si="50"/>
        <v>3.9</v>
      </c>
      <c r="AZ49" s="4">
        <f t="shared" si="50"/>
        <v>3.9</v>
      </c>
      <c r="BA49" s="4">
        <f t="shared" si="50"/>
        <v>43.1</v>
      </c>
      <c r="BB49" s="4">
        <f t="shared" si="40"/>
        <v>0</v>
      </c>
      <c r="BC49" s="4">
        <f t="shared" si="41"/>
        <v>41.099999999999994</v>
      </c>
      <c r="BD49" s="4">
        <f t="shared" si="17"/>
        <v>98.1</v>
      </c>
      <c r="BE49" s="4">
        <f t="shared" si="18"/>
        <v>88.3</v>
      </c>
      <c r="BF49" s="4">
        <f>(PERCENTRANK(W$3:W$78,W49))*100</f>
        <v>21.5</v>
      </c>
      <c r="BG49" s="4">
        <f t="shared" si="52"/>
        <v>21.5</v>
      </c>
      <c r="BH49" s="4">
        <f t="shared" si="53"/>
        <v>37.200000000000003</v>
      </c>
      <c r="BI49" s="4">
        <f t="shared" si="54"/>
        <v>94</v>
      </c>
      <c r="BJ49" s="4">
        <f t="shared" si="55"/>
        <v>29.4</v>
      </c>
      <c r="BK49" s="4">
        <f t="shared" si="56"/>
        <v>29.4</v>
      </c>
      <c r="BL49" s="4">
        <f t="shared" si="57"/>
        <v>43.1</v>
      </c>
      <c r="BM49" s="4">
        <f t="shared" si="58"/>
        <v>50.9</v>
      </c>
      <c r="BN49" s="4">
        <f t="shared" si="27"/>
        <v>58.8</v>
      </c>
      <c r="BO49" s="4">
        <f t="shared" si="38"/>
        <v>90.2</v>
      </c>
    </row>
    <row r="50" spans="1:67">
      <c r="A50" s="2">
        <v>48</v>
      </c>
      <c r="B50" s="5" t="s">
        <v>114</v>
      </c>
      <c r="C50" s="2">
        <v>12</v>
      </c>
      <c r="D50" s="2">
        <v>6.3</v>
      </c>
      <c r="E50" s="2">
        <v>4.9000000000000004</v>
      </c>
      <c r="F50" s="2">
        <v>1.7</v>
      </c>
      <c r="G50" s="2">
        <v>4.0999999999999996</v>
      </c>
      <c r="H50" s="2">
        <v>40.799999999999997</v>
      </c>
      <c r="I50" s="2">
        <v>1.6</v>
      </c>
      <c r="J50" s="2">
        <v>3.7</v>
      </c>
      <c r="K50" s="2">
        <v>43.2</v>
      </c>
      <c r="L50" s="2">
        <v>0</v>
      </c>
      <c r="M50" s="2">
        <v>0.1</v>
      </c>
      <c r="N50" s="2">
        <v>0</v>
      </c>
      <c r="O50" s="2">
        <v>0.1</v>
      </c>
      <c r="P50" s="2">
        <v>1.4</v>
      </c>
      <c r="Q50" s="2">
        <v>1.5</v>
      </c>
      <c r="R50" s="2">
        <v>0.9</v>
      </c>
      <c r="S50" s="2">
        <v>0.1</v>
      </c>
      <c r="T50" s="2">
        <v>0</v>
      </c>
      <c r="U50" s="2">
        <v>0.5</v>
      </c>
      <c r="V50" s="2">
        <v>2.2999999999999998</v>
      </c>
      <c r="W50" s="9">
        <f t="shared" si="28"/>
        <v>9.9999999999999867E-2</v>
      </c>
      <c r="X50" s="9">
        <f t="shared" si="29"/>
        <v>0.39999999999999947</v>
      </c>
      <c r="Y50" s="9">
        <f t="shared" si="30"/>
        <v>25</v>
      </c>
      <c r="Z50" s="6">
        <f t="shared" si="31"/>
        <v>1.8</v>
      </c>
      <c r="AA50" s="9">
        <f t="shared" si="32"/>
        <v>59.121621621621642</v>
      </c>
      <c r="AB50" s="6">
        <f t="shared" si="33"/>
        <v>1.1824324324324329</v>
      </c>
      <c r="AC50" s="6">
        <f t="shared" si="34"/>
        <v>1.0551248923341949</v>
      </c>
      <c r="AD50" s="9">
        <f t="shared" si="35"/>
        <v>60.975609756097569</v>
      </c>
      <c r="AE50" s="4">
        <f>100*(AA50/TOTAL_BASIC!$C$81)</f>
        <v>101.61933792719981</v>
      </c>
      <c r="AF50" s="4">
        <f>100*AC50/TOTAL_BASIC!$C$82</f>
        <v>101.79559666633125</v>
      </c>
      <c r="AG50" s="4">
        <f>100*N50/TOTAL_BASIC!$C$87</f>
        <v>0</v>
      </c>
      <c r="AH50" s="4">
        <f>100*AD50/TOTAL_BASIC!$C$86</f>
        <v>116.59026247583348</v>
      </c>
      <c r="AI50" s="3">
        <f t="shared" si="36"/>
        <v>0</v>
      </c>
      <c r="AJ50" s="9">
        <f t="shared" si="37"/>
        <v>10.766580534022395</v>
      </c>
      <c r="AK50" s="2"/>
      <c r="AL50" s="2"/>
      <c r="AM50" s="4">
        <f t="shared" si="59"/>
        <v>5.8000000000000007</v>
      </c>
      <c r="AN50" s="4">
        <f t="shared" si="59"/>
        <v>7.8</v>
      </c>
      <c r="AO50" s="4">
        <f t="shared" si="59"/>
        <v>3.9</v>
      </c>
      <c r="AP50" s="4">
        <f t="shared" si="59"/>
        <v>3.9</v>
      </c>
      <c r="AQ50" s="4">
        <f t="shared" si="59"/>
        <v>21.5</v>
      </c>
      <c r="AR50" s="4">
        <f t="shared" si="59"/>
        <v>76.400000000000006</v>
      </c>
      <c r="AS50" s="4">
        <f t="shared" si="59"/>
        <v>60.699999999999996</v>
      </c>
      <c r="AT50" s="4">
        <f t="shared" si="60"/>
        <v>94.1</v>
      </c>
      <c r="AU50" s="4">
        <f t="shared" si="50"/>
        <v>0</v>
      </c>
      <c r="AV50" s="4">
        <f t="shared" si="50"/>
        <v>7.8</v>
      </c>
      <c r="AW50" s="4">
        <f t="shared" si="50"/>
        <v>0</v>
      </c>
      <c r="AX50" s="4">
        <f t="shared" si="50"/>
        <v>1.9</v>
      </c>
      <c r="AY50" s="4">
        <f t="shared" si="50"/>
        <v>7.8</v>
      </c>
      <c r="AZ50" s="4">
        <f t="shared" si="50"/>
        <v>5.8000000000000007</v>
      </c>
      <c r="BA50" s="4">
        <f t="shared" si="50"/>
        <v>25.4</v>
      </c>
      <c r="BB50" s="4">
        <f t="shared" si="40"/>
        <v>9.8000000000000007</v>
      </c>
      <c r="BC50" s="4">
        <f t="shared" si="41"/>
        <v>0</v>
      </c>
      <c r="BD50" s="4">
        <f t="shared" si="17"/>
        <v>92.2</v>
      </c>
      <c r="BE50" s="4">
        <f t="shared" si="18"/>
        <v>60.8</v>
      </c>
      <c r="BF50" s="4">
        <f t="shared" ref="BF50:BF54" si="61">(PERCENTRANK(W$3:W$78,W50))*100</f>
        <v>3.9</v>
      </c>
      <c r="BG50" s="4">
        <f t="shared" si="52"/>
        <v>0</v>
      </c>
      <c r="BH50" s="4">
        <f t="shared" si="53"/>
        <v>3.9</v>
      </c>
      <c r="BI50" s="4">
        <f t="shared" si="54"/>
        <v>57.999999999999993</v>
      </c>
      <c r="BJ50" s="4">
        <f t="shared" si="55"/>
        <v>62.7</v>
      </c>
      <c r="BK50" s="4">
        <f t="shared" si="56"/>
        <v>62.7</v>
      </c>
      <c r="BL50" s="4">
        <f t="shared" si="57"/>
        <v>62.7</v>
      </c>
      <c r="BM50" s="4">
        <f t="shared" si="58"/>
        <v>94.1</v>
      </c>
      <c r="BN50" s="4">
        <f t="shared" si="27"/>
        <v>0</v>
      </c>
      <c r="BO50" s="4">
        <f t="shared" si="38"/>
        <v>55</v>
      </c>
    </row>
    <row r="51" spans="1:67">
      <c r="A51" s="2">
        <v>49</v>
      </c>
      <c r="B51" s="5" t="s">
        <v>111</v>
      </c>
      <c r="C51" s="2">
        <v>12</v>
      </c>
      <c r="D51" s="2">
        <v>5.5</v>
      </c>
      <c r="E51" s="2">
        <v>4.7</v>
      </c>
      <c r="F51" s="2">
        <v>1.7</v>
      </c>
      <c r="G51" s="2">
        <v>3.8</v>
      </c>
      <c r="H51" s="2">
        <v>44.4</v>
      </c>
      <c r="I51" s="2">
        <v>0.2</v>
      </c>
      <c r="J51" s="2">
        <v>1.1000000000000001</v>
      </c>
      <c r="K51" s="2">
        <v>15.4</v>
      </c>
      <c r="L51" s="2">
        <v>0.6</v>
      </c>
      <c r="M51" s="2">
        <v>0.6</v>
      </c>
      <c r="N51" s="2">
        <v>100</v>
      </c>
      <c r="O51" s="2">
        <v>0.8</v>
      </c>
      <c r="P51" s="2">
        <v>2</v>
      </c>
      <c r="Q51" s="2">
        <v>2.8</v>
      </c>
      <c r="R51" s="2">
        <v>0.3</v>
      </c>
      <c r="S51" s="2">
        <v>0.2</v>
      </c>
      <c r="T51" s="2">
        <v>0.3</v>
      </c>
      <c r="U51" s="2">
        <v>0.3</v>
      </c>
      <c r="V51" s="2">
        <v>1.3</v>
      </c>
      <c r="W51" s="9">
        <f t="shared" si="28"/>
        <v>1.5</v>
      </c>
      <c r="X51" s="9">
        <f t="shared" si="29"/>
        <v>2.6999999999999997</v>
      </c>
      <c r="Y51" s="9">
        <f t="shared" si="30"/>
        <v>55.555555555555557</v>
      </c>
      <c r="Z51" s="6">
        <f t="shared" si="31"/>
        <v>1</v>
      </c>
      <c r="AA51" s="9">
        <f t="shared" si="32"/>
        <v>57.824803149606296</v>
      </c>
      <c r="AB51" s="6">
        <f t="shared" si="33"/>
        <v>1.1564960629921259</v>
      </c>
      <c r="AC51" s="6">
        <f t="shared" si="34"/>
        <v>1.0769935838680111</v>
      </c>
      <c r="AD51" s="9">
        <f t="shared" si="35"/>
        <v>47.368421052631582</v>
      </c>
      <c r="AE51" s="4">
        <f>100*(AA51/TOTAL_BASIC!$C$81)</f>
        <v>99.390342325872012</v>
      </c>
      <c r="AF51" s="4">
        <f>100*AC51/TOTAL_BASIC!$C$82</f>
        <v>103.90542889488574</v>
      </c>
      <c r="AG51" s="4">
        <f>100*N51/TOTAL_BASIC!$C$87</f>
        <v>129.75352112676057</v>
      </c>
      <c r="AH51" s="4">
        <f>100*AD51/TOTAL_BASIC!$C$86</f>
        <v>90.572224954910652</v>
      </c>
      <c r="AI51" s="3">
        <f t="shared" si="36"/>
        <v>0.23076923076923075</v>
      </c>
      <c r="AJ51" s="9">
        <f t="shared" si="37"/>
        <v>6.8744271310724105</v>
      </c>
      <c r="AK51" s="2"/>
      <c r="AL51" s="2"/>
      <c r="AM51" s="4">
        <f t="shared" si="59"/>
        <v>0</v>
      </c>
      <c r="AN51" s="4">
        <f t="shared" si="59"/>
        <v>5.8000000000000007</v>
      </c>
      <c r="AO51" s="4">
        <f t="shared" si="59"/>
        <v>3.9</v>
      </c>
      <c r="AP51" s="4">
        <f t="shared" si="59"/>
        <v>0</v>
      </c>
      <c r="AQ51" s="4">
        <f t="shared" si="59"/>
        <v>43.1</v>
      </c>
      <c r="AR51" s="4">
        <f t="shared" si="59"/>
        <v>13.700000000000001</v>
      </c>
      <c r="AS51" s="4">
        <f t="shared" si="59"/>
        <v>15.6</v>
      </c>
      <c r="AT51" s="4">
        <f t="shared" si="60"/>
        <v>13.700000000000001</v>
      </c>
      <c r="AU51" s="4">
        <f t="shared" si="50"/>
        <v>35.199999999999996</v>
      </c>
      <c r="AV51" s="4">
        <f t="shared" si="50"/>
        <v>27.400000000000002</v>
      </c>
      <c r="AW51" s="4">
        <f t="shared" si="50"/>
        <v>92.100000000000009</v>
      </c>
      <c r="AX51" s="4">
        <f t="shared" si="50"/>
        <v>35.199999999999996</v>
      </c>
      <c r="AY51" s="4">
        <f t="shared" si="50"/>
        <v>11.700000000000001</v>
      </c>
      <c r="AZ51" s="4">
        <f t="shared" si="50"/>
        <v>13.700000000000001</v>
      </c>
      <c r="BA51" s="4">
        <f t="shared" si="50"/>
        <v>9.8000000000000007</v>
      </c>
      <c r="BB51" s="4">
        <f t="shared" si="40"/>
        <v>13.700000000000001</v>
      </c>
      <c r="BC51" s="4">
        <f t="shared" si="41"/>
        <v>41.099999999999994</v>
      </c>
      <c r="BD51" s="4">
        <f t="shared" si="17"/>
        <v>98.1</v>
      </c>
      <c r="BE51" s="4">
        <f t="shared" si="18"/>
        <v>98.1</v>
      </c>
      <c r="BF51" s="4">
        <f t="shared" si="61"/>
        <v>15.6</v>
      </c>
      <c r="BG51" s="4">
        <f t="shared" si="52"/>
        <v>9.8000000000000007</v>
      </c>
      <c r="BH51" s="4">
        <f t="shared" si="53"/>
        <v>56.8</v>
      </c>
      <c r="BI51" s="4">
        <f t="shared" si="54"/>
        <v>36</v>
      </c>
      <c r="BJ51" s="4">
        <f t="shared" si="55"/>
        <v>54.900000000000006</v>
      </c>
      <c r="BK51" s="4">
        <f t="shared" si="56"/>
        <v>54.900000000000006</v>
      </c>
      <c r="BL51" s="4">
        <f t="shared" si="57"/>
        <v>70.5</v>
      </c>
      <c r="BM51" s="4">
        <f t="shared" si="58"/>
        <v>25.4</v>
      </c>
      <c r="BN51" s="4">
        <f t="shared" si="27"/>
        <v>74.5</v>
      </c>
      <c r="BO51" s="4">
        <f t="shared" si="38"/>
        <v>84.4</v>
      </c>
    </row>
    <row r="52" spans="1:67">
      <c r="A52" s="2">
        <v>50</v>
      </c>
      <c r="B52" s="5" t="s">
        <v>113</v>
      </c>
      <c r="C52" s="2">
        <v>11</v>
      </c>
      <c r="D52" s="2">
        <v>10.5</v>
      </c>
      <c r="E52" s="2">
        <v>4.3</v>
      </c>
      <c r="F52" s="2">
        <v>1.7</v>
      </c>
      <c r="G52" s="2">
        <v>4.5</v>
      </c>
      <c r="H52" s="2">
        <v>38</v>
      </c>
      <c r="I52" s="2">
        <v>0.8</v>
      </c>
      <c r="J52" s="2">
        <v>2.2999999999999998</v>
      </c>
      <c r="K52" s="2">
        <v>36</v>
      </c>
      <c r="L52" s="2">
        <v>0</v>
      </c>
      <c r="M52" s="2">
        <v>0.1</v>
      </c>
      <c r="N52" s="2">
        <v>0</v>
      </c>
      <c r="O52" s="2">
        <v>0.6</v>
      </c>
      <c r="P52" s="2">
        <v>2.4</v>
      </c>
      <c r="Q52" s="2">
        <v>3</v>
      </c>
      <c r="R52" s="2">
        <v>1.1000000000000001</v>
      </c>
      <c r="S52" s="2">
        <v>0.3</v>
      </c>
      <c r="T52" s="2">
        <v>0.7</v>
      </c>
      <c r="U52" s="2">
        <v>1.2</v>
      </c>
      <c r="V52" s="2">
        <v>3.4</v>
      </c>
      <c r="W52" s="9">
        <f t="shared" si="28"/>
        <v>0.89999999999999991</v>
      </c>
      <c r="X52" s="9">
        <f t="shared" si="29"/>
        <v>2.2000000000000002</v>
      </c>
      <c r="Y52" s="9">
        <f t="shared" si="30"/>
        <v>40.909090909090899</v>
      </c>
      <c r="Z52" s="6">
        <f t="shared" si="31"/>
        <v>0.91666666666666674</v>
      </c>
      <c r="AA52" s="9">
        <f t="shared" si="32"/>
        <v>47.315140845070424</v>
      </c>
      <c r="AB52" s="6">
        <f t="shared" si="33"/>
        <v>0.94630281690140849</v>
      </c>
      <c r="AC52" s="6">
        <f t="shared" si="34"/>
        <v>0.74860724233983289</v>
      </c>
      <c r="AD52" s="9">
        <f t="shared" si="35"/>
        <v>46.666666666666664</v>
      </c>
      <c r="AE52" s="4">
        <f>100*(AA52/TOTAL_BASIC!$C$81)</f>
        <v>81.326140162059787</v>
      </c>
      <c r="AF52" s="4">
        <f>100*AC52/TOTAL_BASIC!$C$82</f>
        <v>72.223602586169832</v>
      </c>
      <c r="AG52" s="4">
        <f>100*N52/TOTAL_BASIC!$C$87</f>
        <v>0</v>
      </c>
      <c r="AH52" s="4">
        <f>100*AD52/TOTAL_BASIC!$C$86</f>
        <v>89.230414214837879</v>
      </c>
      <c r="AI52" s="3">
        <f t="shared" si="36"/>
        <v>0.20588235294117646</v>
      </c>
      <c r="AJ52" s="9">
        <f t="shared" si="37"/>
        <v>20.891364902506965</v>
      </c>
      <c r="AM52" s="4">
        <f t="shared" si="59"/>
        <v>37.200000000000003</v>
      </c>
      <c r="AN52" s="4">
        <f t="shared" si="59"/>
        <v>1.9</v>
      </c>
      <c r="AO52" s="4">
        <f t="shared" si="59"/>
        <v>3.9</v>
      </c>
      <c r="AP52" s="4">
        <f t="shared" si="59"/>
        <v>5.8000000000000007</v>
      </c>
      <c r="AQ52" s="4">
        <f t="shared" si="59"/>
        <v>15.6</v>
      </c>
      <c r="AR52" s="4">
        <f t="shared" si="59"/>
        <v>41.099999999999994</v>
      </c>
      <c r="AS52" s="4">
        <f t="shared" si="59"/>
        <v>35.199999999999996</v>
      </c>
      <c r="AT52" s="4">
        <f t="shared" si="60"/>
        <v>70.5</v>
      </c>
      <c r="AU52" s="4">
        <f t="shared" si="60"/>
        <v>0</v>
      </c>
      <c r="AV52" s="4">
        <f t="shared" si="60"/>
        <v>7.8</v>
      </c>
      <c r="AW52" s="4">
        <f t="shared" si="60"/>
        <v>0</v>
      </c>
      <c r="AX52" s="4">
        <f t="shared" si="60"/>
        <v>27.400000000000002</v>
      </c>
      <c r="AY52" s="4">
        <f t="shared" si="60"/>
        <v>29.4</v>
      </c>
      <c r="AZ52" s="4">
        <f t="shared" si="60"/>
        <v>21.5</v>
      </c>
      <c r="BA52" s="4">
        <f t="shared" si="60"/>
        <v>29.4</v>
      </c>
      <c r="BB52" s="4">
        <f t="shared" si="40"/>
        <v>17.599999999999998</v>
      </c>
      <c r="BC52" s="4">
        <f t="shared" si="41"/>
        <v>76.400000000000006</v>
      </c>
      <c r="BD52" s="4">
        <f t="shared" si="17"/>
        <v>53</v>
      </c>
      <c r="BE52" s="4">
        <f t="shared" si="18"/>
        <v>9.8999999999999915</v>
      </c>
      <c r="BF52" s="4">
        <f t="shared" si="61"/>
        <v>5.8000000000000007</v>
      </c>
      <c r="BG52" s="4">
        <f t="shared" si="52"/>
        <v>7.8</v>
      </c>
      <c r="BH52" s="4">
        <f t="shared" si="53"/>
        <v>13.700000000000001</v>
      </c>
      <c r="BI52" s="4">
        <f t="shared" si="54"/>
        <v>32</v>
      </c>
      <c r="BJ52" s="4">
        <f t="shared" si="55"/>
        <v>13.700000000000001</v>
      </c>
      <c r="BK52" s="4">
        <f t="shared" si="56"/>
        <v>13.700000000000001</v>
      </c>
      <c r="BL52" s="4">
        <f t="shared" si="57"/>
        <v>7.8</v>
      </c>
      <c r="BM52" s="4">
        <f t="shared" si="58"/>
        <v>19.600000000000001</v>
      </c>
      <c r="BN52" s="4">
        <f t="shared" si="27"/>
        <v>68.600000000000009</v>
      </c>
      <c r="BO52" s="4">
        <f t="shared" si="38"/>
        <v>0</v>
      </c>
    </row>
    <row r="53" spans="1:67">
      <c r="A53" s="2">
        <v>51</v>
      </c>
      <c r="B53" s="5" t="s">
        <v>112</v>
      </c>
      <c r="C53" s="2">
        <v>11</v>
      </c>
      <c r="D53" s="2">
        <v>9.6999999999999993</v>
      </c>
      <c r="E53" s="2">
        <v>4.3</v>
      </c>
      <c r="F53" s="2">
        <v>1.5</v>
      </c>
      <c r="G53" s="2">
        <v>5.2</v>
      </c>
      <c r="H53" s="2">
        <v>29.8</v>
      </c>
      <c r="I53" s="2">
        <v>0.6</v>
      </c>
      <c r="J53" s="2">
        <v>2.5</v>
      </c>
      <c r="K53" s="2">
        <v>25.9</v>
      </c>
      <c r="L53" s="2">
        <v>0.3</v>
      </c>
      <c r="M53" s="2">
        <v>0.3</v>
      </c>
      <c r="N53" s="2">
        <v>100</v>
      </c>
      <c r="O53" s="2">
        <v>1.2</v>
      </c>
      <c r="P53" s="2">
        <v>2</v>
      </c>
      <c r="Q53" s="2">
        <v>3.2</v>
      </c>
      <c r="R53" s="2">
        <v>0.5</v>
      </c>
      <c r="S53" s="2">
        <v>1.2</v>
      </c>
      <c r="T53" s="2">
        <v>0.2</v>
      </c>
      <c r="U53" s="2">
        <v>1</v>
      </c>
      <c r="V53" s="2">
        <v>2.1</v>
      </c>
      <c r="W53" s="9">
        <f t="shared" si="28"/>
        <v>0.9</v>
      </c>
      <c r="X53" s="9">
        <f t="shared" si="29"/>
        <v>2.7</v>
      </c>
      <c r="Y53" s="9">
        <f t="shared" si="30"/>
        <v>33.333333333333329</v>
      </c>
      <c r="Z53" s="6">
        <f t="shared" si="31"/>
        <v>0.5</v>
      </c>
      <c r="AA53" s="9">
        <f t="shared" si="32"/>
        <v>40.322580645161288</v>
      </c>
      <c r="AB53" s="6">
        <f t="shared" si="33"/>
        <v>0.80645161290322576</v>
      </c>
      <c r="AC53" s="6">
        <f t="shared" si="34"/>
        <v>0.67909033480732783</v>
      </c>
      <c r="AD53" s="9">
        <f t="shared" si="35"/>
        <v>34.615384615384613</v>
      </c>
      <c r="AE53" s="4">
        <f>100*(AA53/TOTAL_BASIC!$C$81)</f>
        <v>69.307198217629349</v>
      </c>
      <c r="AF53" s="4">
        <f>100*AC53/TOTAL_BASIC!$C$82</f>
        <v>65.516799313796511</v>
      </c>
      <c r="AG53" s="4">
        <f>100*N53/TOTAL_BASIC!$C$87</f>
        <v>129.75352112676057</v>
      </c>
      <c r="AH53" s="4">
        <f>100*AD53/TOTAL_BASIC!$C$86</f>
        <v>66.187395159357777</v>
      </c>
      <c r="AI53" s="3">
        <f t="shared" si="36"/>
        <v>9.5238095238095233E-2</v>
      </c>
      <c r="AJ53" s="9">
        <f t="shared" si="37"/>
        <v>15.792798483891346</v>
      </c>
      <c r="AM53" s="4">
        <f t="shared" si="59"/>
        <v>27.400000000000002</v>
      </c>
      <c r="AN53" s="4">
        <f t="shared" si="59"/>
        <v>1.9</v>
      </c>
      <c r="AO53" s="4">
        <f t="shared" si="59"/>
        <v>1.9</v>
      </c>
      <c r="AP53" s="4">
        <f t="shared" si="59"/>
        <v>15.6</v>
      </c>
      <c r="AQ53" s="4">
        <f t="shared" si="59"/>
        <v>5.8000000000000007</v>
      </c>
      <c r="AR53" s="4">
        <f t="shared" si="59"/>
        <v>35.199999999999996</v>
      </c>
      <c r="AS53" s="4">
        <f t="shared" si="59"/>
        <v>41.099999999999994</v>
      </c>
      <c r="AT53" s="4">
        <f t="shared" si="60"/>
        <v>33.300000000000004</v>
      </c>
      <c r="AU53" s="4">
        <f t="shared" si="60"/>
        <v>17.599999999999998</v>
      </c>
      <c r="AV53" s="4">
        <f t="shared" si="60"/>
        <v>13.700000000000001</v>
      </c>
      <c r="AW53" s="4">
        <f t="shared" si="60"/>
        <v>92.100000000000009</v>
      </c>
      <c r="AX53" s="4">
        <f t="shared" si="60"/>
        <v>68.600000000000009</v>
      </c>
      <c r="AY53" s="4">
        <f t="shared" si="60"/>
        <v>11.700000000000001</v>
      </c>
      <c r="AZ53" s="4">
        <f t="shared" si="60"/>
        <v>29.4</v>
      </c>
      <c r="BA53" s="4">
        <f t="shared" si="60"/>
        <v>13.700000000000001</v>
      </c>
      <c r="BB53" s="4">
        <f t="shared" si="40"/>
        <v>86.2</v>
      </c>
      <c r="BC53" s="4">
        <f t="shared" si="41"/>
        <v>29.4</v>
      </c>
      <c r="BD53" s="4">
        <f t="shared" si="17"/>
        <v>72.599999999999994</v>
      </c>
      <c r="BE53" s="4">
        <f t="shared" si="18"/>
        <v>68.7</v>
      </c>
      <c r="BF53" s="4">
        <f t="shared" si="61"/>
        <v>7.8</v>
      </c>
      <c r="BG53" s="4">
        <f t="shared" si="52"/>
        <v>11.700000000000001</v>
      </c>
      <c r="BH53" s="4">
        <f t="shared" si="53"/>
        <v>5.8000000000000007</v>
      </c>
      <c r="BI53" s="4">
        <f t="shared" si="54"/>
        <v>12</v>
      </c>
      <c r="BJ53" s="4">
        <f t="shared" si="55"/>
        <v>5.8000000000000007</v>
      </c>
      <c r="BK53" s="4">
        <f t="shared" si="56"/>
        <v>5.8000000000000007</v>
      </c>
      <c r="BL53" s="4">
        <f t="shared" si="57"/>
        <v>5.8000000000000007</v>
      </c>
      <c r="BM53" s="4">
        <f t="shared" si="58"/>
        <v>3.9</v>
      </c>
      <c r="BN53" s="4">
        <f t="shared" si="27"/>
        <v>41.099999999999994</v>
      </c>
      <c r="BO53" s="4">
        <f t="shared" si="38"/>
        <v>13.799999999999997</v>
      </c>
    </row>
    <row r="54" spans="1:67">
      <c r="A54" s="2">
        <v>52</v>
      </c>
      <c r="B54" s="5" t="s">
        <v>115</v>
      </c>
      <c r="C54" s="2">
        <v>1</v>
      </c>
      <c r="D54" s="2">
        <v>6</v>
      </c>
      <c r="E54" s="2">
        <v>2</v>
      </c>
      <c r="F54" s="2">
        <v>0</v>
      </c>
      <c r="G54" s="2">
        <v>4</v>
      </c>
      <c r="H54" s="2">
        <v>0</v>
      </c>
      <c r="I54" s="2">
        <v>0</v>
      </c>
      <c r="J54" s="2">
        <v>1</v>
      </c>
      <c r="K54" s="2">
        <v>0</v>
      </c>
      <c r="L54" s="2">
        <v>1</v>
      </c>
      <c r="M54" s="2">
        <v>3</v>
      </c>
      <c r="N54" s="2">
        <v>33.299999999999997</v>
      </c>
      <c r="O54" s="2">
        <v>1</v>
      </c>
      <c r="P54" s="2">
        <v>0</v>
      </c>
      <c r="Q54" s="2">
        <v>1</v>
      </c>
      <c r="R54" s="2">
        <v>0</v>
      </c>
      <c r="S54" s="2">
        <v>0</v>
      </c>
      <c r="T54" s="2">
        <v>0</v>
      </c>
      <c r="U54" s="2">
        <v>0</v>
      </c>
      <c r="V54" s="2">
        <v>2</v>
      </c>
      <c r="W54" s="9">
        <f t="shared" si="28"/>
        <v>0</v>
      </c>
      <c r="X54" s="9">
        <f t="shared" si="29"/>
        <v>3</v>
      </c>
      <c r="Y54" s="9">
        <f t="shared" si="30"/>
        <v>0</v>
      </c>
      <c r="Z54" s="6" t="str">
        <f t="shared" si="31"/>
        <v>0</v>
      </c>
      <c r="AA54" s="9">
        <f t="shared" si="32"/>
        <v>18.796992481203006</v>
      </c>
      <c r="AB54" s="6">
        <f t="shared" si="33"/>
        <v>0.37593984962406013</v>
      </c>
      <c r="AC54" s="6">
        <f t="shared" si="34"/>
        <v>0.37593984962406013</v>
      </c>
      <c r="AD54" s="9">
        <f t="shared" si="35"/>
        <v>0</v>
      </c>
      <c r="AE54" s="4">
        <f>100*(AA54/TOTAL_BASIC!$C$81)</f>
        <v>32.30861871799263</v>
      </c>
      <c r="AF54" s="4">
        <f>100*AC54/TOTAL_BASIC!$C$82</f>
        <v>36.269660190152081</v>
      </c>
      <c r="AG54" s="4">
        <f>100*N54/TOTAL_BASIC!$C$87</f>
        <v>43.20792253521126</v>
      </c>
      <c r="AH54" s="4">
        <f>100*AD54/TOTAL_BASIC!$C$86</f>
        <v>0</v>
      </c>
      <c r="AI54" s="3">
        <f t="shared" si="36"/>
        <v>0</v>
      </c>
      <c r="AJ54" s="9">
        <f t="shared" si="37"/>
        <v>0</v>
      </c>
      <c r="AM54" s="4">
        <f t="shared" si="59"/>
        <v>1.9</v>
      </c>
      <c r="AN54" s="4">
        <f t="shared" si="59"/>
        <v>0</v>
      </c>
      <c r="AO54" s="4">
        <f t="shared" si="59"/>
        <v>0</v>
      </c>
      <c r="AP54" s="4">
        <f t="shared" si="59"/>
        <v>1.9</v>
      </c>
      <c r="AQ54" s="4">
        <f t="shared" si="59"/>
        <v>0</v>
      </c>
      <c r="AR54" s="4">
        <f t="shared" si="59"/>
        <v>0</v>
      </c>
      <c r="AS54" s="4">
        <f t="shared" si="59"/>
        <v>13.700000000000001</v>
      </c>
      <c r="AT54" s="4">
        <f t="shared" si="60"/>
        <v>0</v>
      </c>
      <c r="AU54" s="4">
        <f t="shared" si="60"/>
        <v>49</v>
      </c>
      <c r="AV54" s="4">
        <f t="shared" si="60"/>
        <v>94.1</v>
      </c>
      <c r="AW54" s="4">
        <f t="shared" si="60"/>
        <v>11.700000000000001</v>
      </c>
      <c r="AX54" s="4">
        <f t="shared" si="60"/>
        <v>60.699999999999996</v>
      </c>
      <c r="AY54" s="4">
        <f t="shared" si="60"/>
        <v>0</v>
      </c>
      <c r="AZ54" s="4">
        <f t="shared" si="60"/>
        <v>0</v>
      </c>
      <c r="BA54" s="4">
        <f t="shared" si="60"/>
        <v>0</v>
      </c>
      <c r="BB54" s="4">
        <f t="shared" si="40"/>
        <v>0</v>
      </c>
      <c r="BC54" s="4">
        <f t="shared" si="41"/>
        <v>0</v>
      </c>
      <c r="BD54" s="4">
        <f t="shared" si="17"/>
        <v>100</v>
      </c>
      <c r="BE54" s="4">
        <f t="shared" si="18"/>
        <v>74.599999999999994</v>
      </c>
      <c r="BF54" s="4">
        <f t="shared" si="61"/>
        <v>0</v>
      </c>
      <c r="BG54" s="4">
        <f t="shared" si="52"/>
        <v>13.700000000000001</v>
      </c>
      <c r="BH54" s="4">
        <f t="shared" si="53"/>
        <v>0</v>
      </c>
      <c r="BI54" s="4">
        <f t="shared" si="54"/>
        <v>0</v>
      </c>
      <c r="BJ54" s="4">
        <f t="shared" si="55"/>
        <v>0</v>
      </c>
      <c r="BK54" s="4">
        <f t="shared" si="56"/>
        <v>0</v>
      </c>
      <c r="BL54" s="4">
        <f t="shared" si="57"/>
        <v>0</v>
      </c>
      <c r="BM54" s="4">
        <f t="shared" si="58"/>
        <v>0</v>
      </c>
      <c r="BN54" s="4">
        <f t="shared" si="27"/>
        <v>0</v>
      </c>
      <c r="BO54" s="4">
        <f t="shared" si="38"/>
        <v>100</v>
      </c>
    </row>
    <row r="80" spans="3:36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3:36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3:36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</sheetData>
  <autoFilter ref="A2:BN2"/>
  <mergeCells count="2">
    <mergeCell ref="AM1:BO1"/>
    <mergeCell ref="A1:AJ1"/>
  </mergeCells>
  <conditionalFormatting sqref="C3:C78">
    <cfRule type="colorScale" priority="6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D3:D78">
    <cfRule type="colorScale" priority="6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6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F3:F78">
    <cfRule type="colorScale" priority="6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78">
    <cfRule type="colorScale" priority="6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78">
    <cfRule type="colorScale" priority="6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78">
    <cfRule type="colorScale" priority="6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78">
    <cfRule type="colorScale" priority="6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78">
    <cfRule type="colorScale" priority="5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5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78">
    <cfRule type="colorScale" priority="5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N3:N78">
    <cfRule type="colorScale" priority="5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O3:O78">
    <cfRule type="colorScale" priority="5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P3:P78">
    <cfRule type="colorScale" priority="5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Q3:Q78">
    <cfRule type="colorScale" priority="5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R3:R78">
    <cfRule type="colorScale" priority="5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S3:S78">
    <cfRule type="colorScale" priority="5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T3:T78">
    <cfRule type="colorScale" priority="5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U3:U78">
    <cfRule type="colorScale" priority="49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V3:V78">
    <cfRule type="colorScale" priority="48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W3:W78">
    <cfRule type="colorScale" priority="4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X3:X78">
    <cfRule type="colorScale" priority="4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Y3:Y78">
    <cfRule type="colorScale" priority="4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Z3:Z78">
    <cfRule type="colorScale" priority="4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A3:AA78">
    <cfRule type="colorScale" priority="4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B3:AB78">
    <cfRule type="colorScale" priority="4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C3:AC7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7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78">
    <cfRule type="colorScale" priority="4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H78">
    <cfRule type="colorScale" priority="3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78">
    <cfRule type="colorScale" priority="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J3:AJ78">
    <cfRule type="colorScale" priority="4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M3:AM7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78">
    <cfRule type="colorScale" priority="3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3:AO78">
    <cfRule type="colorScale" priority="3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78">
    <cfRule type="colorScale" priority="3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78">
    <cfRule type="colorScale" priority="3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R3:AR78">
    <cfRule type="colorScale" priority="3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78">
    <cfRule type="colorScale" priority="3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78">
    <cfRule type="colorScale" priority="3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7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7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7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7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Y3:AY78">
    <cfRule type="colorScale" priority="2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7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7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7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7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7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7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7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7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7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7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J3:BJ7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K3:BK7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L3:BM7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N3:BN78">
    <cfRule type="colorScale" priority="2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BO3:BO7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D3:BD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M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F1"/>
    </sheetView>
  </sheetViews>
  <sheetFormatPr baseColWidth="10" defaultRowHeight="14.25"/>
  <cols>
    <col min="1" max="1" width="20.75" customWidth="1"/>
    <col min="2" max="11" width="11.75" customWidth="1"/>
  </cols>
  <sheetData>
    <row r="1" spans="1:13" ht="26.25">
      <c r="A1" s="16" t="s">
        <v>29</v>
      </c>
      <c r="B1" s="16"/>
      <c r="C1" s="16"/>
      <c r="D1" s="16"/>
      <c r="E1" s="16"/>
      <c r="F1" s="16"/>
      <c r="I1" s="18" t="s">
        <v>30</v>
      </c>
      <c r="J1" s="18"/>
      <c r="K1" s="18"/>
      <c r="L1" s="18"/>
      <c r="M1" s="18"/>
    </row>
    <row r="2" spans="1:13" ht="35.1" customHeight="1">
      <c r="A2" s="7" t="s">
        <v>2</v>
      </c>
      <c r="B2" s="13" t="s">
        <v>57</v>
      </c>
      <c r="C2" s="13" t="s">
        <v>58</v>
      </c>
      <c r="D2" s="14" t="s">
        <v>64</v>
      </c>
      <c r="E2" s="13" t="s">
        <v>65</v>
      </c>
      <c r="F2" s="13" t="s">
        <v>67</v>
      </c>
      <c r="I2" s="13" t="s">
        <v>57</v>
      </c>
      <c r="J2" s="13" t="s">
        <v>58</v>
      </c>
      <c r="K2" s="14" t="s">
        <v>64</v>
      </c>
      <c r="L2" s="13" t="s">
        <v>65</v>
      </c>
      <c r="M2" s="13" t="s">
        <v>67</v>
      </c>
    </row>
    <row r="3" spans="1:13">
      <c r="A3" t="s">
        <v>70</v>
      </c>
      <c r="B3" s="9">
        <v>45.737358712963683</v>
      </c>
      <c r="C3" s="9">
        <v>37.832746318287512</v>
      </c>
      <c r="D3" s="6">
        <v>1.2089357280112456</v>
      </c>
      <c r="E3" s="15">
        <v>11.803588290840416</v>
      </c>
      <c r="F3" s="15">
        <v>3.8748690301622832</v>
      </c>
      <c r="I3" s="4">
        <f>(PERCENTRANK(B$3:B$49,B3))*100</f>
        <v>95.6</v>
      </c>
      <c r="J3" s="4">
        <f t="shared" ref="J3:K18" si="0">(PERCENTRANK(C$3:C$49,C3))*100</f>
        <v>82.6</v>
      </c>
      <c r="K3" s="4">
        <f t="shared" si="0"/>
        <v>89.1</v>
      </c>
      <c r="L3" s="4">
        <f>100-((PERCENTRANK(E$3:E$49,E3))*100)</f>
        <v>39.200000000000003</v>
      </c>
      <c r="M3" s="4">
        <f>(PERCENTRANK(F$3:F$49,F3))*100</f>
        <v>86.9</v>
      </c>
    </row>
    <row r="4" spans="1:13">
      <c r="A4" t="s">
        <v>83</v>
      </c>
      <c r="B4" s="9">
        <v>8.8673961829483847</v>
      </c>
      <c r="C4" s="9">
        <v>37.817163425339288</v>
      </c>
      <c r="D4" s="6">
        <v>0.23448073255031099</v>
      </c>
      <c r="E4" s="15">
        <v>14.09366869037294</v>
      </c>
      <c r="F4" s="15">
        <v>0.62917586455012231</v>
      </c>
      <c r="I4" s="4">
        <f t="shared" ref="I4:K51" si="1">(PERCENTRANK(B$3:B$49,B4))*100</f>
        <v>17.299999999999997</v>
      </c>
      <c r="J4" s="4">
        <f t="shared" si="0"/>
        <v>80.400000000000006</v>
      </c>
      <c r="K4" s="4">
        <f t="shared" si="0"/>
        <v>17.299999999999997</v>
      </c>
      <c r="L4" s="4">
        <f t="shared" ref="L4:L57" si="2">100-((PERCENTRANK(E$3:E$49,E4))*100)</f>
        <v>15.299999999999997</v>
      </c>
      <c r="M4" s="4">
        <f t="shared" ref="M4:M58" si="3">(PERCENTRANK(F$3:F$49,F4))*100</f>
        <v>19.5</v>
      </c>
    </row>
    <row r="5" spans="1:13">
      <c r="A5" t="s">
        <v>84</v>
      </c>
      <c r="B5" s="9">
        <v>19.6652719665272</v>
      </c>
      <c r="C5" s="9">
        <v>31.433024810386943</v>
      </c>
      <c r="D5" s="6">
        <v>0.62562454886711616</v>
      </c>
      <c r="E5" s="15">
        <v>9.0100913022585303</v>
      </c>
      <c r="F5" s="15">
        <v>2.1825829846582985</v>
      </c>
      <c r="I5" s="4">
        <f t="shared" si="1"/>
        <v>50</v>
      </c>
      <c r="J5" s="4">
        <f t="shared" si="0"/>
        <v>36.9</v>
      </c>
      <c r="K5" s="4">
        <f t="shared" si="0"/>
        <v>60.8</v>
      </c>
      <c r="L5" s="4">
        <f t="shared" si="2"/>
        <v>69.599999999999994</v>
      </c>
      <c r="M5" s="4">
        <f t="shared" si="3"/>
        <v>54.300000000000004</v>
      </c>
    </row>
    <row r="6" spans="1:13">
      <c r="A6" t="s">
        <v>91</v>
      </c>
      <c r="B6" s="9">
        <v>11.783464004134551</v>
      </c>
      <c r="C6" s="9">
        <v>30.650597763208637</v>
      </c>
      <c r="D6" s="6">
        <v>0.38444483514376349</v>
      </c>
      <c r="E6" s="15">
        <v>19.662921348314608</v>
      </c>
      <c r="F6" s="15">
        <v>0.59927331221027136</v>
      </c>
      <c r="I6" s="4">
        <f t="shared" si="1"/>
        <v>30.4</v>
      </c>
      <c r="J6" s="4">
        <f t="shared" si="0"/>
        <v>32.6</v>
      </c>
      <c r="K6" s="4">
        <f t="shared" si="0"/>
        <v>28.199999999999996</v>
      </c>
      <c r="L6" s="4">
        <f t="shared" si="2"/>
        <v>4.4000000000000057</v>
      </c>
      <c r="M6" s="4">
        <f t="shared" si="3"/>
        <v>17.299999999999997</v>
      </c>
    </row>
    <row r="7" spans="1:13">
      <c r="A7" t="s">
        <v>105</v>
      </c>
      <c r="B7" s="9">
        <v>11.57199066983955</v>
      </c>
      <c r="C7" s="9">
        <v>26.624902125769847</v>
      </c>
      <c r="D7" s="6">
        <v>0.43463035526576427</v>
      </c>
      <c r="E7" s="15">
        <v>13.473787359137678</v>
      </c>
      <c r="F7" s="15">
        <v>0.85885210753245533</v>
      </c>
      <c r="I7" s="4">
        <f t="shared" si="1"/>
        <v>26</v>
      </c>
      <c r="J7" s="4">
        <f t="shared" si="0"/>
        <v>19.5</v>
      </c>
      <c r="K7" s="4">
        <f t="shared" si="0"/>
        <v>32.6</v>
      </c>
      <c r="L7" s="4">
        <f t="shared" si="2"/>
        <v>24</v>
      </c>
      <c r="M7" s="4">
        <f t="shared" si="3"/>
        <v>28.199999999999996</v>
      </c>
    </row>
    <row r="8" spans="1:13">
      <c r="A8" t="s">
        <v>102</v>
      </c>
      <c r="B8" s="9">
        <v>49.014520233521289</v>
      </c>
      <c r="C8" s="9">
        <v>22.11806986980864</v>
      </c>
      <c r="D8" s="6">
        <v>2.2160396690140916</v>
      </c>
      <c r="E8" s="15">
        <v>11.185682326621922</v>
      </c>
      <c r="F8" s="15">
        <v>4.3818981088768041</v>
      </c>
      <c r="I8" s="4">
        <f t="shared" si="1"/>
        <v>97.8</v>
      </c>
      <c r="J8" s="4">
        <f t="shared" si="0"/>
        <v>6.5</v>
      </c>
      <c r="K8" s="4">
        <f t="shared" si="0"/>
        <v>100</v>
      </c>
      <c r="L8" s="4">
        <f t="shared" si="2"/>
        <v>47.9</v>
      </c>
      <c r="M8" s="4">
        <f t="shared" si="3"/>
        <v>89.1</v>
      </c>
    </row>
    <row r="9" spans="1:13">
      <c r="A9" t="s">
        <v>119</v>
      </c>
      <c r="B9" s="9">
        <v>0</v>
      </c>
      <c r="C9" s="9">
        <v>35.873826970047567</v>
      </c>
      <c r="D9" s="6">
        <v>0</v>
      </c>
      <c r="E9" s="15">
        <v>12.5</v>
      </c>
      <c r="F9" s="15">
        <v>0</v>
      </c>
      <c r="I9" s="4">
        <f t="shared" si="1"/>
        <v>0</v>
      </c>
      <c r="J9" s="4">
        <f t="shared" si="0"/>
        <v>60.8</v>
      </c>
      <c r="K9" s="4">
        <f t="shared" si="0"/>
        <v>0</v>
      </c>
      <c r="L9" s="4">
        <f t="shared" si="2"/>
        <v>32.699999999999989</v>
      </c>
      <c r="M9" s="4">
        <f t="shared" si="3"/>
        <v>0</v>
      </c>
    </row>
    <row r="10" spans="1:13">
      <c r="A10" t="s">
        <v>116</v>
      </c>
      <c r="B10" s="9">
        <v>37.182512144344209</v>
      </c>
      <c r="C10" s="9">
        <v>19.929903872248648</v>
      </c>
      <c r="D10" s="6">
        <v>1.8656643997224149</v>
      </c>
      <c r="E10" s="15">
        <v>0</v>
      </c>
      <c r="F10" s="15">
        <v>0</v>
      </c>
      <c r="I10" s="4">
        <f t="shared" si="1"/>
        <v>84.7</v>
      </c>
      <c r="J10" s="4">
        <f t="shared" si="0"/>
        <v>2.1</v>
      </c>
      <c r="K10" s="4">
        <f t="shared" si="0"/>
        <v>95.6</v>
      </c>
      <c r="L10" s="4">
        <f t="shared" si="2"/>
        <v>100</v>
      </c>
      <c r="M10" s="4">
        <f t="shared" si="3"/>
        <v>0</v>
      </c>
    </row>
    <row r="11" spans="1:13">
      <c r="A11" t="s">
        <v>115</v>
      </c>
      <c r="B11" s="9">
        <v>0</v>
      </c>
      <c r="C11" s="9">
        <v>31.808126580108848</v>
      </c>
      <c r="D11" s="6">
        <v>0</v>
      </c>
      <c r="E11" s="15">
        <v>0</v>
      </c>
      <c r="F11" s="15">
        <v>0</v>
      </c>
      <c r="I11" s="4">
        <f t="shared" si="1"/>
        <v>0</v>
      </c>
      <c r="J11" s="4">
        <f t="shared" si="0"/>
        <v>41.3</v>
      </c>
      <c r="K11" s="4">
        <f t="shared" si="0"/>
        <v>0</v>
      </c>
      <c r="L11" s="4">
        <f t="shared" si="2"/>
        <v>100</v>
      </c>
      <c r="M11" s="4">
        <f t="shared" si="3"/>
        <v>0</v>
      </c>
    </row>
    <row r="12" spans="1:13">
      <c r="A12" t="s">
        <v>77</v>
      </c>
      <c r="B12" s="9">
        <v>21.105806009127118</v>
      </c>
      <c r="C12" s="9">
        <v>40.243099236894409</v>
      </c>
      <c r="D12" s="6">
        <v>0.52445776814767686</v>
      </c>
      <c r="E12" s="15">
        <v>11.682242990654206</v>
      </c>
      <c r="F12" s="15">
        <v>1.8066569943812811</v>
      </c>
      <c r="I12" s="4">
        <f t="shared" si="1"/>
        <v>58.599999999999994</v>
      </c>
      <c r="J12" s="4">
        <f t="shared" si="0"/>
        <v>91.3</v>
      </c>
      <c r="K12" s="4">
        <f t="shared" si="0"/>
        <v>43.4</v>
      </c>
      <c r="L12" s="4">
        <f t="shared" si="2"/>
        <v>41.400000000000006</v>
      </c>
      <c r="M12" s="4">
        <f t="shared" si="3"/>
        <v>50</v>
      </c>
    </row>
    <row r="13" spans="1:13">
      <c r="A13" t="s">
        <v>81</v>
      </c>
      <c r="B13" s="9">
        <v>31.520830695200701</v>
      </c>
      <c r="C13" s="9">
        <v>37.225621012839596</v>
      </c>
      <c r="D13" s="6">
        <v>0.84675096983147069</v>
      </c>
      <c r="E13" s="15">
        <v>9.9061522419186652</v>
      </c>
      <c r="F13" s="15">
        <v>3.1819449091260497</v>
      </c>
      <c r="I13" s="4">
        <f t="shared" si="1"/>
        <v>78.2</v>
      </c>
      <c r="J13" s="4">
        <f t="shared" si="0"/>
        <v>76</v>
      </c>
      <c r="K13" s="4">
        <f t="shared" si="0"/>
        <v>73.900000000000006</v>
      </c>
      <c r="L13" s="4">
        <f t="shared" si="2"/>
        <v>60.9</v>
      </c>
      <c r="M13" s="4">
        <f t="shared" si="3"/>
        <v>73.900000000000006</v>
      </c>
    </row>
    <row r="14" spans="1:13">
      <c r="A14" t="s">
        <v>90</v>
      </c>
      <c r="B14" s="9">
        <v>32.11788082888183</v>
      </c>
      <c r="C14" s="9">
        <v>24.46299712512285</v>
      </c>
      <c r="D14" s="6">
        <v>1.3129168378104259</v>
      </c>
      <c r="E14" s="15">
        <v>13.642564802182811</v>
      </c>
      <c r="F14" s="15">
        <v>2.3542406647570382</v>
      </c>
      <c r="I14" s="4">
        <f t="shared" si="1"/>
        <v>80.400000000000006</v>
      </c>
      <c r="J14" s="4">
        <f t="shared" si="0"/>
        <v>13</v>
      </c>
      <c r="K14" s="4">
        <f t="shared" si="0"/>
        <v>91.3</v>
      </c>
      <c r="L14" s="4">
        <f t="shared" si="2"/>
        <v>17.400000000000006</v>
      </c>
      <c r="M14" s="4">
        <f t="shared" si="3"/>
        <v>58.599999999999994</v>
      </c>
    </row>
    <row r="15" spans="1:13">
      <c r="A15" t="s">
        <v>98</v>
      </c>
      <c r="B15" s="9">
        <v>10.424954221127738</v>
      </c>
      <c r="C15" s="9">
        <v>28.264886201394138</v>
      </c>
      <c r="D15" s="6">
        <v>0.36883057468717273</v>
      </c>
      <c r="E15" s="15">
        <v>12.22921034241789</v>
      </c>
      <c r="F15" s="15">
        <v>0.85246339945335958</v>
      </c>
      <c r="I15" s="4">
        <f t="shared" si="1"/>
        <v>21.7</v>
      </c>
      <c r="J15" s="4">
        <f t="shared" si="0"/>
        <v>26</v>
      </c>
      <c r="K15" s="4">
        <f t="shared" si="0"/>
        <v>23.9</v>
      </c>
      <c r="L15" s="4">
        <f t="shared" si="2"/>
        <v>34.799999999999997</v>
      </c>
      <c r="M15" s="4">
        <f t="shared" si="3"/>
        <v>26</v>
      </c>
    </row>
    <row r="16" spans="1:13">
      <c r="A16" t="s">
        <v>97</v>
      </c>
      <c r="B16" s="9">
        <v>4.4991396470866079</v>
      </c>
      <c r="C16" s="9">
        <v>34.008259638677295</v>
      </c>
      <c r="D16" s="6">
        <v>0.13229549806099974</v>
      </c>
      <c r="E16" s="15">
        <v>10.217983651226158</v>
      </c>
      <c r="F16" s="15">
        <v>0.44031580012820937</v>
      </c>
      <c r="I16" s="4">
        <f t="shared" si="1"/>
        <v>6.5</v>
      </c>
      <c r="J16" s="4">
        <f t="shared" si="0"/>
        <v>47.8</v>
      </c>
      <c r="K16" s="4">
        <f t="shared" si="0"/>
        <v>6.5</v>
      </c>
      <c r="L16" s="4">
        <f t="shared" si="2"/>
        <v>54.4</v>
      </c>
      <c r="M16" s="4">
        <f t="shared" si="3"/>
        <v>10.8</v>
      </c>
    </row>
    <row r="17" spans="1:13">
      <c r="A17" t="s">
        <v>100</v>
      </c>
      <c r="B17" s="9">
        <v>40.428060086844262</v>
      </c>
      <c r="C17" s="9">
        <v>35.073913551060912</v>
      </c>
      <c r="D17" s="6">
        <v>1.1526532397928373</v>
      </c>
      <c r="E17" s="15">
        <v>7.7058564509026857</v>
      </c>
      <c r="F17" s="15">
        <v>5.2464071118413331</v>
      </c>
      <c r="I17" s="4">
        <f t="shared" si="1"/>
        <v>89.1</v>
      </c>
      <c r="J17" s="4">
        <f t="shared" si="0"/>
        <v>56.499999999999993</v>
      </c>
      <c r="K17" s="4">
        <f t="shared" si="0"/>
        <v>84.7</v>
      </c>
      <c r="L17" s="4">
        <f t="shared" si="2"/>
        <v>78.3</v>
      </c>
      <c r="M17" s="4">
        <f t="shared" si="3"/>
        <v>97.8</v>
      </c>
    </row>
    <row r="18" spans="1:13">
      <c r="A18" t="s">
        <v>71</v>
      </c>
      <c r="B18" s="9">
        <v>27.717017686394602</v>
      </c>
      <c r="C18" s="9">
        <v>39.82408742183388</v>
      </c>
      <c r="D18" s="6">
        <v>0.69598626059660873</v>
      </c>
      <c r="E18" s="15">
        <v>9.1008372770294876</v>
      </c>
      <c r="F18" s="15">
        <v>3.0455459033810386</v>
      </c>
      <c r="I18" s="4">
        <f t="shared" si="1"/>
        <v>73.900000000000006</v>
      </c>
      <c r="J18" s="4">
        <f t="shared" si="0"/>
        <v>89.1</v>
      </c>
      <c r="K18" s="4">
        <f t="shared" si="0"/>
        <v>65.2</v>
      </c>
      <c r="L18" s="4">
        <f t="shared" si="2"/>
        <v>67.400000000000006</v>
      </c>
      <c r="M18" s="4">
        <f t="shared" si="3"/>
        <v>69.5</v>
      </c>
    </row>
    <row r="19" spans="1:13">
      <c r="A19" t="s">
        <v>75</v>
      </c>
      <c r="B19" s="9">
        <v>23.570479526512866</v>
      </c>
      <c r="C19" s="9">
        <v>37.043105054515785</v>
      </c>
      <c r="D19" s="6">
        <v>0.63629869828202967</v>
      </c>
      <c r="E19" s="15">
        <v>10.073260073260073</v>
      </c>
      <c r="F19" s="15">
        <v>2.3399057857229137</v>
      </c>
      <c r="I19" s="4">
        <f t="shared" si="1"/>
        <v>63</v>
      </c>
      <c r="J19" s="4">
        <f t="shared" si="1"/>
        <v>73.900000000000006</v>
      </c>
      <c r="K19" s="4">
        <f t="shared" si="1"/>
        <v>63</v>
      </c>
      <c r="L19" s="4">
        <f t="shared" si="2"/>
        <v>56.6</v>
      </c>
      <c r="M19" s="4">
        <f t="shared" si="3"/>
        <v>56.499999999999993</v>
      </c>
    </row>
    <row r="20" spans="1:13">
      <c r="A20" t="s">
        <v>88</v>
      </c>
      <c r="B20" s="9">
        <v>24.218062676334075</v>
      </c>
      <c r="C20" s="9">
        <v>38.938434089356392</v>
      </c>
      <c r="D20" s="6">
        <v>0.6219577967814055</v>
      </c>
      <c r="E20" s="15">
        <v>9.7611391823610472</v>
      </c>
      <c r="F20" s="15">
        <v>2.4810692915943191</v>
      </c>
      <c r="I20" s="4">
        <f t="shared" si="1"/>
        <v>65.2</v>
      </c>
      <c r="J20" s="4">
        <f t="shared" si="1"/>
        <v>86.9</v>
      </c>
      <c r="K20" s="4">
        <f t="shared" si="1"/>
        <v>58.599999999999994</v>
      </c>
      <c r="L20" s="4">
        <f t="shared" si="2"/>
        <v>63.1</v>
      </c>
      <c r="M20" s="4">
        <f t="shared" si="3"/>
        <v>60.8</v>
      </c>
    </row>
    <row r="21" spans="1:13">
      <c r="A21" s="5" t="s">
        <v>101</v>
      </c>
      <c r="B21" s="9">
        <v>29.529959286719979</v>
      </c>
      <c r="C21" s="9">
        <v>22.051460466539435</v>
      </c>
      <c r="D21" s="6">
        <v>1.3391384816224898</v>
      </c>
      <c r="E21" s="15">
        <v>6.1750176429075516</v>
      </c>
      <c r="F21" s="15">
        <v>4.7821659782036807</v>
      </c>
      <c r="I21" s="4">
        <f t="shared" si="1"/>
        <v>76</v>
      </c>
      <c r="J21" s="4">
        <f t="shared" si="1"/>
        <v>4.3</v>
      </c>
      <c r="K21" s="4">
        <f t="shared" si="1"/>
        <v>93.4</v>
      </c>
      <c r="L21" s="4">
        <f t="shared" si="2"/>
        <v>82.7</v>
      </c>
      <c r="M21" s="4">
        <f t="shared" si="3"/>
        <v>93.4</v>
      </c>
    </row>
    <row r="22" spans="1:13">
      <c r="A22" s="5" t="s">
        <v>104</v>
      </c>
      <c r="B22" s="9">
        <v>12.015352197471405</v>
      </c>
      <c r="C22" s="9">
        <v>29.092497296383591</v>
      </c>
      <c r="D22" s="6">
        <v>0.4130051839504682</v>
      </c>
      <c r="E22" s="15">
        <v>15.86139580283065</v>
      </c>
      <c r="F22" s="15">
        <v>0.75752174315750487</v>
      </c>
      <c r="I22" s="4">
        <f t="shared" si="1"/>
        <v>32.6</v>
      </c>
      <c r="J22" s="4">
        <f t="shared" si="1"/>
        <v>28.199999999999996</v>
      </c>
      <c r="K22" s="4">
        <f t="shared" si="1"/>
        <v>30.4</v>
      </c>
      <c r="L22" s="4">
        <f t="shared" si="2"/>
        <v>10.900000000000006</v>
      </c>
      <c r="M22" s="4">
        <f t="shared" si="3"/>
        <v>21.7</v>
      </c>
    </row>
    <row r="23" spans="1:13">
      <c r="A23" s="5" t="s">
        <v>111</v>
      </c>
      <c r="B23" s="9">
        <v>5.4764354805515545</v>
      </c>
      <c r="C23" s="9">
        <v>26.647577884302311</v>
      </c>
      <c r="D23" s="6">
        <v>0.20551344307272446</v>
      </c>
      <c r="E23" s="15">
        <v>5.8731401722787782</v>
      </c>
      <c r="F23" s="15">
        <v>0.93245441448857802</v>
      </c>
      <c r="I23" s="4">
        <f t="shared" si="1"/>
        <v>10.8</v>
      </c>
      <c r="J23" s="4">
        <f t="shared" si="1"/>
        <v>21.7</v>
      </c>
      <c r="K23" s="4">
        <f t="shared" si="1"/>
        <v>13</v>
      </c>
      <c r="L23" s="4">
        <f t="shared" si="2"/>
        <v>87</v>
      </c>
      <c r="M23" s="4">
        <f t="shared" si="3"/>
        <v>30.4</v>
      </c>
    </row>
    <row r="24" spans="1:13">
      <c r="A24" s="5" t="s">
        <v>69</v>
      </c>
      <c r="B24" s="9">
        <v>40.74074074074074</v>
      </c>
      <c r="C24" s="9">
        <v>34.892813213846424</v>
      </c>
      <c r="D24" s="6">
        <v>1.167596905731112</v>
      </c>
      <c r="E24" s="15">
        <v>12.793858947705102</v>
      </c>
      <c r="F24" s="15">
        <v>3.1843981481481478</v>
      </c>
      <c r="I24" s="4">
        <f t="shared" si="1"/>
        <v>93.4</v>
      </c>
      <c r="J24" s="4">
        <f t="shared" si="1"/>
        <v>52.1</v>
      </c>
      <c r="K24" s="4">
        <f t="shared" si="1"/>
        <v>86.9</v>
      </c>
      <c r="L24" s="4">
        <f t="shared" si="2"/>
        <v>30.5</v>
      </c>
      <c r="M24" s="4">
        <f t="shared" si="3"/>
        <v>76</v>
      </c>
    </row>
    <row r="25" spans="1:13">
      <c r="A25" s="5" t="s">
        <v>85</v>
      </c>
      <c r="B25" s="9">
        <v>12.15656755739556</v>
      </c>
      <c r="C25" s="9">
        <v>32.580198447357127</v>
      </c>
      <c r="D25" s="6">
        <v>0.37312748653259625</v>
      </c>
      <c r="E25" s="15">
        <v>11.50483202945237</v>
      </c>
      <c r="F25" s="15">
        <v>1.056648852088822</v>
      </c>
      <c r="I25" s="4">
        <f t="shared" si="1"/>
        <v>34.699999999999996</v>
      </c>
      <c r="J25" s="4">
        <f t="shared" si="1"/>
        <v>45.6</v>
      </c>
      <c r="K25" s="4">
        <f t="shared" si="1"/>
        <v>26</v>
      </c>
      <c r="L25" s="4">
        <f t="shared" si="2"/>
        <v>43.500000000000007</v>
      </c>
      <c r="M25" s="4">
        <f t="shared" si="3"/>
        <v>36.9</v>
      </c>
    </row>
    <row r="26" spans="1:13">
      <c r="A26" s="5" t="s">
        <v>74</v>
      </c>
      <c r="B26" s="9">
        <v>5.5582642613359354</v>
      </c>
      <c r="C26" s="9">
        <v>36.757803619667889</v>
      </c>
      <c r="D26" s="6">
        <v>0.15121317690379876</v>
      </c>
      <c r="E26" s="15">
        <v>4.3892651116127421</v>
      </c>
      <c r="F26" s="15">
        <v>1.2663314062826498</v>
      </c>
      <c r="I26" s="4">
        <f t="shared" si="1"/>
        <v>13</v>
      </c>
      <c r="J26" s="4">
        <f t="shared" si="1"/>
        <v>67.300000000000011</v>
      </c>
      <c r="K26" s="4">
        <f t="shared" si="1"/>
        <v>8.6</v>
      </c>
      <c r="L26" s="4">
        <f t="shared" si="2"/>
        <v>95.7</v>
      </c>
      <c r="M26" s="4">
        <f t="shared" si="3"/>
        <v>43.4</v>
      </c>
    </row>
    <row r="27" spans="1:13">
      <c r="A27" t="s">
        <v>94</v>
      </c>
      <c r="B27" s="9">
        <v>19.095477386934675</v>
      </c>
      <c r="C27" s="9">
        <v>37.585246026205432</v>
      </c>
      <c r="D27" s="6">
        <v>0.50805779942535967</v>
      </c>
      <c r="E27" s="15">
        <v>5.8768218147625761</v>
      </c>
      <c r="F27" s="15">
        <v>3.2492864321608046</v>
      </c>
      <c r="I27" s="4">
        <f t="shared" si="1"/>
        <v>47.8</v>
      </c>
      <c r="J27" s="4">
        <f t="shared" si="1"/>
        <v>78.2</v>
      </c>
      <c r="K27" s="4">
        <f t="shared" si="1"/>
        <v>41.3</v>
      </c>
      <c r="L27" s="4">
        <f t="shared" si="2"/>
        <v>84.8</v>
      </c>
      <c r="M27" s="4">
        <f t="shared" si="3"/>
        <v>82.6</v>
      </c>
    </row>
    <row r="28" spans="1:13">
      <c r="A28" t="s">
        <v>112</v>
      </c>
      <c r="B28" s="9">
        <v>4.9376299376299375</v>
      </c>
      <c r="C28" s="9">
        <v>24.040526714941311</v>
      </c>
      <c r="D28" s="6">
        <v>0.20538776026738112</v>
      </c>
      <c r="E28" s="15">
        <v>15.868436237738027</v>
      </c>
      <c r="F28" s="15">
        <v>0.31116046116046114</v>
      </c>
      <c r="I28" s="4">
        <f t="shared" si="1"/>
        <v>8.6</v>
      </c>
      <c r="J28" s="4">
        <f t="shared" si="1"/>
        <v>10.8</v>
      </c>
      <c r="K28" s="4">
        <f t="shared" si="1"/>
        <v>10.8</v>
      </c>
      <c r="L28" s="4">
        <f t="shared" si="2"/>
        <v>8.7000000000000028</v>
      </c>
      <c r="M28" s="4">
        <f t="shared" si="3"/>
        <v>8.6</v>
      </c>
    </row>
    <row r="29" spans="1:13">
      <c r="A29" t="s">
        <v>109</v>
      </c>
      <c r="B29" s="9">
        <v>25.474860335195537</v>
      </c>
      <c r="C29" s="9">
        <v>27.792718281330064</v>
      </c>
      <c r="D29" s="6">
        <v>0.91660197024730883</v>
      </c>
      <c r="E29" s="15">
        <v>4.6040515653775325</v>
      </c>
      <c r="F29" s="15">
        <v>5.5331396648044704</v>
      </c>
      <c r="I29" s="4">
        <f t="shared" si="1"/>
        <v>67.300000000000011</v>
      </c>
      <c r="J29" s="4">
        <f t="shared" si="1"/>
        <v>23.9</v>
      </c>
      <c r="K29" s="4">
        <f t="shared" si="1"/>
        <v>78.2</v>
      </c>
      <c r="L29" s="4">
        <f t="shared" si="2"/>
        <v>91.4</v>
      </c>
      <c r="M29" s="4">
        <f t="shared" si="3"/>
        <v>100</v>
      </c>
    </row>
    <row r="30" spans="1:13">
      <c r="A30" t="s">
        <v>117</v>
      </c>
      <c r="B30" s="9">
        <v>0</v>
      </c>
      <c r="C30" s="9">
        <v>40.373657790631967</v>
      </c>
      <c r="D30" s="6">
        <v>0</v>
      </c>
      <c r="E30" s="15">
        <v>9.1911764705882355</v>
      </c>
      <c r="F30" s="15">
        <v>0</v>
      </c>
      <c r="I30" s="4">
        <f t="shared" si="1"/>
        <v>0</v>
      </c>
      <c r="J30" s="4">
        <f t="shared" si="1"/>
        <v>93.4</v>
      </c>
      <c r="K30" s="4">
        <f t="shared" si="1"/>
        <v>0</v>
      </c>
      <c r="L30" s="4">
        <f t="shared" si="2"/>
        <v>65.300000000000011</v>
      </c>
      <c r="M30" s="4">
        <f t="shared" si="3"/>
        <v>0</v>
      </c>
    </row>
    <row r="31" spans="1:13">
      <c r="A31" t="s">
        <v>116</v>
      </c>
      <c r="B31" s="9">
        <v>20.212765957446816</v>
      </c>
      <c r="C31" s="9">
        <v>41.231268168537547</v>
      </c>
      <c r="D31" s="6">
        <v>0.49022906292440033</v>
      </c>
      <c r="E31" s="15">
        <v>10</v>
      </c>
      <c r="F31" s="15">
        <v>2.0212765957446814</v>
      </c>
      <c r="I31" s="4">
        <f t="shared" si="1"/>
        <v>52.1</v>
      </c>
      <c r="J31" s="4">
        <f t="shared" si="1"/>
        <v>95.6</v>
      </c>
      <c r="K31" s="4">
        <f t="shared" si="1"/>
        <v>39.1</v>
      </c>
      <c r="L31" s="4">
        <f t="shared" si="2"/>
        <v>58.7</v>
      </c>
      <c r="M31" s="4">
        <f t="shared" si="3"/>
        <v>52.1</v>
      </c>
    </row>
    <row r="32" spans="1:13">
      <c r="A32" t="s">
        <v>80</v>
      </c>
      <c r="B32" s="9">
        <v>18.290668868703548</v>
      </c>
      <c r="C32" s="9">
        <v>32.320482980541726</v>
      </c>
      <c r="D32" s="6">
        <v>0.56591570366430755</v>
      </c>
      <c r="E32" s="15">
        <v>5.7543419125340032</v>
      </c>
      <c r="F32" s="15">
        <v>3.1785856917648818</v>
      </c>
      <c r="I32" s="4">
        <f t="shared" si="1"/>
        <v>45.6</v>
      </c>
      <c r="J32" s="4">
        <f t="shared" si="1"/>
        <v>43.4</v>
      </c>
      <c r="K32" s="4">
        <f t="shared" si="1"/>
        <v>47.8</v>
      </c>
      <c r="L32" s="4">
        <f t="shared" si="2"/>
        <v>89.2</v>
      </c>
      <c r="M32" s="4">
        <f t="shared" si="3"/>
        <v>71.7</v>
      </c>
    </row>
    <row r="33" spans="1:13">
      <c r="A33" t="s">
        <v>82</v>
      </c>
      <c r="B33" s="9">
        <v>25.794993849669915</v>
      </c>
      <c r="C33" s="9">
        <v>31.6772338431254</v>
      </c>
      <c r="D33" s="6">
        <v>0.81430701864354704</v>
      </c>
      <c r="E33" s="15">
        <v>8.0437580437580447</v>
      </c>
      <c r="F33" s="15">
        <v>3.2068336353909634</v>
      </c>
      <c r="I33" s="4">
        <f t="shared" si="1"/>
        <v>69.5</v>
      </c>
      <c r="J33" s="4">
        <f t="shared" si="1"/>
        <v>39.1</v>
      </c>
      <c r="K33" s="4">
        <f t="shared" si="1"/>
        <v>69.5</v>
      </c>
      <c r="L33" s="4">
        <f t="shared" si="2"/>
        <v>76.099999999999994</v>
      </c>
      <c r="M33" s="4">
        <f t="shared" si="3"/>
        <v>78.2</v>
      </c>
    </row>
    <row r="34" spans="1:13">
      <c r="A34" t="s">
        <v>87</v>
      </c>
      <c r="B34" s="9">
        <v>11.70516559791059</v>
      </c>
      <c r="C34" s="9">
        <v>36.999042143866021</v>
      </c>
      <c r="D34" s="6">
        <v>0.31636401700337424</v>
      </c>
      <c r="E34" s="15">
        <v>11.999040076793856</v>
      </c>
      <c r="F34" s="15">
        <v>0.97550850092986863</v>
      </c>
      <c r="I34" s="4">
        <f t="shared" si="1"/>
        <v>28.199999999999996</v>
      </c>
      <c r="J34" s="4">
        <f t="shared" si="1"/>
        <v>71.7</v>
      </c>
      <c r="K34" s="4">
        <f t="shared" si="1"/>
        <v>19.5</v>
      </c>
      <c r="L34" s="4">
        <f t="shared" si="2"/>
        <v>37</v>
      </c>
      <c r="M34" s="4">
        <f t="shared" si="3"/>
        <v>32.6</v>
      </c>
    </row>
    <row r="35" spans="1:13">
      <c r="A35" t="s">
        <v>108</v>
      </c>
      <c r="B35" s="9">
        <v>20.840622748856969</v>
      </c>
      <c r="C35" s="9">
        <v>34.55583611450443</v>
      </c>
      <c r="D35" s="6">
        <v>0.60309994178116122</v>
      </c>
      <c r="E35" s="15">
        <v>12.953367875647668</v>
      </c>
      <c r="F35" s="15">
        <v>1.6088960762117581</v>
      </c>
      <c r="I35" s="4">
        <f t="shared" si="1"/>
        <v>56.499999999999993</v>
      </c>
      <c r="J35" s="4">
        <f t="shared" si="1"/>
        <v>50</v>
      </c>
      <c r="K35" s="4">
        <f t="shared" si="1"/>
        <v>52.1</v>
      </c>
      <c r="L35" s="4">
        <f t="shared" si="2"/>
        <v>28.299999999999997</v>
      </c>
      <c r="M35" s="4">
        <f t="shared" si="3"/>
        <v>45.6</v>
      </c>
    </row>
    <row r="36" spans="1:13">
      <c r="A36" t="s">
        <v>96</v>
      </c>
      <c r="B36" s="9">
        <v>16.346589289008904</v>
      </c>
      <c r="C36" s="9">
        <v>29.327436913441023</v>
      </c>
      <c r="D36" s="6">
        <v>0.55738213118505142</v>
      </c>
      <c r="E36" s="15">
        <v>13.557483731019525</v>
      </c>
      <c r="F36" s="15">
        <v>1.2057244259572966</v>
      </c>
      <c r="I36" s="4">
        <f t="shared" si="1"/>
        <v>41.3</v>
      </c>
      <c r="J36" s="4">
        <f t="shared" si="1"/>
        <v>30.4</v>
      </c>
      <c r="K36" s="4">
        <f t="shared" si="1"/>
        <v>45.6</v>
      </c>
      <c r="L36" s="4">
        <f t="shared" si="2"/>
        <v>19.599999999999994</v>
      </c>
      <c r="M36" s="4">
        <f t="shared" si="3"/>
        <v>41.3</v>
      </c>
    </row>
    <row r="37" spans="1:13">
      <c r="A37" t="s">
        <v>106</v>
      </c>
      <c r="B37" s="9">
        <v>15.300803818136146</v>
      </c>
      <c r="C37" s="9">
        <v>35.189262619977249</v>
      </c>
      <c r="D37" s="6">
        <v>0.43481456214003605</v>
      </c>
      <c r="E37" s="15">
        <v>13.151602104256337</v>
      </c>
      <c r="F37" s="15">
        <v>1.163417483044461</v>
      </c>
      <c r="I37" s="4">
        <f t="shared" si="1"/>
        <v>36.9</v>
      </c>
      <c r="J37" s="4">
        <f t="shared" si="1"/>
        <v>58.599999999999994</v>
      </c>
      <c r="K37" s="4">
        <f t="shared" si="1"/>
        <v>34.699999999999996</v>
      </c>
      <c r="L37" s="4">
        <f t="shared" si="2"/>
        <v>26.099999999999994</v>
      </c>
      <c r="M37" s="4">
        <f t="shared" si="3"/>
        <v>39.1</v>
      </c>
    </row>
    <row r="38" spans="1:13">
      <c r="A38" t="s">
        <v>94</v>
      </c>
      <c r="B38" s="9">
        <v>21.797605379694932</v>
      </c>
      <c r="C38" s="9">
        <v>35.984811359701098</v>
      </c>
      <c r="D38" s="6">
        <v>0.60574460601746472</v>
      </c>
      <c r="E38" s="15">
        <v>4.5703839122486292</v>
      </c>
      <c r="F38" s="15">
        <v>4.7693160570772513</v>
      </c>
      <c r="I38" s="4">
        <f t="shared" si="1"/>
        <v>60.8</v>
      </c>
      <c r="J38" s="4">
        <f t="shared" si="1"/>
        <v>63</v>
      </c>
      <c r="K38" s="4">
        <f t="shared" si="1"/>
        <v>54.300000000000004</v>
      </c>
      <c r="L38" s="4">
        <f t="shared" si="2"/>
        <v>93.5</v>
      </c>
      <c r="M38" s="4">
        <f t="shared" si="3"/>
        <v>91.3</v>
      </c>
    </row>
    <row r="39" spans="1:13">
      <c r="A39" t="s">
        <v>68</v>
      </c>
      <c r="B39" s="9">
        <v>38.816922500935974</v>
      </c>
      <c r="C39" s="9">
        <v>43.649752439272525</v>
      </c>
      <c r="D39" s="6">
        <v>0.88928161860573662</v>
      </c>
      <c r="E39" s="15">
        <v>13.496235260690439</v>
      </c>
      <c r="F39" s="15">
        <v>2.8761296577272457</v>
      </c>
      <c r="I39" s="4">
        <f t="shared" si="1"/>
        <v>86.9</v>
      </c>
      <c r="J39" s="4">
        <f t="shared" si="1"/>
        <v>100</v>
      </c>
      <c r="K39" s="4">
        <f t="shared" si="1"/>
        <v>76</v>
      </c>
      <c r="L39" s="4">
        <f t="shared" si="2"/>
        <v>21.799999999999997</v>
      </c>
      <c r="M39" s="4">
        <f t="shared" si="3"/>
        <v>67.300000000000011</v>
      </c>
    </row>
    <row r="40" spans="1:13">
      <c r="A40" t="s">
        <v>72</v>
      </c>
      <c r="B40" s="9">
        <v>16.145006073063627</v>
      </c>
      <c r="C40" s="9">
        <v>36.705827883558079</v>
      </c>
      <c r="D40" s="6">
        <v>0.43984857457187559</v>
      </c>
      <c r="E40" s="15">
        <v>16.145307769929364</v>
      </c>
      <c r="F40" s="15">
        <v>0.99998131365037846</v>
      </c>
      <c r="I40" s="4">
        <f t="shared" si="1"/>
        <v>39.1</v>
      </c>
      <c r="J40" s="4">
        <f t="shared" si="1"/>
        <v>65.2</v>
      </c>
      <c r="K40" s="4">
        <f t="shared" si="1"/>
        <v>36.9</v>
      </c>
      <c r="L40" s="4">
        <f t="shared" si="2"/>
        <v>6.5999999999999943</v>
      </c>
      <c r="M40" s="4">
        <f t="shared" si="3"/>
        <v>34.699999999999996</v>
      </c>
    </row>
    <row r="41" spans="1:13">
      <c r="A41" t="s">
        <v>86</v>
      </c>
      <c r="B41" s="9">
        <v>34.634007405297638</v>
      </c>
      <c r="C41" s="9">
        <v>36.927559032178181</v>
      </c>
      <c r="D41" s="6">
        <v>0.93789051627046427</v>
      </c>
      <c r="E41" s="15">
        <v>10.72961373390558</v>
      </c>
      <c r="F41" s="15">
        <v>3.2278894901737396</v>
      </c>
      <c r="I41" s="4">
        <f t="shared" si="1"/>
        <v>82.6</v>
      </c>
      <c r="J41" s="4">
        <f t="shared" si="1"/>
        <v>69.5</v>
      </c>
      <c r="K41" s="4">
        <f t="shared" si="1"/>
        <v>80.400000000000006</v>
      </c>
      <c r="L41" s="4">
        <f t="shared" si="2"/>
        <v>52.2</v>
      </c>
      <c r="M41" s="4">
        <f t="shared" si="3"/>
        <v>80.400000000000006</v>
      </c>
    </row>
    <row r="42" spans="1:13">
      <c r="A42" t="s">
        <v>107</v>
      </c>
      <c r="B42" s="9">
        <v>8.6709677419354829</v>
      </c>
      <c r="C42" s="9">
        <v>23.763080279584667</v>
      </c>
      <c r="D42" s="6">
        <v>0.36489241461616756</v>
      </c>
      <c r="E42" s="15">
        <v>14.961915125136015</v>
      </c>
      <c r="F42" s="15">
        <v>0.57953595307917893</v>
      </c>
      <c r="I42" s="4">
        <f t="shared" si="1"/>
        <v>15.2</v>
      </c>
      <c r="J42" s="4">
        <f t="shared" si="1"/>
        <v>8.6</v>
      </c>
      <c r="K42" s="4">
        <f t="shared" si="1"/>
        <v>21.7</v>
      </c>
      <c r="L42" s="4">
        <f t="shared" si="2"/>
        <v>13.099999999999994</v>
      </c>
      <c r="M42" s="4">
        <f t="shared" si="3"/>
        <v>15.2</v>
      </c>
    </row>
    <row r="43" spans="1:13">
      <c r="A43" t="s">
        <v>114</v>
      </c>
      <c r="B43" s="9">
        <v>17.874069058903181</v>
      </c>
      <c r="C43" s="9">
        <v>24.99267440549983</v>
      </c>
      <c r="D43" s="6">
        <v>0.71517232485411231</v>
      </c>
      <c r="E43" s="15">
        <v>10.822510822510823</v>
      </c>
      <c r="F43" s="15">
        <v>1.6515639810426539</v>
      </c>
      <c r="I43" s="4">
        <f t="shared" si="1"/>
        <v>43.4</v>
      </c>
      <c r="J43" s="4">
        <f t="shared" si="1"/>
        <v>15.2</v>
      </c>
      <c r="K43" s="4">
        <f t="shared" si="1"/>
        <v>67.300000000000011</v>
      </c>
      <c r="L43" s="4">
        <f t="shared" si="2"/>
        <v>50</v>
      </c>
      <c r="M43" s="4">
        <f t="shared" si="3"/>
        <v>47.8</v>
      </c>
    </row>
    <row r="44" spans="1:13">
      <c r="A44" t="s">
        <v>113</v>
      </c>
      <c r="B44" s="9">
        <v>11.378901619913076</v>
      </c>
      <c r="C44" s="9">
        <v>18.73735509119102</v>
      </c>
      <c r="D44" s="6">
        <v>0.60728430264219269</v>
      </c>
      <c r="E44" s="15">
        <v>20.491803278688526</v>
      </c>
      <c r="F44" s="15">
        <v>0.55529039905175814</v>
      </c>
      <c r="I44" s="4">
        <f t="shared" si="1"/>
        <v>23.9</v>
      </c>
      <c r="J44" s="4">
        <f t="shared" si="1"/>
        <v>0</v>
      </c>
      <c r="K44" s="4">
        <f t="shared" si="1"/>
        <v>56.499999999999993</v>
      </c>
      <c r="L44" s="4">
        <f t="shared" si="2"/>
        <v>0</v>
      </c>
      <c r="M44" s="4">
        <f t="shared" si="3"/>
        <v>13</v>
      </c>
    </row>
    <row r="45" spans="1:13">
      <c r="A45" t="s">
        <v>118</v>
      </c>
      <c r="B45" s="9">
        <v>50.261780104712045</v>
      </c>
      <c r="C45" s="9">
        <v>26.354801515401086</v>
      </c>
      <c r="D45" s="6">
        <v>1.9071204188481679</v>
      </c>
      <c r="E45" s="15">
        <v>20</v>
      </c>
      <c r="F45" s="15">
        <v>2.5130890052356021</v>
      </c>
      <c r="I45" s="4">
        <f t="shared" si="1"/>
        <v>100</v>
      </c>
      <c r="J45" s="4">
        <f t="shared" si="1"/>
        <v>17.299999999999997</v>
      </c>
      <c r="K45" s="4">
        <f t="shared" si="1"/>
        <v>97.8</v>
      </c>
      <c r="L45" s="4">
        <f t="shared" si="2"/>
        <v>2.2000000000000028</v>
      </c>
      <c r="M45" s="4">
        <f t="shared" si="3"/>
        <v>65.2</v>
      </c>
    </row>
    <row r="46" spans="1:13">
      <c r="A46" t="s">
        <v>73</v>
      </c>
      <c r="B46" s="9">
        <v>40.680326967486529</v>
      </c>
      <c r="C46" s="9">
        <v>37.958724690888452</v>
      </c>
      <c r="D46" s="6">
        <v>1.0716989914377015</v>
      </c>
      <c r="E46" s="15">
        <v>8.3085534371173697</v>
      </c>
      <c r="F46" s="15">
        <v>4.896198511013063</v>
      </c>
      <c r="I46" s="4">
        <f t="shared" si="1"/>
        <v>91.3</v>
      </c>
      <c r="J46" s="4">
        <f t="shared" si="1"/>
        <v>84.7</v>
      </c>
      <c r="K46" s="4">
        <f t="shared" si="1"/>
        <v>82.6</v>
      </c>
      <c r="L46" s="4">
        <f t="shared" si="2"/>
        <v>71.800000000000011</v>
      </c>
      <c r="M46" s="4">
        <f t="shared" si="3"/>
        <v>95.6</v>
      </c>
    </row>
    <row r="47" spans="1:13">
      <c r="A47" t="s">
        <v>76</v>
      </c>
      <c r="B47" s="9">
        <v>20.594439117929049</v>
      </c>
      <c r="C47" s="9">
        <v>34.955289696980223</v>
      </c>
      <c r="D47" s="6">
        <v>0.5891651677459333</v>
      </c>
      <c r="E47" s="15">
        <v>8.2959203591645529</v>
      </c>
      <c r="F47" s="15">
        <v>2.4824779200270708</v>
      </c>
      <c r="I47" s="4">
        <f t="shared" si="1"/>
        <v>54.300000000000004</v>
      </c>
      <c r="J47" s="4">
        <f t="shared" si="1"/>
        <v>54.300000000000004</v>
      </c>
      <c r="K47" s="4">
        <f t="shared" si="1"/>
        <v>50</v>
      </c>
      <c r="L47" s="4">
        <f t="shared" si="2"/>
        <v>74</v>
      </c>
      <c r="M47" s="4">
        <f t="shared" si="3"/>
        <v>63</v>
      </c>
    </row>
    <row r="48" spans="1:13">
      <c r="A48" t="s">
        <v>92</v>
      </c>
      <c r="B48" s="9">
        <v>9.2764138109736347</v>
      </c>
      <c r="C48" s="9">
        <v>41.923489892771961</v>
      </c>
      <c r="D48" s="6">
        <v>0.22127007638677007</v>
      </c>
      <c r="E48" s="15">
        <v>11.392765593847907</v>
      </c>
      <c r="F48" s="15">
        <v>0.81423722225821082</v>
      </c>
      <c r="I48" s="4">
        <f t="shared" si="1"/>
        <v>19.5</v>
      </c>
      <c r="J48" s="4">
        <f t="shared" si="1"/>
        <v>97.8</v>
      </c>
      <c r="K48" s="4">
        <f t="shared" si="1"/>
        <v>15.2</v>
      </c>
      <c r="L48" s="4">
        <f t="shared" si="2"/>
        <v>45.699999999999996</v>
      </c>
      <c r="M48" s="4">
        <f t="shared" si="3"/>
        <v>23.9</v>
      </c>
    </row>
    <row r="49" spans="1:13">
      <c r="A49" t="s">
        <v>89</v>
      </c>
      <c r="B49" s="9">
        <v>25.905874785591763</v>
      </c>
      <c r="C49" s="9">
        <v>30.80171409865191</v>
      </c>
      <c r="D49" s="6">
        <v>0.84105302395250714</v>
      </c>
      <c r="E49" s="15">
        <v>7.2833211944646754</v>
      </c>
      <c r="F49" s="15">
        <v>3.5568766080617493</v>
      </c>
      <c r="I49" s="4">
        <f t="shared" si="1"/>
        <v>71.7</v>
      </c>
      <c r="J49" s="4">
        <f t="shared" si="1"/>
        <v>34.699999999999996</v>
      </c>
      <c r="K49" s="4">
        <f t="shared" si="1"/>
        <v>71.7</v>
      </c>
      <c r="L49" s="4">
        <f t="shared" si="2"/>
        <v>80.5</v>
      </c>
      <c r="M49" s="4">
        <f t="shared" si="3"/>
        <v>84.7</v>
      </c>
    </row>
    <row r="50" spans="1:13">
      <c r="A50" t="s">
        <v>93</v>
      </c>
      <c r="B50" s="9">
        <v>25.057266480020363</v>
      </c>
      <c r="C50" s="9">
        <v>21.993612861956201</v>
      </c>
      <c r="D50" s="6">
        <v>1.1392974240882254</v>
      </c>
      <c r="E50" s="15">
        <v>14.025245441795231</v>
      </c>
      <c r="F50" s="15">
        <v>1.786583100025452</v>
      </c>
      <c r="I50" s="4">
        <f t="shared" si="1"/>
        <v>66.600000000000009</v>
      </c>
      <c r="J50" s="4">
        <f t="shared" si="1"/>
        <v>4.2</v>
      </c>
      <c r="K50" s="4">
        <f t="shared" si="1"/>
        <v>84.399999999999991</v>
      </c>
      <c r="L50" s="4">
        <f t="shared" si="2"/>
        <v>15.600000000000009</v>
      </c>
      <c r="M50" s="4">
        <f t="shared" si="3"/>
        <v>49.7</v>
      </c>
    </row>
    <row r="51" spans="1:13">
      <c r="A51" t="s">
        <v>110</v>
      </c>
      <c r="B51" s="9">
        <v>0</v>
      </c>
      <c r="C51" s="9">
        <v>42.303883685589973</v>
      </c>
      <c r="D51" s="6">
        <v>0</v>
      </c>
      <c r="E51" s="15">
        <v>12.5</v>
      </c>
      <c r="F51" s="15">
        <v>0</v>
      </c>
      <c r="I51" s="4">
        <f t="shared" si="1"/>
        <v>0</v>
      </c>
      <c r="J51" s="4">
        <f t="shared" si="1"/>
        <v>98.3</v>
      </c>
      <c r="K51" s="4">
        <f t="shared" si="1"/>
        <v>0</v>
      </c>
      <c r="L51" s="4">
        <f t="shared" si="2"/>
        <v>32.699999999999989</v>
      </c>
      <c r="M51" s="4">
        <f t="shared" si="3"/>
        <v>0</v>
      </c>
    </row>
    <row r="52" spans="1:13">
      <c r="A52" t="s">
        <v>78</v>
      </c>
      <c r="B52" s="9">
        <v>12.086075420453358</v>
      </c>
      <c r="C52" s="9">
        <v>37.783559056944696</v>
      </c>
      <c r="D52" s="6">
        <v>0.31987657388860813</v>
      </c>
      <c r="E52" s="9">
        <v>6.4034151547491991</v>
      </c>
      <c r="F52" s="9">
        <v>1.8874421114941329</v>
      </c>
      <c r="I52" s="4">
        <f t="shared" ref="I52:K58" si="4">(PERCENTRANK(B$3:B$49,B52))*100</f>
        <v>33.6</v>
      </c>
      <c r="J52" s="4">
        <f t="shared" si="4"/>
        <v>80.100000000000009</v>
      </c>
      <c r="K52" s="4">
        <f t="shared" si="4"/>
        <v>19.7</v>
      </c>
      <c r="L52" s="4">
        <f t="shared" si="2"/>
        <v>82.2</v>
      </c>
      <c r="M52" s="4">
        <f t="shared" si="3"/>
        <v>50.8</v>
      </c>
    </row>
    <row r="53" spans="1:13">
      <c r="A53" t="s">
        <v>79</v>
      </c>
      <c r="B53" s="9">
        <v>18.994709679088359</v>
      </c>
      <c r="C53" s="9">
        <v>30.858494687690808</v>
      </c>
      <c r="D53" s="6">
        <v>0.61554232866275194</v>
      </c>
      <c r="E53" s="9">
        <v>8.5197018104366347</v>
      </c>
      <c r="F53" s="9">
        <v>2.2295040485829962</v>
      </c>
      <c r="I53" s="4">
        <f t="shared" si="4"/>
        <v>47.5</v>
      </c>
      <c r="J53" s="4">
        <f t="shared" si="4"/>
        <v>34.9</v>
      </c>
      <c r="K53" s="4">
        <f t="shared" si="4"/>
        <v>57.699999999999996</v>
      </c>
      <c r="L53" s="4">
        <f t="shared" si="2"/>
        <v>71.099999999999994</v>
      </c>
      <c r="M53" s="4">
        <f t="shared" si="3"/>
        <v>54.900000000000006</v>
      </c>
    </row>
    <row r="54" spans="1:13">
      <c r="A54" t="s">
        <v>95</v>
      </c>
      <c r="B54" s="9">
        <v>22.122532077079683</v>
      </c>
      <c r="C54" s="9">
        <v>34.961483069464585</v>
      </c>
      <c r="D54" s="6">
        <v>0.63276869671474367</v>
      </c>
      <c r="E54" s="9">
        <v>8.7579617834394909</v>
      </c>
      <c r="F54" s="9">
        <v>2.5259909353465528</v>
      </c>
      <c r="I54" s="4">
        <f t="shared" si="4"/>
        <v>61.199999999999996</v>
      </c>
      <c r="J54" s="4">
        <f t="shared" si="4"/>
        <v>54.400000000000006</v>
      </c>
      <c r="K54" s="4">
        <f t="shared" si="4"/>
        <v>62.3</v>
      </c>
      <c r="L54" s="4">
        <f t="shared" si="2"/>
        <v>70.400000000000006</v>
      </c>
      <c r="M54" s="4">
        <f t="shared" si="3"/>
        <v>65.2</v>
      </c>
    </row>
    <row r="55" spans="1:13">
      <c r="A55" t="s">
        <v>103</v>
      </c>
      <c r="B55" s="9">
        <v>32.334052128258016</v>
      </c>
      <c r="C55" s="9">
        <v>31.028839449256814</v>
      </c>
      <c r="D55" s="6">
        <v>1.0420645019977524</v>
      </c>
      <c r="E55" s="9">
        <v>11.749819233550253</v>
      </c>
      <c r="F55" s="9">
        <v>2.7518765595926666</v>
      </c>
      <c r="I55" s="4">
        <f t="shared" si="4"/>
        <v>80.600000000000009</v>
      </c>
      <c r="J55" s="4">
        <f t="shared" si="4"/>
        <v>35.5</v>
      </c>
      <c r="K55" s="4">
        <f t="shared" si="4"/>
        <v>82.1</v>
      </c>
      <c r="L55" s="4">
        <f t="shared" si="2"/>
        <v>40.1</v>
      </c>
      <c r="M55" s="4">
        <f t="shared" si="3"/>
        <v>66.600000000000009</v>
      </c>
    </row>
    <row r="56" spans="1:13">
      <c r="A56" t="s">
        <v>99</v>
      </c>
      <c r="B56" s="9">
        <v>0</v>
      </c>
      <c r="C56" s="9">
        <v>32.416805349816819</v>
      </c>
      <c r="D56" s="6">
        <v>0</v>
      </c>
      <c r="E56" s="9">
        <v>18.305439330543933</v>
      </c>
      <c r="F56" s="9">
        <v>0</v>
      </c>
      <c r="I56" s="4">
        <f t="shared" si="4"/>
        <v>0</v>
      </c>
      <c r="J56" s="4">
        <f t="shared" si="4"/>
        <v>44.2</v>
      </c>
      <c r="K56" s="4">
        <f t="shared" si="4"/>
        <v>0</v>
      </c>
      <c r="L56" s="4">
        <f t="shared" si="2"/>
        <v>5.2000000000000028</v>
      </c>
      <c r="M56" s="4">
        <f t="shared" si="3"/>
        <v>0</v>
      </c>
    </row>
    <row r="57" spans="1:13">
      <c r="A57" t="s">
        <v>102</v>
      </c>
      <c r="B57" s="9">
        <v>46.006720082708718</v>
      </c>
      <c r="C57" s="9">
        <v>32.252863710972917</v>
      </c>
      <c r="D57" s="6">
        <v>1.4264383000216048</v>
      </c>
      <c r="E57" s="9">
        <v>14.078841512469831</v>
      </c>
      <c r="F57" s="9">
        <v>3.267791603588968</v>
      </c>
      <c r="I57" s="4">
        <f t="shared" si="4"/>
        <v>95.8</v>
      </c>
      <c r="J57" s="4">
        <f t="shared" si="4"/>
        <v>43.1</v>
      </c>
      <c r="K57" s="4">
        <f t="shared" si="4"/>
        <v>93.8</v>
      </c>
      <c r="L57" s="4">
        <f t="shared" si="2"/>
        <v>15.299999999999997</v>
      </c>
      <c r="M57" s="4">
        <f t="shared" si="3"/>
        <v>82.699999999999989</v>
      </c>
    </row>
    <row r="58" spans="1:13">
      <c r="A58" t="s">
        <v>106</v>
      </c>
      <c r="B58" s="9">
        <v>15.592151366503154</v>
      </c>
      <c r="C58" s="9">
        <v>37.29967142761349</v>
      </c>
      <c r="D58" s="6">
        <v>0.41802382620882977</v>
      </c>
      <c r="E58" s="9">
        <v>50</v>
      </c>
      <c r="F58" s="9">
        <v>0.31184302733006308</v>
      </c>
      <c r="I58" s="4">
        <f t="shared" si="4"/>
        <v>37.700000000000003</v>
      </c>
      <c r="J58" s="4">
        <f t="shared" si="4"/>
        <v>76.5</v>
      </c>
      <c r="K58" s="4">
        <f t="shared" si="4"/>
        <v>30.9</v>
      </c>
      <c r="L58" s="4">
        <v>0</v>
      </c>
      <c r="M58" s="4">
        <f t="shared" si="3"/>
        <v>8.6999999999999993</v>
      </c>
    </row>
    <row r="59" spans="1:13">
      <c r="B59" s="9"/>
      <c r="C59" s="9"/>
      <c r="D59" s="6"/>
      <c r="I59" s="2"/>
    </row>
    <row r="60" spans="1:13">
      <c r="B60" s="9"/>
      <c r="C60" s="9"/>
      <c r="D60" s="6"/>
      <c r="I60" s="2"/>
    </row>
    <row r="61" spans="1:13">
      <c r="B61" s="9"/>
      <c r="C61" s="9"/>
      <c r="D61" s="6"/>
      <c r="I61" s="2"/>
    </row>
    <row r="62" spans="1:13">
      <c r="B62" s="9"/>
      <c r="C62" s="9"/>
      <c r="D62" s="6"/>
      <c r="I62" s="2"/>
    </row>
    <row r="63" spans="1:13">
      <c r="B63" s="9"/>
      <c r="C63" s="9"/>
      <c r="D63" s="6"/>
      <c r="I63" s="2"/>
    </row>
    <row r="64" spans="1:13">
      <c r="B64" s="9"/>
      <c r="C64" s="9"/>
      <c r="D64" s="6"/>
      <c r="I64" s="2"/>
    </row>
    <row r="65" spans="2:9">
      <c r="B65" s="9"/>
      <c r="C65" s="9"/>
      <c r="D65" s="6"/>
      <c r="I65" s="2"/>
    </row>
    <row r="66" spans="2:9">
      <c r="B66" s="9"/>
      <c r="C66" s="9"/>
      <c r="D66" s="6"/>
      <c r="I66" s="2"/>
    </row>
    <row r="67" spans="2:9">
      <c r="B67" s="9"/>
      <c r="C67" s="9"/>
      <c r="D67" s="6"/>
      <c r="I67" s="2"/>
    </row>
    <row r="68" spans="2:9">
      <c r="B68" s="9"/>
      <c r="C68" s="9"/>
      <c r="D68" s="6"/>
      <c r="I68" s="2"/>
    </row>
    <row r="69" spans="2:9">
      <c r="B69" s="9"/>
      <c r="C69" s="9"/>
      <c r="D69" s="6"/>
      <c r="I69" s="2"/>
    </row>
    <row r="70" spans="2:9">
      <c r="B70" s="9"/>
      <c r="C70" s="9"/>
      <c r="D70" s="6"/>
      <c r="I70" s="2"/>
    </row>
    <row r="71" spans="2:9">
      <c r="B71" s="9"/>
      <c r="C71" s="9"/>
      <c r="D71" s="6"/>
      <c r="I71" s="2"/>
    </row>
    <row r="72" spans="2:9">
      <c r="B72" s="9"/>
      <c r="C72" s="9"/>
      <c r="D72" s="6"/>
      <c r="I72" s="2"/>
    </row>
    <row r="73" spans="2:9">
      <c r="B73" s="9"/>
      <c r="C73" s="9"/>
      <c r="D73" s="6"/>
      <c r="I73" s="2"/>
    </row>
    <row r="74" spans="2:9">
      <c r="B74" s="9"/>
      <c r="C74" s="9"/>
      <c r="D74" s="6"/>
      <c r="I74" s="2"/>
    </row>
    <row r="75" spans="2:9">
      <c r="B75" s="9"/>
      <c r="C75" s="9"/>
      <c r="D75" s="6"/>
      <c r="I75" s="2"/>
    </row>
    <row r="76" spans="2:9">
      <c r="B76" s="9"/>
      <c r="C76" s="9"/>
      <c r="D76" s="6"/>
      <c r="I76" s="2"/>
    </row>
    <row r="77" spans="2:9">
      <c r="B77" s="9"/>
      <c r="C77" s="9"/>
      <c r="D77" s="6"/>
      <c r="I77" s="2"/>
    </row>
    <row r="78" spans="2:9">
      <c r="B78" s="9"/>
      <c r="C78" s="9"/>
      <c r="D78" s="6"/>
      <c r="I78" s="2"/>
    </row>
    <row r="79" spans="2:9">
      <c r="B79" s="9"/>
      <c r="C79" s="9"/>
      <c r="D79" s="6"/>
      <c r="I79" s="2"/>
    </row>
  </sheetData>
  <autoFilter ref="A2:K2"/>
  <mergeCells count="2">
    <mergeCell ref="A1:F1"/>
    <mergeCell ref="I1:M1"/>
  </mergeCells>
  <conditionalFormatting sqref="B3:B5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C3:C5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D3:D5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4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F3:F7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5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5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5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5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5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80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L3:L50 L51:L57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  <col min="23" max="23" width="13.125" bestFit="1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2" t="s">
        <v>70</v>
      </c>
      <c r="B2" s="2">
        <v>12</v>
      </c>
      <c r="C2" s="2">
        <v>241</v>
      </c>
      <c r="D2" s="2">
        <v>294</v>
      </c>
      <c r="E2" s="2">
        <v>110</v>
      </c>
      <c r="F2" s="2">
        <v>207</v>
      </c>
      <c r="G2" s="2">
        <v>17</v>
      </c>
      <c r="H2" s="2">
        <v>46</v>
      </c>
      <c r="I2" s="2">
        <v>36</v>
      </c>
      <c r="J2" s="2">
        <v>39</v>
      </c>
      <c r="K2" s="2">
        <v>6</v>
      </c>
      <c r="L2" s="2">
        <v>73</v>
      </c>
      <c r="M2" s="2">
        <v>79</v>
      </c>
      <c r="N2" s="2">
        <v>73</v>
      </c>
      <c r="O2" s="2">
        <v>10</v>
      </c>
      <c r="P2" s="2">
        <v>8</v>
      </c>
      <c r="Q2" s="2">
        <v>30</v>
      </c>
      <c r="R2" s="2">
        <v>37</v>
      </c>
      <c r="S2" s="9">
        <f>100*(N2)/((C2/($C$15/3))*$E$15-E2)</f>
        <v>45.737358712963683</v>
      </c>
      <c r="T2" s="9">
        <f>(100*(F2+0.44*J2+Q2)*($C$15/3))/(C2*($F$15+0.44*$J$15+$Q$15))</f>
        <v>37.832746318287512</v>
      </c>
      <c r="U2" s="6">
        <f>S2/T2</f>
        <v>1.2089357280112456</v>
      </c>
      <c r="V2" s="9">
        <f>100*Q2/(F2+0.44*J2+Q2)</f>
        <v>11.803588290840416</v>
      </c>
      <c r="W2" s="9">
        <f>IF(V2=0,0,S2/V2)</f>
        <v>3.8748690301622832</v>
      </c>
    </row>
    <row r="3" spans="1:40">
      <c r="A3" s="2" t="s">
        <v>83</v>
      </c>
      <c r="B3" s="2">
        <v>12</v>
      </c>
      <c r="C3" s="2">
        <v>175</v>
      </c>
      <c r="D3" s="2">
        <v>196</v>
      </c>
      <c r="E3" s="2">
        <v>83</v>
      </c>
      <c r="F3" s="2">
        <v>151</v>
      </c>
      <c r="G3" s="2">
        <v>5</v>
      </c>
      <c r="H3" s="2">
        <v>17</v>
      </c>
      <c r="I3" s="2">
        <v>14</v>
      </c>
      <c r="J3" s="2">
        <v>17</v>
      </c>
      <c r="K3" s="2">
        <v>27</v>
      </c>
      <c r="L3" s="2">
        <v>91</v>
      </c>
      <c r="M3" s="2">
        <v>118</v>
      </c>
      <c r="N3" s="2">
        <v>10</v>
      </c>
      <c r="O3" s="2">
        <v>6</v>
      </c>
      <c r="P3" s="2">
        <v>13</v>
      </c>
      <c r="Q3" s="2">
        <v>26</v>
      </c>
      <c r="R3" s="2">
        <v>30</v>
      </c>
      <c r="S3" s="9">
        <f t="shared" ref="S3:S13" si="0">100*(N3)/((C3/($C$15/3))*$E$15-E3)</f>
        <v>8.8673961829483847</v>
      </c>
      <c r="T3" s="9">
        <f t="shared" ref="T3:T13" si="1">(100*(F3+0.44*J3+Q3)*($C$15/3))/(C3*($F$15+0.44*$J$15+$Q$15))</f>
        <v>37.817163425339288</v>
      </c>
      <c r="U3" s="6">
        <f t="shared" ref="U3:U13" si="2">S3/T3</f>
        <v>0.23448073255031099</v>
      </c>
      <c r="V3" s="9">
        <f t="shared" ref="V3:V13" si="3">100*Q3/(F3+0.44*J3+Q3)</f>
        <v>14.09366869037294</v>
      </c>
      <c r="W3" s="9">
        <f t="shared" ref="W3:W13" si="4">IF(V3=0,0,S3/V3)</f>
        <v>0.62917586455012231</v>
      </c>
    </row>
    <row r="4" spans="1:40">
      <c r="A4" s="2" t="s">
        <v>84</v>
      </c>
      <c r="B4" s="2">
        <v>10</v>
      </c>
      <c r="C4" s="2">
        <v>190</v>
      </c>
      <c r="D4" s="2">
        <v>162</v>
      </c>
      <c r="E4" s="2">
        <v>60</v>
      </c>
      <c r="F4" s="2">
        <v>144</v>
      </c>
      <c r="G4" s="2">
        <v>15</v>
      </c>
      <c r="H4" s="2">
        <v>39</v>
      </c>
      <c r="I4" s="2">
        <v>14</v>
      </c>
      <c r="J4" s="2">
        <v>17</v>
      </c>
      <c r="K4" s="2">
        <v>8</v>
      </c>
      <c r="L4" s="2">
        <v>54</v>
      </c>
      <c r="M4" s="2">
        <v>62</v>
      </c>
      <c r="N4" s="2">
        <v>30</v>
      </c>
      <c r="O4" s="2">
        <v>8</v>
      </c>
      <c r="P4" s="2">
        <v>3</v>
      </c>
      <c r="Q4" s="2">
        <v>15</v>
      </c>
      <c r="R4" s="2">
        <v>23</v>
      </c>
      <c r="S4" s="9">
        <f t="shared" si="0"/>
        <v>19.6652719665272</v>
      </c>
      <c r="T4" s="9">
        <f t="shared" si="1"/>
        <v>31.433024810386943</v>
      </c>
      <c r="U4" s="6">
        <f t="shared" si="2"/>
        <v>0.62562454886711616</v>
      </c>
      <c r="V4" s="9">
        <f t="shared" si="3"/>
        <v>9.0100913022585303</v>
      </c>
      <c r="W4" s="9">
        <f t="shared" si="4"/>
        <v>2.1825829846582985</v>
      </c>
    </row>
    <row r="5" spans="1:40">
      <c r="A5" s="2" t="s">
        <v>91</v>
      </c>
      <c r="B5" s="2">
        <v>11</v>
      </c>
      <c r="C5" s="2">
        <v>125</v>
      </c>
      <c r="D5" s="2">
        <v>110</v>
      </c>
      <c r="E5" s="2">
        <v>38</v>
      </c>
      <c r="F5" s="2">
        <v>77</v>
      </c>
      <c r="G5" s="2">
        <v>8</v>
      </c>
      <c r="H5" s="2">
        <v>25</v>
      </c>
      <c r="I5" s="2">
        <v>13</v>
      </c>
      <c r="J5" s="2">
        <v>20</v>
      </c>
      <c r="K5" s="2">
        <v>14</v>
      </c>
      <c r="L5" s="2">
        <v>51</v>
      </c>
      <c r="M5" s="2">
        <v>65</v>
      </c>
      <c r="N5" s="2">
        <v>12</v>
      </c>
      <c r="O5" s="2">
        <v>3</v>
      </c>
      <c r="P5" s="2">
        <v>20</v>
      </c>
      <c r="Q5" s="2">
        <v>21</v>
      </c>
      <c r="R5" s="2">
        <v>37</v>
      </c>
      <c r="S5" s="9">
        <f t="shared" si="0"/>
        <v>11.783464004134551</v>
      </c>
      <c r="T5" s="9">
        <f t="shared" si="1"/>
        <v>30.650597763208637</v>
      </c>
      <c r="U5" s="6">
        <f t="shared" si="2"/>
        <v>0.38444483514376349</v>
      </c>
      <c r="V5" s="9">
        <f t="shared" si="3"/>
        <v>19.662921348314608</v>
      </c>
      <c r="W5" s="9">
        <f t="shared" si="4"/>
        <v>0.59927331221027136</v>
      </c>
    </row>
    <row r="6" spans="1:40">
      <c r="A6" s="2" t="s">
        <v>105</v>
      </c>
      <c r="B6" s="2">
        <v>11</v>
      </c>
      <c r="C6" s="2">
        <v>110</v>
      </c>
      <c r="D6" s="2">
        <v>68</v>
      </c>
      <c r="E6" s="2">
        <v>28</v>
      </c>
      <c r="F6" s="2">
        <v>68</v>
      </c>
      <c r="G6" s="2">
        <v>5</v>
      </c>
      <c r="H6" s="2">
        <v>31</v>
      </c>
      <c r="I6" s="2">
        <v>3</v>
      </c>
      <c r="J6" s="2">
        <v>6</v>
      </c>
      <c r="K6" s="2">
        <v>8</v>
      </c>
      <c r="L6" s="2">
        <v>30</v>
      </c>
      <c r="M6" s="2">
        <v>38</v>
      </c>
      <c r="N6" s="2">
        <v>11</v>
      </c>
      <c r="O6" s="2">
        <v>4</v>
      </c>
      <c r="P6" s="2">
        <v>2</v>
      </c>
      <c r="Q6" s="2">
        <v>11</v>
      </c>
      <c r="R6" s="2">
        <v>24</v>
      </c>
      <c r="S6" s="9">
        <f t="shared" si="0"/>
        <v>11.57199066983955</v>
      </c>
      <c r="T6" s="9">
        <f t="shared" si="1"/>
        <v>26.624902125769847</v>
      </c>
      <c r="U6" s="6">
        <f t="shared" si="2"/>
        <v>0.43463035526576427</v>
      </c>
      <c r="V6" s="9">
        <f t="shared" si="3"/>
        <v>13.473787359137678</v>
      </c>
      <c r="W6" s="9">
        <f t="shared" si="4"/>
        <v>0.85885210753245533</v>
      </c>
    </row>
    <row r="7" spans="1:40">
      <c r="A7" s="2" t="s">
        <v>102</v>
      </c>
      <c r="B7" s="2">
        <v>2</v>
      </c>
      <c r="C7" s="2">
        <v>29</v>
      </c>
      <c r="D7" s="2">
        <v>24</v>
      </c>
      <c r="E7" s="2">
        <v>10</v>
      </c>
      <c r="F7" s="2">
        <v>15</v>
      </c>
      <c r="G7" s="2">
        <v>2</v>
      </c>
      <c r="H7" s="2">
        <v>4</v>
      </c>
      <c r="I7" s="2">
        <v>1</v>
      </c>
      <c r="J7" s="2">
        <v>2</v>
      </c>
      <c r="K7" s="2">
        <v>0</v>
      </c>
      <c r="L7" s="2">
        <v>6</v>
      </c>
      <c r="M7" s="2">
        <v>6</v>
      </c>
      <c r="N7" s="2">
        <v>11</v>
      </c>
      <c r="O7" s="2">
        <v>3</v>
      </c>
      <c r="P7" s="2">
        <v>0</v>
      </c>
      <c r="Q7" s="2">
        <v>2</v>
      </c>
      <c r="R7" s="2">
        <v>5</v>
      </c>
      <c r="S7" s="9">
        <f t="shared" si="0"/>
        <v>49.014520233521289</v>
      </c>
      <c r="T7" s="9">
        <f t="shared" si="1"/>
        <v>22.11806986980864</v>
      </c>
      <c r="U7" s="6">
        <f t="shared" si="2"/>
        <v>2.2160396690140916</v>
      </c>
      <c r="V7" s="9">
        <f t="shared" si="3"/>
        <v>11.185682326621922</v>
      </c>
      <c r="W7" s="9">
        <f t="shared" si="4"/>
        <v>4.3818981088768041</v>
      </c>
    </row>
    <row r="8" spans="1:40">
      <c r="A8" s="2" t="s">
        <v>119</v>
      </c>
      <c r="B8" s="2">
        <v>1</v>
      </c>
      <c r="C8" s="2">
        <v>8</v>
      </c>
      <c r="D8" s="2">
        <v>6</v>
      </c>
      <c r="E8" s="2">
        <v>2</v>
      </c>
      <c r="F8" s="2">
        <v>7</v>
      </c>
      <c r="G8" s="2">
        <v>2</v>
      </c>
      <c r="H8" s="2">
        <v>6</v>
      </c>
      <c r="I8" s="2">
        <v>0</v>
      </c>
      <c r="J8" s="2">
        <v>0</v>
      </c>
      <c r="K8" s="2">
        <v>0</v>
      </c>
      <c r="L8" s="2">
        <v>4</v>
      </c>
      <c r="M8" s="2">
        <v>4</v>
      </c>
      <c r="N8" s="2">
        <v>0</v>
      </c>
      <c r="O8" s="2">
        <v>0</v>
      </c>
      <c r="P8" s="2">
        <v>0</v>
      </c>
      <c r="Q8" s="2">
        <v>1</v>
      </c>
      <c r="R8" s="2">
        <v>2</v>
      </c>
      <c r="S8" s="9">
        <f t="shared" si="0"/>
        <v>0</v>
      </c>
      <c r="T8" s="9">
        <f t="shared" si="1"/>
        <v>35.873826970047567</v>
      </c>
      <c r="U8" s="6">
        <f t="shared" si="2"/>
        <v>0</v>
      </c>
      <c r="V8" s="9">
        <f t="shared" si="3"/>
        <v>12.5</v>
      </c>
      <c r="W8" s="9">
        <f t="shared" si="4"/>
        <v>0</v>
      </c>
    </row>
    <row r="9" spans="1:40">
      <c r="A9" s="2" t="s">
        <v>116</v>
      </c>
      <c r="B9" s="2">
        <v>1</v>
      </c>
      <c r="C9" s="2">
        <v>9</v>
      </c>
      <c r="D9" s="2">
        <v>4</v>
      </c>
      <c r="E9" s="2">
        <v>2</v>
      </c>
      <c r="F9" s="2">
        <v>5</v>
      </c>
      <c r="G9" s="2">
        <v>0</v>
      </c>
      <c r="H9" s="2">
        <v>0</v>
      </c>
      <c r="I9" s="2">
        <v>0</v>
      </c>
      <c r="J9" s="2">
        <v>0</v>
      </c>
      <c r="K9" s="2">
        <v>1</v>
      </c>
      <c r="L9" s="2">
        <v>2</v>
      </c>
      <c r="M9" s="2">
        <v>3</v>
      </c>
      <c r="N9" s="2">
        <v>3</v>
      </c>
      <c r="O9" s="2">
        <v>0</v>
      </c>
      <c r="P9" s="2">
        <v>1</v>
      </c>
      <c r="Q9" s="2">
        <v>0</v>
      </c>
      <c r="R9" s="2">
        <v>2</v>
      </c>
      <c r="S9" s="9">
        <f t="shared" si="0"/>
        <v>37.182512144344209</v>
      </c>
      <c r="T9" s="9">
        <f t="shared" si="1"/>
        <v>19.929903872248648</v>
      </c>
      <c r="U9" s="6">
        <f t="shared" si="2"/>
        <v>1.8656643997224149</v>
      </c>
      <c r="V9" s="9">
        <f t="shared" si="3"/>
        <v>0</v>
      </c>
      <c r="W9" s="9">
        <f t="shared" si="4"/>
        <v>0</v>
      </c>
    </row>
    <row r="10" spans="1:40">
      <c r="A10" s="2" t="s">
        <v>115</v>
      </c>
      <c r="B10" s="2">
        <v>1</v>
      </c>
      <c r="C10" s="2">
        <v>6</v>
      </c>
      <c r="D10" s="2">
        <v>2</v>
      </c>
      <c r="E10" s="2">
        <v>0</v>
      </c>
      <c r="F10" s="2">
        <v>4</v>
      </c>
      <c r="G10" s="2">
        <v>0</v>
      </c>
      <c r="H10" s="2">
        <v>1</v>
      </c>
      <c r="I10" s="2">
        <v>1</v>
      </c>
      <c r="J10" s="2">
        <v>3</v>
      </c>
      <c r="K10" s="2">
        <v>1</v>
      </c>
      <c r="L10" s="2">
        <v>0</v>
      </c>
      <c r="M10" s="2">
        <v>1</v>
      </c>
      <c r="N10" s="2">
        <v>0</v>
      </c>
      <c r="O10" s="2">
        <v>0</v>
      </c>
      <c r="P10" s="2">
        <v>0</v>
      </c>
      <c r="Q10" s="2">
        <v>0</v>
      </c>
      <c r="R10" s="2">
        <v>2</v>
      </c>
      <c r="S10" s="9">
        <f t="shared" si="0"/>
        <v>0</v>
      </c>
      <c r="T10" s="9">
        <f t="shared" si="1"/>
        <v>31.808126580108848</v>
      </c>
      <c r="U10" s="6">
        <f t="shared" si="2"/>
        <v>0</v>
      </c>
      <c r="V10" s="9">
        <f t="shared" si="3"/>
        <v>0</v>
      </c>
      <c r="W10" s="9">
        <f t="shared" si="4"/>
        <v>0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61</v>
      </c>
      <c r="C15" s="2">
        <f t="shared" ref="C15:R15" si="5">SUM(C2:C13)</f>
        <v>893</v>
      </c>
      <c r="D15" s="2">
        <f t="shared" si="5"/>
        <v>866</v>
      </c>
      <c r="E15" s="2">
        <f t="shared" si="5"/>
        <v>333</v>
      </c>
      <c r="F15" s="2">
        <f t="shared" si="5"/>
        <v>678</v>
      </c>
      <c r="G15" s="2">
        <f t="shared" si="5"/>
        <v>54</v>
      </c>
      <c r="H15" s="2">
        <f t="shared" si="5"/>
        <v>169</v>
      </c>
      <c r="I15" s="2">
        <f t="shared" si="5"/>
        <v>82</v>
      </c>
      <c r="J15" s="2">
        <f t="shared" si="5"/>
        <v>104</v>
      </c>
      <c r="K15" s="2">
        <f t="shared" si="5"/>
        <v>65</v>
      </c>
      <c r="L15" s="2">
        <f t="shared" si="5"/>
        <v>311</v>
      </c>
      <c r="M15" s="2">
        <f t="shared" si="5"/>
        <v>376</v>
      </c>
      <c r="N15" s="2">
        <f t="shared" si="5"/>
        <v>150</v>
      </c>
      <c r="O15" s="2">
        <f t="shared" si="5"/>
        <v>34</v>
      </c>
      <c r="P15" s="2">
        <f t="shared" si="5"/>
        <v>47</v>
      </c>
      <c r="Q15" s="2">
        <f t="shared" si="5"/>
        <v>106</v>
      </c>
      <c r="R15" s="2">
        <f t="shared" si="5"/>
        <v>162</v>
      </c>
    </row>
    <row r="21" spans="3:4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77</v>
      </c>
      <c r="B2" s="2">
        <v>12</v>
      </c>
      <c r="C2" s="2">
        <v>193</v>
      </c>
      <c r="D2" s="2">
        <v>235</v>
      </c>
      <c r="E2" s="2">
        <v>87</v>
      </c>
      <c r="F2" s="2">
        <v>178</v>
      </c>
      <c r="G2" s="2">
        <v>24</v>
      </c>
      <c r="H2" s="2">
        <v>62</v>
      </c>
      <c r="I2" s="2">
        <v>20</v>
      </c>
      <c r="J2" s="2">
        <v>25</v>
      </c>
      <c r="K2" s="2">
        <v>5</v>
      </c>
      <c r="L2" s="2">
        <v>44</v>
      </c>
      <c r="M2" s="2">
        <v>49</v>
      </c>
      <c r="N2" s="2">
        <v>27</v>
      </c>
      <c r="O2" s="2">
        <v>18</v>
      </c>
      <c r="P2" s="2">
        <v>3</v>
      </c>
      <c r="Q2" s="2">
        <v>25</v>
      </c>
      <c r="R2" s="2">
        <v>40</v>
      </c>
      <c r="S2" s="9">
        <f>100*(N2)/((C2/($C$15/3))*$E$15-E2)</f>
        <v>21.105806009127118</v>
      </c>
      <c r="T2" s="9">
        <f>(100*(F2+0.44*J2+Q2)*($C$15/3))/(C2*($F$15+0.44*$J$15+$Q$15))</f>
        <v>40.243099236894409</v>
      </c>
      <c r="U2" s="6">
        <f>S2/T2</f>
        <v>0.52445776814767686</v>
      </c>
      <c r="V2" s="9">
        <f>100*Q2/(F2+0.44*J2+Q2)</f>
        <v>11.682242990654206</v>
      </c>
      <c r="W2" s="9">
        <f>IF(V2=0,0,S2/V2)</f>
        <v>1.8066569943812811</v>
      </c>
    </row>
    <row r="3" spans="1:40">
      <c r="A3" s="5" t="s">
        <v>81</v>
      </c>
      <c r="B3" s="2">
        <v>12</v>
      </c>
      <c r="C3" s="2">
        <v>187</v>
      </c>
      <c r="D3" s="2">
        <v>202</v>
      </c>
      <c r="E3" s="2">
        <v>75</v>
      </c>
      <c r="F3" s="2">
        <v>164</v>
      </c>
      <c r="G3" s="2">
        <v>21</v>
      </c>
      <c r="H3" s="2">
        <v>62</v>
      </c>
      <c r="I3" s="2">
        <v>18</v>
      </c>
      <c r="J3" s="2">
        <v>20</v>
      </c>
      <c r="K3" s="2">
        <v>10</v>
      </c>
      <c r="L3" s="2">
        <v>32</v>
      </c>
      <c r="M3" s="2">
        <v>42</v>
      </c>
      <c r="N3" s="2">
        <v>42</v>
      </c>
      <c r="O3" s="2">
        <v>8</v>
      </c>
      <c r="P3" s="2">
        <v>2</v>
      </c>
      <c r="Q3" s="2">
        <v>19</v>
      </c>
      <c r="R3" s="2">
        <v>24</v>
      </c>
      <c r="S3" s="9">
        <f t="shared" ref="S3:S13" si="0">100*(N3)/((C3/($C$15/3))*$E$15-E3)</f>
        <v>31.520830695200701</v>
      </c>
      <c r="T3" s="9">
        <f t="shared" ref="T3:T13" si="1">(100*(F3+0.44*J3+Q3)*($C$15/3))/(C3*($F$15+0.44*$J$15+$Q$15))</f>
        <v>37.225621012839596</v>
      </c>
      <c r="U3" s="6">
        <f t="shared" ref="U3:U13" si="2">S3/T3</f>
        <v>0.84675096983147069</v>
      </c>
      <c r="V3" s="9">
        <f t="shared" ref="V3:V13" si="3">100*Q3/(F3+0.44*J3+Q3)</f>
        <v>9.9061522419186652</v>
      </c>
      <c r="W3" s="9">
        <f t="shared" ref="W3:W13" si="4">IF(V3=0,0,S3/V3)</f>
        <v>3.1819449091260497</v>
      </c>
    </row>
    <row r="4" spans="1:40">
      <c r="A4" s="5" t="s">
        <v>90</v>
      </c>
      <c r="B4" s="2">
        <v>12</v>
      </c>
      <c r="C4" s="2">
        <v>174</v>
      </c>
      <c r="D4" s="2">
        <v>140</v>
      </c>
      <c r="E4" s="2">
        <v>63</v>
      </c>
      <c r="F4" s="2">
        <v>96</v>
      </c>
      <c r="G4" s="2">
        <v>0</v>
      </c>
      <c r="H4" s="2">
        <v>0</v>
      </c>
      <c r="I4" s="2">
        <v>8</v>
      </c>
      <c r="J4" s="2">
        <v>12</v>
      </c>
      <c r="K4" s="2">
        <v>15</v>
      </c>
      <c r="L4" s="2">
        <v>82</v>
      </c>
      <c r="M4" s="2">
        <v>97</v>
      </c>
      <c r="N4" s="2">
        <v>42</v>
      </c>
      <c r="O4" s="2">
        <v>10</v>
      </c>
      <c r="P4" s="2">
        <v>3</v>
      </c>
      <c r="Q4" s="2">
        <v>16</v>
      </c>
      <c r="R4" s="2">
        <v>19</v>
      </c>
      <c r="S4" s="9">
        <f t="shared" si="0"/>
        <v>32.11788082888183</v>
      </c>
      <c r="T4" s="9">
        <f t="shared" si="1"/>
        <v>24.46299712512285</v>
      </c>
      <c r="U4" s="6">
        <f t="shared" si="2"/>
        <v>1.3129168378104259</v>
      </c>
      <c r="V4" s="9">
        <f t="shared" si="3"/>
        <v>13.642564802182811</v>
      </c>
      <c r="W4" s="9">
        <f t="shared" si="4"/>
        <v>2.3542406647570382</v>
      </c>
    </row>
    <row r="5" spans="1:40">
      <c r="A5" s="5" t="s">
        <v>98</v>
      </c>
      <c r="B5" s="2">
        <v>12</v>
      </c>
      <c r="C5" s="2">
        <v>147</v>
      </c>
      <c r="D5" s="2">
        <v>107</v>
      </c>
      <c r="E5" s="2">
        <v>39</v>
      </c>
      <c r="F5" s="2">
        <v>93</v>
      </c>
      <c r="G5" s="2">
        <v>10</v>
      </c>
      <c r="H5" s="2">
        <v>46</v>
      </c>
      <c r="I5" s="2">
        <v>10</v>
      </c>
      <c r="J5" s="2">
        <v>17</v>
      </c>
      <c r="K5" s="2">
        <v>21</v>
      </c>
      <c r="L5" s="2">
        <v>62</v>
      </c>
      <c r="M5" s="2">
        <v>83</v>
      </c>
      <c r="N5" s="2">
        <v>13</v>
      </c>
      <c r="O5" s="2">
        <v>9</v>
      </c>
      <c r="P5" s="2">
        <v>4</v>
      </c>
      <c r="Q5" s="2">
        <v>14</v>
      </c>
      <c r="R5" s="2">
        <v>22</v>
      </c>
      <c r="S5" s="9">
        <f t="shared" si="0"/>
        <v>10.424954221127738</v>
      </c>
      <c r="T5" s="9">
        <f t="shared" si="1"/>
        <v>28.264886201394138</v>
      </c>
      <c r="U5" s="6">
        <f t="shared" si="2"/>
        <v>0.36883057468717273</v>
      </c>
      <c r="V5" s="9">
        <f t="shared" si="3"/>
        <v>12.22921034241789</v>
      </c>
      <c r="W5" s="9">
        <f t="shared" si="4"/>
        <v>0.85246339945335958</v>
      </c>
    </row>
    <row r="6" spans="1:40">
      <c r="A6" s="5" t="s">
        <v>97</v>
      </c>
      <c r="B6" s="2">
        <v>11</v>
      </c>
      <c r="C6" s="2">
        <v>94</v>
      </c>
      <c r="D6" s="2">
        <v>91</v>
      </c>
      <c r="E6" s="2">
        <v>38</v>
      </c>
      <c r="F6" s="2">
        <v>76</v>
      </c>
      <c r="G6" s="2">
        <v>9</v>
      </c>
      <c r="H6" s="2">
        <v>27</v>
      </c>
      <c r="I6" s="2">
        <v>3</v>
      </c>
      <c r="J6" s="2">
        <v>7</v>
      </c>
      <c r="K6" s="2">
        <v>9</v>
      </c>
      <c r="L6" s="2">
        <v>25</v>
      </c>
      <c r="M6" s="2">
        <v>34</v>
      </c>
      <c r="N6" s="2">
        <v>3</v>
      </c>
      <c r="O6" s="2">
        <v>5</v>
      </c>
      <c r="P6" s="2">
        <v>0</v>
      </c>
      <c r="Q6" s="2">
        <v>9</v>
      </c>
      <c r="R6" s="2">
        <v>20</v>
      </c>
      <c r="S6" s="9">
        <f t="shared" si="0"/>
        <v>4.4991396470866079</v>
      </c>
      <c r="T6" s="9">
        <f t="shared" si="1"/>
        <v>34.008259638677295</v>
      </c>
      <c r="U6" s="6">
        <f t="shared" si="2"/>
        <v>0.13229549806099974</v>
      </c>
      <c r="V6" s="9">
        <f t="shared" si="3"/>
        <v>10.217983651226158</v>
      </c>
      <c r="W6" s="9">
        <f t="shared" si="4"/>
        <v>0.44031580012820937</v>
      </c>
    </row>
    <row r="7" spans="1:40">
      <c r="A7" s="5" t="s">
        <v>100</v>
      </c>
      <c r="B7" s="2">
        <v>10</v>
      </c>
      <c r="C7" s="2">
        <v>94</v>
      </c>
      <c r="D7" s="2">
        <v>78</v>
      </c>
      <c r="E7" s="2">
        <v>28</v>
      </c>
      <c r="F7" s="2">
        <v>79</v>
      </c>
      <c r="G7" s="2">
        <v>7</v>
      </c>
      <c r="H7" s="2">
        <v>25</v>
      </c>
      <c r="I7" s="2">
        <v>8</v>
      </c>
      <c r="J7" s="2">
        <v>11</v>
      </c>
      <c r="K7" s="2">
        <v>4</v>
      </c>
      <c r="L7" s="2">
        <v>34</v>
      </c>
      <c r="M7" s="2">
        <v>38</v>
      </c>
      <c r="N7" s="2">
        <v>31</v>
      </c>
      <c r="O7" s="2">
        <v>10</v>
      </c>
      <c r="P7" s="2">
        <v>2</v>
      </c>
      <c r="Q7" s="2">
        <v>7</v>
      </c>
      <c r="R7" s="2">
        <v>23</v>
      </c>
      <c r="S7" s="9">
        <f t="shared" si="0"/>
        <v>40.428060086844262</v>
      </c>
      <c r="T7" s="9">
        <f t="shared" si="1"/>
        <v>35.073913551060912</v>
      </c>
      <c r="U7" s="6">
        <f t="shared" si="2"/>
        <v>1.1526532397928373</v>
      </c>
      <c r="V7" s="9">
        <f t="shared" si="3"/>
        <v>7.7058564509026857</v>
      </c>
      <c r="W7" s="9">
        <f t="shared" si="4"/>
        <v>5.2464071118413331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69</v>
      </c>
      <c r="C15" s="2">
        <f t="shared" ref="C15:R15" si="5">SUM(C2:C13)</f>
        <v>889</v>
      </c>
      <c r="D15" s="2">
        <f t="shared" si="5"/>
        <v>853</v>
      </c>
      <c r="E15" s="2">
        <f t="shared" si="5"/>
        <v>330</v>
      </c>
      <c r="F15" s="2">
        <f t="shared" si="5"/>
        <v>686</v>
      </c>
      <c r="G15" s="2">
        <f t="shared" si="5"/>
        <v>71</v>
      </c>
      <c r="H15" s="2">
        <f t="shared" si="5"/>
        <v>222</v>
      </c>
      <c r="I15" s="2">
        <f t="shared" si="5"/>
        <v>67</v>
      </c>
      <c r="J15" s="2">
        <f t="shared" si="5"/>
        <v>92</v>
      </c>
      <c r="K15" s="2">
        <f t="shared" si="5"/>
        <v>64</v>
      </c>
      <c r="L15" s="2">
        <f t="shared" si="5"/>
        <v>279</v>
      </c>
      <c r="M15" s="2">
        <f t="shared" si="5"/>
        <v>343</v>
      </c>
      <c r="N15" s="2">
        <f t="shared" si="5"/>
        <v>158</v>
      </c>
      <c r="O15" s="2">
        <f t="shared" si="5"/>
        <v>60</v>
      </c>
      <c r="P15" s="2">
        <f t="shared" si="5"/>
        <v>14</v>
      </c>
      <c r="Q15" s="2">
        <f t="shared" si="5"/>
        <v>90</v>
      </c>
      <c r="R15" s="2">
        <f t="shared" si="5"/>
        <v>148</v>
      </c>
    </row>
    <row r="21" spans="3:4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71</v>
      </c>
      <c r="B2" s="2">
        <v>12</v>
      </c>
      <c r="C2" s="2">
        <v>190</v>
      </c>
      <c r="D2" s="2">
        <v>257</v>
      </c>
      <c r="E2" s="2">
        <v>89</v>
      </c>
      <c r="F2" s="2">
        <v>187</v>
      </c>
      <c r="G2" s="2">
        <v>30</v>
      </c>
      <c r="H2" s="2">
        <v>80</v>
      </c>
      <c r="I2" s="2">
        <v>25</v>
      </c>
      <c r="J2" s="2">
        <v>29</v>
      </c>
      <c r="K2" s="2">
        <v>11</v>
      </c>
      <c r="L2" s="2">
        <v>43</v>
      </c>
      <c r="M2" s="2">
        <v>54</v>
      </c>
      <c r="N2" s="2">
        <v>35</v>
      </c>
      <c r="O2" s="2">
        <v>12</v>
      </c>
      <c r="P2" s="2">
        <v>8</v>
      </c>
      <c r="Q2" s="2">
        <v>20</v>
      </c>
      <c r="R2" s="2">
        <v>22</v>
      </c>
      <c r="S2" s="9">
        <f>100*(N2)/((C2/($C$15/3))*$E$15-E2)</f>
        <v>27.717017686394602</v>
      </c>
      <c r="T2" s="9">
        <f>(100*(F2+0.44*J2+Q2)*($C$15/3))/(C2*($F$15+0.44*$J$15+$Q$15))</f>
        <v>39.82408742183388</v>
      </c>
      <c r="U2" s="6">
        <f>S2/T2</f>
        <v>0.69598626059660873</v>
      </c>
      <c r="V2" s="9">
        <f>100*Q2/(F2+0.44*J2+Q2)</f>
        <v>9.1008372770294876</v>
      </c>
      <c r="W2" s="9">
        <f>IF(V2=0,0,S2/V2)</f>
        <v>3.0455459033810386</v>
      </c>
    </row>
    <row r="3" spans="1:40">
      <c r="A3" s="5" t="s">
        <v>75</v>
      </c>
      <c r="B3" s="2">
        <v>12</v>
      </c>
      <c r="C3" s="2">
        <v>203</v>
      </c>
      <c r="D3" s="2">
        <v>248</v>
      </c>
      <c r="E3" s="2">
        <v>90</v>
      </c>
      <c r="F3" s="2">
        <v>181</v>
      </c>
      <c r="G3" s="2">
        <v>13</v>
      </c>
      <c r="H3" s="2">
        <v>43</v>
      </c>
      <c r="I3" s="2">
        <v>31</v>
      </c>
      <c r="J3" s="2">
        <v>35</v>
      </c>
      <c r="K3" s="2">
        <v>17</v>
      </c>
      <c r="L3" s="2">
        <v>99</v>
      </c>
      <c r="M3" s="2">
        <v>116</v>
      </c>
      <c r="N3" s="2">
        <v>33</v>
      </c>
      <c r="O3" s="2">
        <v>11</v>
      </c>
      <c r="P3" s="2">
        <v>7</v>
      </c>
      <c r="Q3" s="2">
        <v>22</v>
      </c>
      <c r="R3" s="2">
        <v>23</v>
      </c>
      <c r="S3" s="9">
        <f t="shared" ref="S3:S13" si="0">100*(N3)/((C3/($C$15/3))*$E$15-E3)</f>
        <v>23.570479526512866</v>
      </c>
      <c r="T3" s="9">
        <f t="shared" ref="T3:T13" si="1">(100*(F3+0.44*J3+Q3)*($C$15/3))/(C3*($F$15+0.44*$J$15+$Q$15))</f>
        <v>37.043105054515785</v>
      </c>
      <c r="U3" s="6">
        <f t="shared" ref="U3:U13" si="2">S3/T3</f>
        <v>0.63629869828202967</v>
      </c>
      <c r="V3" s="9">
        <f t="shared" ref="V3:V13" si="3">100*Q3/(F3+0.44*J3+Q3)</f>
        <v>10.073260073260073</v>
      </c>
      <c r="W3" s="9">
        <f t="shared" ref="W3:W13" si="4">IF(V3=0,0,S3/V3)</f>
        <v>2.3399057857229137</v>
      </c>
    </row>
    <row r="4" spans="1:40">
      <c r="A4" s="5" t="s">
        <v>88</v>
      </c>
      <c r="B4" s="2">
        <v>12</v>
      </c>
      <c r="C4" s="2">
        <v>154</v>
      </c>
      <c r="D4" s="2">
        <v>170</v>
      </c>
      <c r="E4" s="2">
        <v>63</v>
      </c>
      <c r="F4" s="2">
        <v>151</v>
      </c>
      <c r="G4" s="2">
        <v>23</v>
      </c>
      <c r="H4" s="2">
        <v>66</v>
      </c>
      <c r="I4" s="2">
        <v>11</v>
      </c>
      <c r="J4" s="2">
        <v>14</v>
      </c>
      <c r="K4" s="2">
        <v>10</v>
      </c>
      <c r="L4" s="2">
        <v>25</v>
      </c>
      <c r="M4" s="2">
        <v>35</v>
      </c>
      <c r="N4" s="2">
        <v>27</v>
      </c>
      <c r="O4" s="2">
        <v>15</v>
      </c>
      <c r="P4" s="2">
        <v>1</v>
      </c>
      <c r="Q4" s="2">
        <v>17</v>
      </c>
      <c r="R4" s="2">
        <v>29</v>
      </c>
      <c r="S4" s="9">
        <f t="shared" si="0"/>
        <v>24.218062676334075</v>
      </c>
      <c r="T4" s="9">
        <f t="shared" si="1"/>
        <v>38.938434089356392</v>
      </c>
      <c r="U4" s="6">
        <f t="shared" si="2"/>
        <v>0.6219577967814055</v>
      </c>
      <c r="V4" s="9">
        <f t="shared" si="3"/>
        <v>9.7611391823610472</v>
      </c>
      <c r="W4" s="9">
        <f t="shared" si="4"/>
        <v>2.4810692915943191</v>
      </c>
    </row>
    <row r="5" spans="1:40">
      <c r="A5" s="5" t="s">
        <v>101</v>
      </c>
      <c r="B5" s="2">
        <v>12</v>
      </c>
      <c r="C5" s="2">
        <v>177</v>
      </c>
      <c r="D5" s="2">
        <v>111</v>
      </c>
      <c r="E5" s="2">
        <v>38</v>
      </c>
      <c r="F5" s="2">
        <v>98</v>
      </c>
      <c r="G5" s="2">
        <v>11</v>
      </c>
      <c r="H5" s="2">
        <v>40</v>
      </c>
      <c r="I5" s="2">
        <v>14</v>
      </c>
      <c r="J5" s="2">
        <v>19</v>
      </c>
      <c r="K5" s="2">
        <v>20</v>
      </c>
      <c r="L5" s="2">
        <v>40</v>
      </c>
      <c r="M5" s="2">
        <v>60</v>
      </c>
      <c r="N5" s="2">
        <v>48</v>
      </c>
      <c r="O5" s="2">
        <v>21</v>
      </c>
      <c r="P5" s="2">
        <v>6</v>
      </c>
      <c r="Q5" s="2">
        <v>7</v>
      </c>
      <c r="R5" s="2">
        <v>28</v>
      </c>
      <c r="S5" s="9">
        <f t="shared" si="0"/>
        <v>29.529959286719979</v>
      </c>
      <c r="T5" s="9">
        <f t="shared" si="1"/>
        <v>22.051460466539435</v>
      </c>
      <c r="U5" s="6">
        <f t="shared" si="2"/>
        <v>1.3391384816224898</v>
      </c>
      <c r="V5" s="9">
        <f t="shared" si="3"/>
        <v>6.1750176429075516</v>
      </c>
      <c r="W5" s="9">
        <f t="shared" si="4"/>
        <v>4.7821659782036807</v>
      </c>
    </row>
    <row r="6" spans="1:40">
      <c r="A6" s="5" t="s">
        <v>104</v>
      </c>
      <c r="B6" s="2">
        <v>12</v>
      </c>
      <c r="C6" s="2">
        <v>97</v>
      </c>
      <c r="D6" s="2">
        <v>79</v>
      </c>
      <c r="E6" s="2">
        <v>35</v>
      </c>
      <c r="F6" s="2">
        <v>65</v>
      </c>
      <c r="G6" s="2">
        <v>2</v>
      </c>
      <c r="H6" s="2">
        <v>15</v>
      </c>
      <c r="I6" s="2">
        <v>4</v>
      </c>
      <c r="J6" s="2">
        <v>9</v>
      </c>
      <c r="K6" s="2">
        <v>13</v>
      </c>
      <c r="L6" s="2">
        <v>44</v>
      </c>
      <c r="M6" s="2">
        <v>57</v>
      </c>
      <c r="N6" s="2">
        <v>9</v>
      </c>
      <c r="O6" s="2">
        <v>5</v>
      </c>
      <c r="P6" s="2">
        <v>7</v>
      </c>
      <c r="Q6" s="2">
        <v>13</v>
      </c>
      <c r="R6" s="2">
        <v>27</v>
      </c>
      <c r="S6" s="9">
        <f t="shared" si="0"/>
        <v>12.015352197471405</v>
      </c>
      <c r="T6" s="9">
        <f t="shared" si="1"/>
        <v>29.092497296383591</v>
      </c>
      <c r="U6" s="6">
        <f t="shared" si="2"/>
        <v>0.4130051839504682</v>
      </c>
      <c r="V6" s="9">
        <f t="shared" si="3"/>
        <v>15.86139580283065</v>
      </c>
      <c r="W6" s="9">
        <f t="shared" si="4"/>
        <v>0.75752174315750487</v>
      </c>
    </row>
    <row r="7" spans="1:40">
      <c r="A7" s="5" t="s">
        <v>111</v>
      </c>
      <c r="B7" s="2">
        <v>12</v>
      </c>
      <c r="C7" s="2">
        <v>66</v>
      </c>
      <c r="D7" s="2">
        <v>56</v>
      </c>
      <c r="E7" s="2">
        <v>20</v>
      </c>
      <c r="F7" s="2">
        <v>45</v>
      </c>
      <c r="G7" s="2">
        <v>2</v>
      </c>
      <c r="H7" s="2">
        <v>13</v>
      </c>
      <c r="I7" s="2">
        <v>7</v>
      </c>
      <c r="J7" s="2">
        <v>7</v>
      </c>
      <c r="K7" s="2">
        <v>10</v>
      </c>
      <c r="L7" s="2">
        <v>24</v>
      </c>
      <c r="M7" s="2">
        <v>34</v>
      </c>
      <c r="N7" s="2">
        <v>3</v>
      </c>
      <c r="O7" s="2">
        <v>2</v>
      </c>
      <c r="P7" s="2">
        <v>3</v>
      </c>
      <c r="Q7" s="2">
        <v>3</v>
      </c>
      <c r="R7" s="2">
        <v>15</v>
      </c>
      <c r="S7" s="9">
        <f t="shared" si="0"/>
        <v>5.4764354805515545</v>
      </c>
      <c r="T7" s="9">
        <f t="shared" si="1"/>
        <v>26.647577884302311</v>
      </c>
      <c r="U7" s="6">
        <f t="shared" si="2"/>
        <v>0.20551344307272446</v>
      </c>
      <c r="V7" s="9">
        <f t="shared" si="3"/>
        <v>5.8731401722787782</v>
      </c>
      <c r="W7" s="9">
        <f t="shared" si="4"/>
        <v>0.93245441448857802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72</v>
      </c>
      <c r="C15" s="2">
        <f t="shared" ref="C15:R15" si="5">SUM(C2:C13)</f>
        <v>887</v>
      </c>
      <c r="D15" s="2">
        <f t="shared" si="5"/>
        <v>921</v>
      </c>
      <c r="E15" s="2">
        <f t="shared" si="5"/>
        <v>335</v>
      </c>
      <c r="F15" s="2">
        <f t="shared" si="5"/>
        <v>727</v>
      </c>
      <c r="G15" s="2">
        <f t="shared" si="5"/>
        <v>81</v>
      </c>
      <c r="H15" s="2">
        <f t="shared" si="5"/>
        <v>257</v>
      </c>
      <c r="I15" s="2">
        <f t="shared" si="5"/>
        <v>92</v>
      </c>
      <c r="J15" s="2">
        <f t="shared" si="5"/>
        <v>113</v>
      </c>
      <c r="K15" s="2">
        <f t="shared" si="5"/>
        <v>81</v>
      </c>
      <c r="L15" s="2">
        <f t="shared" si="5"/>
        <v>275</v>
      </c>
      <c r="M15" s="2">
        <f t="shared" si="5"/>
        <v>356</v>
      </c>
      <c r="N15" s="2">
        <f t="shared" si="5"/>
        <v>155</v>
      </c>
      <c r="O15" s="2">
        <f t="shared" si="5"/>
        <v>66</v>
      </c>
      <c r="P15" s="2">
        <f t="shared" si="5"/>
        <v>32</v>
      </c>
      <c r="Q15" s="2">
        <f t="shared" si="5"/>
        <v>82</v>
      </c>
      <c r="R15" s="2">
        <f t="shared" si="5"/>
        <v>144</v>
      </c>
    </row>
    <row r="21" spans="3:4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2" t="s">
        <v>69</v>
      </c>
      <c r="B2" s="2">
        <v>12</v>
      </c>
      <c r="C2" s="2">
        <v>266</v>
      </c>
      <c r="D2" s="2">
        <v>292</v>
      </c>
      <c r="E2" s="2">
        <v>105</v>
      </c>
      <c r="F2" s="2">
        <v>208</v>
      </c>
      <c r="G2" s="2">
        <v>37</v>
      </c>
      <c r="H2" s="2">
        <v>84</v>
      </c>
      <c r="I2" s="2">
        <v>22</v>
      </c>
      <c r="J2" s="2">
        <v>23</v>
      </c>
      <c r="K2" s="2">
        <v>9</v>
      </c>
      <c r="L2" s="2">
        <v>60</v>
      </c>
      <c r="M2" s="2">
        <v>69</v>
      </c>
      <c r="N2" s="2">
        <v>77</v>
      </c>
      <c r="O2" s="2">
        <v>17</v>
      </c>
      <c r="P2" s="2">
        <v>6</v>
      </c>
      <c r="Q2" s="2">
        <v>32</v>
      </c>
      <c r="R2" s="2">
        <v>31</v>
      </c>
      <c r="S2" s="9">
        <f>100*(N2)/((C2/($C$15/3))*$E$15-E2)</f>
        <v>40.74074074074074</v>
      </c>
      <c r="T2" s="9">
        <f>(100*(F2+0.44*J2+Q2)*($C$15/3))/(C2*($F$15+0.44*$J$15+$Q$15))</f>
        <v>34.892813213846424</v>
      </c>
      <c r="U2" s="6">
        <f>S2/T2</f>
        <v>1.167596905731112</v>
      </c>
      <c r="V2" s="9">
        <f>100*Q2/(F2+0.44*J2+Q2)</f>
        <v>12.793858947705102</v>
      </c>
      <c r="W2" s="9">
        <f>IF(V2=0,0,S2/V2)</f>
        <v>3.1843981481481478</v>
      </c>
    </row>
    <row r="3" spans="1:40">
      <c r="A3" s="2" t="s">
        <v>85</v>
      </c>
      <c r="B3" s="2">
        <v>12</v>
      </c>
      <c r="C3" s="2">
        <v>198</v>
      </c>
      <c r="D3" s="2">
        <v>198</v>
      </c>
      <c r="E3" s="2">
        <v>79</v>
      </c>
      <c r="F3" s="2">
        <v>138</v>
      </c>
      <c r="G3" s="2">
        <v>0</v>
      </c>
      <c r="H3" s="2">
        <v>6</v>
      </c>
      <c r="I3" s="2">
        <v>24</v>
      </c>
      <c r="J3" s="2">
        <v>36</v>
      </c>
      <c r="K3" s="2">
        <v>18</v>
      </c>
      <c r="L3" s="2">
        <v>86</v>
      </c>
      <c r="M3" s="2">
        <v>104</v>
      </c>
      <c r="N3" s="2">
        <v>17</v>
      </c>
      <c r="O3" s="2">
        <v>4</v>
      </c>
      <c r="P3" s="2">
        <v>13</v>
      </c>
      <c r="Q3" s="2">
        <v>20</v>
      </c>
      <c r="R3" s="2">
        <v>29</v>
      </c>
      <c r="S3" s="9">
        <f t="shared" ref="S3:S13" si="0">100*(N3)/((C3/($C$15/3))*$E$15-E3)</f>
        <v>12.15656755739556</v>
      </c>
      <c r="T3" s="9">
        <f t="shared" ref="T3:T13" si="1">(100*(F3+0.44*J3+Q3)*($C$15/3))/(C3*($F$15+0.44*$J$15+$Q$15))</f>
        <v>32.580198447357127</v>
      </c>
      <c r="U3" s="6">
        <f t="shared" ref="U3:U13" si="2">S3/T3</f>
        <v>0.37312748653259625</v>
      </c>
      <c r="V3" s="9">
        <f t="shared" ref="V3:V13" si="3">100*Q3/(F3+0.44*J3+Q3)</f>
        <v>11.50483202945237</v>
      </c>
      <c r="W3" s="9">
        <f t="shared" ref="W3:W13" si="4">IF(V3=0,0,S3/V3)</f>
        <v>1.056648852088822</v>
      </c>
    </row>
    <row r="4" spans="1:40">
      <c r="A4" s="2" t="s">
        <v>74</v>
      </c>
      <c r="B4" s="2">
        <v>9</v>
      </c>
      <c r="C4" s="2">
        <v>161</v>
      </c>
      <c r="D4" s="2">
        <v>183</v>
      </c>
      <c r="E4" s="2">
        <v>70</v>
      </c>
      <c r="F4" s="2">
        <v>145</v>
      </c>
      <c r="G4" s="2">
        <v>20</v>
      </c>
      <c r="H4" s="2">
        <v>50</v>
      </c>
      <c r="I4" s="2">
        <v>12</v>
      </c>
      <c r="J4" s="2">
        <v>17</v>
      </c>
      <c r="K4" s="2">
        <v>7</v>
      </c>
      <c r="L4" s="2">
        <v>34</v>
      </c>
      <c r="M4" s="2">
        <v>41</v>
      </c>
      <c r="N4" s="2">
        <v>6</v>
      </c>
      <c r="O4" s="2">
        <v>1</v>
      </c>
      <c r="P4" s="2">
        <v>3</v>
      </c>
      <c r="Q4" s="2">
        <v>7</v>
      </c>
      <c r="R4" s="2">
        <v>35</v>
      </c>
      <c r="S4" s="9">
        <f t="shared" si="0"/>
        <v>5.5582642613359354</v>
      </c>
      <c r="T4" s="9">
        <f t="shared" si="1"/>
        <v>36.757803619667889</v>
      </c>
      <c r="U4" s="6">
        <f t="shared" si="2"/>
        <v>0.15121317690379876</v>
      </c>
      <c r="V4" s="9">
        <f t="shared" si="3"/>
        <v>4.3892651116127421</v>
      </c>
      <c r="W4" s="9">
        <f t="shared" si="4"/>
        <v>1.2663314062826498</v>
      </c>
    </row>
    <row r="5" spans="1:40">
      <c r="A5" s="2" t="s">
        <v>94</v>
      </c>
      <c r="B5" s="2">
        <v>8</v>
      </c>
      <c r="C5" s="2">
        <v>84</v>
      </c>
      <c r="D5" s="2">
        <v>79</v>
      </c>
      <c r="E5" s="2">
        <v>30</v>
      </c>
      <c r="F5" s="2">
        <v>77</v>
      </c>
      <c r="G5" s="2">
        <v>7</v>
      </c>
      <c r="H5" s="2">
        <v>26</v>
      </c>
      <c r="I5" s="2">
        <v>7</v>
      </c>
      <c r="J5" s="2">
        <v>7</v>
      </c>
      <c r="K5" s="2">
        <v>14</v>
      </c>
      <c r="L5" s="2">
        <v>36</v>
      </c>
      <c r="M5" s="2">
        <v>50</v>
      </c>
      <c r="N5" s="2">
        <v>12</v>
      </c>
      <c r="O5" s="2">
        <v>2</v>
      </c>
      <c r="P5" s="2">
        <v>3</v>
      </c>
      <c r="Q5" s="2">
        <v>5</v>
      </c>
      <c r="R5" s="2">
        <v>12</v>
      </c>
      <c r="S5" s="9">
        <f t="shared" si="0"/>
        <v>19.095477386934675</v>
      </c>
      <c r="T5" s="9">
        <f t="shared" si="1"/>
        <v>37.585246026205432</v>
      </c>
      <c r="U5" s="6">
        <f t="shared" si="2"/>
        <v>0.50805779942535967</v>
      </c>
      <c r="V5" s="9">
        <f t="shared" si="3"/>
        <v>5.8768218147625761</v>
      </c>
      <c r="W5" s="9">
        <f t="shared" si="4"/>
        <v>3.2492864321608046</v>
      </c>
    </row>
    <row r="6" spans="1:40">
      <c r="A6" s="2" t="s">
        <v>112</v>
      </c>
      <c r="B6" s="2">
        <v>11</v>
      </c>
      <c r="C6" s="2">
        <v>107</v>
      </c>
      <c r="D6" s="2">
        <v>47</v>
      </c>
      <c r="E6" s="2">
        <v>17</v>
      </c>
      <c r="F6" s="2">
        <v>57</v>
      </c>
      <c r="G6" s="2">
        <v>7</v>
      </c>
      <c r="H6" s="2">
        <v>27</v>
      </c>
      <c r="I6" s="2">
        <v>3</v>
      </c>
      <c r="J6" s="2">
        <v>3</v>
      </c>
      <c r="K6" s="2">
        <v>13</v>
      </c>
      <c r="L6" s="2">
        <v>22</v>
      </c>
      <c r="M6" s="2">
        <v>35</v>
      </c>
      <c r="N6" s="2">
        <v>5</v>
      </c>
      <c r="O6" s="2">
        <v>13</v>
      </c>
      <c r="P6" s="2">
        <v>2</v>
      </c>
      <c r="Q6" s="2">
        <v>11</v>
      </c>
      <c r="R6" s="2">
        <v>23</v>
      </c>
      <c r="S6" s="9">
        <f t="shared" si="0"/>
        <v>4.9376299376299375</v>
      </c>
      <c r="T6" s="9">
        <f t="shared" si="1"/>
        <v>24.040526714941311</v>
      </c>
      <c r="U6" s="6">
        <f t="shared" si="2"/>
        <v>0.20538776026738112</v>
      </c>
      <c r="V6" s="9">
        <f t="shared" si="3"/>
        <v>15.868436237738027</v>
      </c>
      <c r="W6" s="9">
        <f t="shared" si="4"/>
        <v>0.31116046116046114</v>
      </c>
    </row>
    <row r="7" spans="1:40">
      <c r="A7" s="2" t="s">
        <v>109</v>
      </c>
      <c r="B7" s="2">
        <v>8</v>
      </c>
      <c r="C7" s="2">
        <v>58</v>
      </c>
      <c r="D7" s="2">
        <v>42</v>
      </c>
      <c r="E7" s="2">
        <v>17</v>
      </c>
      <c r="F7" s="2">
        <v>41</v>
      </c>
      <c r="G7" s="2">
        <v>6</v>
      </c>
      <c r="H7" s="2">
        <v>23</v>
      </c>
      <c r="I7" s="2">
        <v>1</v>
      </c>
      <c r="J7" s="2">
        <v>1</v>
      </c>
      <c r="K7" s="2">
        <v>1</v>
      </c>
      <c r="L7" s="2">
        <v>7</v>
      </c>
      <c r="M7" s="2">
        <v>8</v>
      </c>
      <c r="N7" s="2">
        <v>12</v>
      </c>
      <c r="O7" s="2">
        <v>6</v>
      </c>
      <c r="P7" s="2">
        <v>0</v>
      </c>
      <c r="Q7" s="2">
        <v>2</v>
      </c>
      <c r="R7" s="2">
        <v>18</v>
      </c>
      <c r="S7" s="9">
        <f t="shared" si="0"/>
        <v>25.474860335195537</v>
      </c>
      <c r="T7" s="9">
        <f t="shared" si="1"/>
        <v>27.792718281330064</v>
      </c>
      <c r="U7" s="6">
        <f t="shared" si="2"/>
        <v>0.91660197024730883</v>
      </c>
      <c r="V7" s="9">
        <f t="shared" si="3"/>
        <v>4.6040515653775325</v>
      </c>
      <c r="W7" s="9">
        <f t="shared" si="4"/>
        <v>5.5331396648044704</v>
      </c>
    </row>
    <row r="8" spans="1:40">
      <c r="A8" s="2" t="s">
        <v>117</v>
      </c>
      <c r="B8" s="2">
        <v>1</v>
      </c>
      <c r="C8" s="2">
        <v>10</v>
      </c>
      <c r="D8" s="2">
        <v>13</v>
      </c>
      <c r="E8" s="2">
        <v>6</v>
      </c>
      <c r="F8" s="2">
        <v>9</v>
      </c>
      <c r="G8" s="2">
        <v>0</v>
      </c>
      <c r="H8" s="2">
        <v>0</v>
      </c>
      <c r="I8" s="2">
        <v>1</v>
      </c>
      <c r="J8" s="2">
        <v>2</v>
      </c>
      <c r="K8" s="2">
        <v>2</v>
      </c>
      <c r="L8" s="2">
        <v>6</v>
      </c>
      <c r="M8" s="2">
        <v>8</v>
      </c>
      <c r="N8" s="2">
        <v>0</v>
      </c>
      <c r="O8" s="2">
        <v>0</v>
      </c>
      <c r="P8" s="2">
        <v>0</v>
      </c>
      <c r="Q8" s="2">
        <v>1</v>
      </c>
      <c r="R8" s="2">
        <v>4</v>
      </c>
      <c r="S8" s="9">
        <f t="shared" si="0"/>
        <v>0</v>
      </c>
      <c r="T8" s="9">
        <f t="shared" si="1"/>
        <v>40.373657790631967</v>
      </c>
      <c r="U8" s="6">
        <f t="shared" si="2"/>
        <v>0</v>
      </c>
      <c r="V8" s="9">
        <f t="shared" si="3"/>
        <v>9.1911764705882355</v>
      </c>
      <c r="W8" s="9">
        <f t="shared" si="4"/>
        <v>0</v>
      </c>
    </row>
    <row r="9" spans="1:40">
      <c r="A9" s="2" t="s">
        <v>116</v>
      </c>
      <c r="B9" s="2">
        <v>2</v>
      </c>
      <c r="C9" s="2">
        <v>9</v>
      </c>
      <c r="D9" s="2">
        <v>11</v>
      </c>
      <c r="E9" s="2">
        <v>5</v>
      </c>
      <c r="F9" s="2">
        <v>9</v>
      </c>
      <c r="G9" s="2">
        <v>1</v>
      </c>
      <c r="H9" s="2">
        <v>2</v>
      </c>
      <c r="I9" s="2">
        <v>0</v>
      </c>
      <c r="J9" s="2">
        <v>0</v>
      </c>
      <c r="K9" s="2">
        <v>0</v>
      </c>
      <c r="L9" s="2">
        <v>1</v>
      </c>
      <c r="M9" s="2">
        <v>1</v>
      </c>
      <c r="N9" s="2">
        <v>1</v>
      </c>
      <c r="O9" s="2">
        <v>0</v>
      </c>
      <c r="P9" s="2">
        <v>0</v>
      </c>
      <c r="Q9" s="2">
        <v>1</v>
      </c>
      <c r="R9" s="2">
        <v>3</v>
      </c>
      <c r="S9" s="9">
        <f t="shared" si="0"/>
        <v>20.212765957446816</v>
      </c>
      <c r="T9" s="9">
        <f t="shared" si="1"/>
        <v>41.231268168537547</v>
      </c>
      <c r="U9" s="6">
        <f t="shared" si="2"/>
        <v>0.49022906292440033</v>
      </c>
      <c r="V9" s="9">
        <f t="shared" si="3"/>
        <v>10</v>
      </c>
      <c r="W9" s="9">
        <f t="shared" si="4"/>
        <v>2.0212765957446814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63</v>
      </c>
      <c r="C15" s="2">
        <f t="shared" ref="C15:R15" si="5">SUM(C2:C13)</f>
        <v>893</v>
      </c>
      <c r="D15" s="2">
        <f t="shared" si="5"/>
        <v>865</v>
      </c>
      <c r="E15" s="2">
        <f t="shared" si="5"/>
        <v>329</v>
      </c>
      <c r="F15" s="2">
        <f t="shared" si="5"/>
        <v>684</v>
      </c>
      <c r="G15" s="2">
        <f t="shared" si="5"/>
        <v>78</v>
      </c>
      <c r="H15" s="2">
        <f t="shared" si="5"/>
        <v>218</v>
      </c>
      <c r="I15" s="2">
        <f t="shared" si="5"/>
        <v>70</v>
      </c>
      <c r="J15" s="2">
        <f t="shared" si="5"/>
        <v>89</v>
      </c>
      <c r="K15" s="2">
        <f t="shared" si="5"/>
        <v>64</v>
      </c>
      <c r="L15" s="2">
        <f t="shared" si="5"/>
        <v>252</v>
      </c>
      <c r="M15" s="2">
        <f t="shared" si="5"/>
        <v>316</v>
      </c>
      <c r="N15" s="2">
        <f t="shared" si="5"/>
        <v>130</v>
      </c>
      <c r="O15" s="2">
        <f t="shared" si="5"/>
        <v>43</v>
      </c>
      <c r="P15" s="2">
        <f t="shared" si="5"/>
        <v>27</v>
      </c>
      <c r="Q15" s="2">
        <f t="shared" si="5"/>
        <v>79</v>
      </c>
      <c r="R15" s="2">
        <f t="shared" si="5"/>
        <v>155</v>
      </c>
    </row>
    <row r="21" spans="3:4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  <col min="23" max="23" width="13.125" bestFit="1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2" t="s">
        <v>80</v>
      </c>
      <c r="B2" s="2">
        <v>12</v>
      </c>
      <c r="C2" s="2">
        <v>214</v>
      </c>
      <c r="D2" s="2">
        <v>214</v>
      </c>
      <c r="E2" s="2">
        <v>89</v>
      </c>
      <c r="F2" s="2">
        <v>174</v>
      </c>
      <c r="G2" s="2">
        <v>22</v>
      </c>
      <c r="H2" s="2">
        <v>59</v>
      </c>
      <c r="I2" s="2">
        <v>8</v>
      </c>
      <c r="J2" s="2">
        <v>14</v>
      </c>
      <c r="K2" s="2">
        <v>6</v>
      </c>
      <c r="L2" s="2">
        <v>28</v>
      </c>
      <c r="M2" s="2">
        <v>34</v>
      </c>
      <c r="N2" s="2">
        <v>26</v>
      </c>
      <c r="O2" s="2">
        <v>12</v>
      </c>
      <c r="P2" s="2">
        <v>2</v>
      </c>
      <c r="Q2" s="2">
        <v>11</v>
      </c>
      <c r="R2" s="2">
        <v>30</v>
      </c>
      <c r="S2" s="9">
        <f>100*(N2)/((C2/($C$15/3))*$E$15-E2)</f>
        <v>18.290668868703548</v>
      </c>
      <c r="T2" s="9">
        <f>(100*(F2+0.44*J2+Q2)*($C$15/3))/(C2*($F$15+0.44*$J$15+$Q$15))</f>
        <v>32.320482980541726</v>
      </c>
      <c r="U2" s="6">
        <f>S2/T2</f>
        <v>0.56591570366430755</v>
      </c>
      <c r="V2" s="9">
        <f>100*Q2/(F2+0.44*J2+Q2)</f>
        <v>5.7543419125340032</v>
      </c>
      <c r="W2" s="9">
        <f>IF(V2=0,0,S2/V2)</f>
        <v>3.1785856917648818</v>
      </c>
    </row>
    <row r="3" spans="1:40">
      <c r="A3" s="2" t="s">
        <v>82</v>
      </c>
      <c r="B3" s="2">
        <v>12</v>
      </c>
      <c r="C3" s="2">
        <v>213</v>
      </c>
      <c r="D3" s="2">
        <v>191</v>
      </c>
      <c r="E3" s="2">
        <v>75</v>
      </c>
      <c r="F3" s="2">
        <v>164</v>
      </c>
      <c r="G3" s="2">
        <v>12</v>
      </c>
      <c r="H3" s="2">
        <v>55</v>
      </c>
      <c r="I3" s="2">
        <v>15</v>
      </c>
      <c r="J3" s="2">
        <v>17</v>
      </c>
      <c r="K3" s="2">
        <v>6</v>
      </c>
      <c r="L3" s="2">
        <v>45</v>
      </c>
      <c r="M3" s="2">
        <v>51</v>
      </c>
      <c r="N3" s="2">
        <v>40</v>
      </c>
      <c r="O3" s="2">
        <v>12</v>
      </c>
      <c r="P3" s="2">
        <v>12</v>
      </c>
      <c r="Q3" s="2">
        <v>15</v>
      </c>
      <c r="R3" s="2">
        <v>37</v>
      </c>
      <c r="S3" s="9">
        <f t="shared" ref="S3:S13" si="0">100*(N3)/((C3/($C$15/3))*$E$15-E3)</f>
        <v>25.794993849669915</v>
      </c>
      <c r="T3" s="9">
        <f t="shared" ref="T3:T13" si="1">(100*(F3+0.44*J3+Q3)*($C$15/3))/(C3*($F$15+0.44*$J$15+$Q$15))</f>
        <v>31.6772338431254</v>
      </c>
      <c r="U3" s="6">
        <f t="shared" ref="U3:U13" si="2">S3/T3</f>
        <v>0.81430701864354704</v>
      </c>
      <c r="V3" s="9">
        <f t="shared" ref="V3:V13" si="3">100*Q3/(F3+0.44*J3+Q3)</f>
        <v>8.0437580437580447</v>
      </c>
      <c r="W3" s="9">
        <f t="shared" ref="W3:W13" si="4">IF(V3=0,0,S3/V3)</f>
        <v>3.2068336353909634</v>
      </c>
    </row>
    <row r="4" spans="1:40">
      <c r="A4" s="2" t="s">
        <v>87</v>
      </c>
      <c r="B4" s="2">
        <v>12</v>
      </c>
      <c r="C4" s="2">
        <v>163</v>
      </c>
      <c r="D4" s="2">
        <v>172</v>
      </c>
      <c r="E4" s="2">
        <v>65</v>
      </c>
      <c r="F4" s="2">
        <v>137</v>
      </c>
      <c r="G4" s="2">
        <v>6</v>
      </c>
      <c r="H4" s="2">
        <v>17</v>
      </c>
      <c r="I4" s="2">
        <v>19</v>
      </c>
      <c r="J4" s="2">
        <v>22</v>
      </c>
      <c r="K4" s="2">
        <v>25</v>
      </c>
      <c r="L4" s="2">
        <v>100</v>
      </c>
      <c r="M4" s="2">
        <v>125</v>
      </c>
      <c r="N4" s="2">
        <v>13</v>
      </c>
      <c r="O4" s="2">
        <v>11</v>
      </c>
      <c r="P4" s="2">
        <v>5</v>
      </c>
      <c r="Q4" s="2">
        <v>20</v>
      </c>
      <c r="R4" s="2">
        <v>32</v>
      </c>
      <c r="S4" s="9">
        <f t="shared" si="0"/>
        <v>11.70516559791059</v>
      </c>
      <c r="T4" s="9">
        <f t="shared" si="1"/>
        <v>36.999042143866021</v>
      </c>
      <c r="U4" s="6">
        <f t="shared" si="2"/>
        <v>0.31636401700337424</v>
      </c>
      <c r="V4" s="9">
        <f t="shared" si="3"/>
        <v>11.999040076793856</v>
      </c>
      <c r="W4" s="9">
        <f t="shared" si="4"/>
        <v>0.97550850092986863</v>
      </c>
    </row>
    <row r="5" spans="1:40">
      <c r="A5" s="2" t="s">
        <v>108</v>
      </c>
      <c r="B5" s="2">
        <v>12</v>
      </c>
      <c r="C5" s="2">
        <v>97</v>
      </c>
      <c r="D5" s="2">
        <v>73</v>
      </c>
      <c r="E5" s="2">
        <v>28</v>
      </c>
      <c r="F5" s="2">
        <v>78</v>
      </c>
      <c r="G5" s="2">
        <v>13</v>
      </c>
      <c r="H5" s="2">
        <v>37</v>
      </c>
      <c r="I5" s="2">
        <v>2</v>
      </c>
      <c r="J5" s="2">
        <v>6</v>
      </c>
      <c r="K5" s="2">
        <v>5</v>
      </c>
      <c r="L5" s="2">
        <v>18</v>
      </c>
      <c r="M5" s="2">
        <v>23</v>
      </c>
      <c r="N5" s="2">
        <v>16</v>
      </c>
      <c r="O5" s="2">
        <v>3</v>
      </c>
      <c r="P5" s="2">
        <v>1</v>
      </c>
      <c r="Q5" s="2">
        <v>12</v>
      </c>
      <c r="R5" s="2">
        <v>22</v>
      </c>
      <c r="S5" s="9">
        <f t="shared" si="0"/>
        <v>20.840622748856969</v>
      </c>
      <c r="T5" s="9">
        <f t="shared" si="1"/>
        <v>34.55583611450443</v>
      </c>
      <c r="U5" s="6">
        <f t="shared" si="2"/>
        <v>0.60309994178116122</v>
      </c>
      <c r="V5" s="9">
        <f t="shared" si="3"/>
        <v>12.953367875647668</v>
      </c>
      <c r="W5" s="9">
        <f t="shared" si="4"/>
        <v>1.6088960762117581</v>
      </c>
    </row>
    <row r="6" spans="1:40">
      <c r="A6" s="2" t="s">
        <v>96</v>
      </c>
      <c r="B6" s="2">
        <v>9</v>
      </c>
      <c r="C6" s="2">
        <v>91</v>
      </c>
      <c r="D6" s="2">
        <v>67</v>
      </c>
      <c r="E6" s="2">
        <v>31</v>
      </c>
      <c r="F6" s="2">
        <v>62</v>
      </c>
      <c r="G6" s="2">
        <v>1</v>
      </c>
      <c r="H6" s="2">
        <v>11</v>
      </c>
      <c r="I6" s="2">
        <v>3</v>
      </c>
      <c r="J6" s="2">
        <v>4</v>
      </c>
      <c r="K6" s="2">
        <v>8</v>
      </c>
      <c r="L6" s="2">
        <v>41</v>
      </c>
      <c r="M6" s="2">
        <v>49</v>
      </c>
      <c r="N6" s="2">
        <v>11</v>
      </c>
      <c r="O6" s="2">
        <v>4</v>
      </c>
      <c r="P6" s="2">
        <v>7</v>
      </c>
      <c r="Q6" s="2">
        <v>10</v>
      </c>
      <c r="R6" s="2">
        <v>23</v>
      </c>
      <c r="S6" s="9">
        <f t="shared" si="0"/>
        <v>16.346589289008904</v>
      </c>
      <c r="T6" s="9">
        <f t="shared" si="1"/>
        <v>29.327436913441023</v>
      </c>
      <c r="U6" s="6">
        <f t="shared" si="2"/>
        <v>0.55738213118505142</v>
      </c>
      <c r="V6" s="9">
        <f t="shared" si="3"/>
        <v>13.557483731019525</v>
      </c>
      <c r="W6" s="9">
        <f t="shared" si="4"/>
        <v>1.2057244259572966</v>
      </c>
    </row>
    <row r="7" spans="1:40">
      <c r="A7" s="2" t="s">
        <v>106</v>
      </c>
      <c r="B7" s="2">
        <v>9</v>
      </c>
      <c r="C7" s="2">
        <v>86</v>
      </c>
      <c r="D7" s="2">
        <v>52</v>
      </c>
      <c r="E7" s="2">
        <v>21</v>
      </c>
      <c r="F7" s="2">
        <v>70</v>
      </c>
      <c r="G7" s="2">
        <v>3</v>
      </c>
      <c r="H7" s="2">
        <v>19</v>
      </c>
      <c r="I7" s="2">
        <v>4</v>
      </c>
      <c r="J7" s="2">
        <v>6</v>
      </c>
      <c r="K7" s="2">
        <v>4</v>
      </c>
      <c r="L7" s="2">
        <v>22</v>
      </c>
      <c r="M7" s="2">
        <v>26</v>
      </c>
      <c r="N7" s="2">
        <v>11</v>
      </c>
      <c r="O7" s="2">
        <v>10</v>
      </c>
      <c r="P7" s="2">
        <v>11</v>
      </c>
      <c r="Q7" s="2">
        <v>11</v>
      </c>
      <c r="R7" s="2">
        <v>16</v>
      </c>
      <c r="S7" s="9">
        <f t="shared" si="0"/>
        <v>15.300803818136146</v>
      </c>
      <c r="T7" s="9">
        <f t="shared" si="1"/>
        <v>35.189262619977249</v>
      </c>
      <c r="U7" s="6">
        <f t="shared" si="2"/>
        <v>0.43481456214003605</v>
      </c>
      <c r="V7" s="9">
        <f t="shared" si="3"/>
        <v>13.151602104256337</v>
      </c>
      <c r="W7" s="9">
        <f t="shared" si="4"/>
        <v>1.163417483044461</v>
      </c>
    </row>
    <row r="8" spans="1:40">
      <c r="A8" s="2" t="s">
        <v>94</v>
      </c>
      <c r="B8" s="2">
        <v>2</v>
      </c>
      <c r="C8" s="2">
        <v>22</v>
      </c>
      <c r="D8" s="2">
        <v>29</v>
      </c>
      <c r="E8" s="2">
        <v>10</v>
      </c>
      <c r="F8" s="2">
        <v>20</v>
      </c>
      <c r="G8" s="2">
        <v>6</v>
      </c>
      <c r="H8" s="2">
        <v>11</v>
      </c>
      <c r="I8" s="2">
        <v>2</v>
      </c>
      <c r="J8" s="2">
        <v>2</v>
      </c>
      <c r="K8" s="2">
        <v>1</v>
      </c>
      <c r="L8" s="2">
        <v>14</v>
      </c>
      <c r="M8" s="2">
        <v>15</v>
      </c>
      <c r="N8" s="2">
        <v>3</v>
      </c>
      <c r="O8" s="2">
        <v>1</v>
      </c>
      <c r="P8" s="2">
        <v>0</v>
      </c>
      <c r="Q8" s="2">
        <v>1</v>
      </c>
      <c r="R8" s="2">
        <v>3</v>
      </c>
      <c r="S8" s="9">
        <f t="shared" si="0"/>
        <v>21.797605379694932</v>
      </c>
      <c r="T8" s="9">
        <f t="shared" si="1"/>
        <v>35.984811359701098</v>
      </c>
      <c r="U8" s="6">
        <f t="shared" si="2"/>
        <v>0.60574460601746472</v>
      </c>
      <c r="V8" s="9">
        <f t="shared" si="3"/>
        <v>4.5703839122486292</v>
      </c>
      <c r="W8" s="9">
        <f t="shared" si="4"/>
        <v>4.7693160570772513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68</v>
      </c>
      <c r="C15" s="2">
        <f t="shared" ref="C15:R15" si="5">SUM(C2:C13)</f>
        <v>886</v>
      </c>
      <c r="D15" s="2">
        <f t="shared" si="5"/>
        <v>798</v>
      </c>
      <c r="E15" s="2">
        <f t="shared" si="5"/>
        <v>319</v>
      </c>
      <c r="F15" s="2">
        <f t="shared" si="5"/>
        <v>705</v>
      </c>
      <c r="G15" s="2">
        <f t="shared" si="5"/>
        <v>63</v>
      </c>
      <c r="H15" s="2">
        <f t="shared" si="5"/>
        <v>209</v>
      </c>
      <c r="I15" s="2">
        <f t="shared" si="5"/>
        <v>53</v>
      </c>
      <c r="J15" s="2">
        <f t="shared" si="5"/>
        <v>71</v>
      </c>
      <c r="K15" s="2">
        <f t="shared" si="5"/>
        <v>55</v>
      </c>
      <c r="L15" s="2">
        <f t="shared" si="5"/>
        <v>268</v>
      </c>
      <c r="M15" s="2">
        <f t="shared" si="5"/>
        <v>323</v>
      </c>
      <c r="N15" s="2">
        <f t="shared" si="5"/>
        <v>120</v>
      </c>
      <c r="O15" s="2">
        <f t="shared" si="5"/>
        <v>53</v>
      </c>
      <c r="P15" s="2">
        <f t="shared" si="5"/>
        <v>38</v>
      </c>
      <c r="Q15" s="2">
        <f t="shared" si="5"/>
        <v>80</v>
      </c>
      <c r="R15" s="2">
        <f t="shared" si="5"/>
        <v>163</v>
      </c>
    </row>
    <row r="21" spans="3:4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8 S2:W8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2" t="s">
        <v>68</v>
      </c>
      <c r="B2" s="2">
        <v>11</v>
      </c>
      <c r="C2" s="2">
        <v>221</v>
      </c>
      <c r="D2" s="2">
        <v>264</v>
      </c>
      <c r="E2" s="2">
        <v>98</v>
      </c>
      <c r="F2" s="2">
        <v>233</v>
      </c>
      <c r="G2" s="2">
        <v>37</v>
      </c>
      <c r="H2" s="2">
        <v>116</v>
      </c>
      <c r="I2" s="2">
        <v>19</v>
      </c>
      <c r="J2" s="2">
        <v>24</v>
      </c>
      <c r="K2" s="2">
        <v>10</v>
      </c>
      <c r="L2" s="2">
        <v>65</v>
      </c>
      <c r="M2" s="2">
        <v>75</v>
      </c>
      <c r="N2" s="2">
        <v>54</v>
      </c>
      <c r="O2" s="2">
        <v>7</v>
      </c>
      <c r="P2" s="2">
        <v>2</v>
      </c>
      <c r="Q2" s="2">
        <v>38</v>
      </c>
      <c r="R2" s="2">
        <v>38</v>
      </c>
      <c r="S2" s="9">
        <f>100*(N2)/((C2/($C$15/3))*$E$15-E2)</f>
        <v>38.816922500935974</v>
      </c>
      <c r="T2" s="9">
        <f>(100*(F2+0.44*J2+Q2)*($C$15/3))/(C2*($F$15+0.44*$J$15+$Q$15))</f>
        <v>43.649752439272525</v>
      </c>
      <c r="U2" s="6">
        <f>S2/T2</f>
        <v>0.88928161860573662</v>
      </c>
      <c r="V2" s="9">
        <f>100*Q2/(F2+0.44*J2+Q2)</f>
        <v>13.496235260690439</v>
      </c>
      <c r="W2" s="9">
        <f>IF(V2=0,0,S2/V2)</f>
        <v>2.8761296577272457</v>
      </c>
    </row>
    <row r="3" spans="1:40">
      <c r="A3" s="2" t="s">
        <v>72</v>
      </c>
      <c r="B3" s="2">
        <v>10</v>
      </c>
      <c r="C3" s="2">
        <v>185</v>
      </c>
      <c r="D3" s="2">
        <v>213</v>
      </c>
      <c r="E3" s="2">
        <v>87</v>
      </c>
      <c r="F3" s="2">
        <v>153</v>
      </c>
      <c r="G3" s="2">
        <v>1</v>
      </c>
      <c r="H3" s="2">
        <v>4</v>
      </c>
      <c r="I3" s="2">
        <v>22</v>
      </c>
      <c r="J3" s="2">
        <v>30</v>
      </c>
      <c r="K3" s="2">
        <v>38</v>
      </c>
      <c r="L3" s="2">
        <v>87</v>
      </c>
      <c r="M3" s="2">
        <v>125</v>
      </c>
      <c r="N3" s="2">
        <v>18</v>
      </c>
      <c r="O3" s="2">
        <v>7</v>
      </c>
      <c r="P3" s="2">
        <v>4</v>
      </c>
      <c r="Q3" s="2">
        <v>32</v>
      </c>
      <c r="R3" s="2">
        <v>35</v>
      </c>
      <c r="S3" s="9">
        <f t="shared" ref="S3:S13" si="0">100*(N3)/((C3/($C$15/3))*$E$15-E3)</f>
        <v>16.145006073063627</v>
      </c>
      <c r="T3" s="9">
        <f t="shared" ref="T3:T13" si="1">(100*(F3+0.44*J3+Q3)*($C$15/3))/(C3*($F$15+0.44*$J$15+$Q$15))</f>
        <v>36.705827883558079</v>
      </c>
      <c r="U3" s="6">
        <f t="shared" ref="U3:U13" si="2">S3/T3</f>
        <v>0.43984857457187559</v>
      </c>
      <c r="V3" s="9">
        <f t="shared" ref="V3:V13" si="3">100*Q3/(F3+0.44*J3+Q3)</f>
        <v>16.145307769929364</v>
      </c>
      <c r="W3" s="9">
        <f t="shared" ref="W3:W13" si="4">IF(V3=0,0,S3/V3)</f>
        <v>0.99998131365037846</v>
      </c>
    </row>
    <row r="4" spans="1:40">
      <c r="A4" s="2" t="s">
        <v>86</v>
      </c>
      <c r="B4" s="2">
        <v>9</v>
      </c>
      <c r="C4" s="2">
        <v>147</v>
      </c>
      <c r="D4" s="2">
        <v>146</v>
      </c>
      <c r="E4" s="2">
        <v>48</v>
      </c>
      <c r="F4" s="2">
        <v>130</v>
      </c>
      <c r="G4" s="2">
        <v>9</v>
      </c>
      <c r="H4" s="2">
        <v>40</v>
      </c>
      <c r="I4" s="2">
        <v>23</v>
      </c>
      <c r="J4" s="2">
        <v>26</v>
      </c>
      <c r="K4" s="2">
        <v>11</v>
      </c>
      <c r="L4" s="2">
        <v>21</v>
      </c>
      <c r="M4" s="2">
        <v>32</v>
      </c>
      <c r="N4" s="2">
        <v>38</v>
      </c>
      <c r="O4" s="2">
        <v>9</v>
      </c>
      <c r="P4" s="2">
        <v>9</v>
      </c>
      <c r="Q4" s="2">
        <v>17</v>
      </c>
      <c r="R4" s="2">
        <v>28</v>
      </c>
      <c r="S4" s="9">
        <f t="shared" si="0"/>
        <v>34.634007405297638</v>
      </c>
      <c r="T4" s="9">
        <f t="shared" si="1"/>
        <v>36.927559032178181</v>
      </c>
      <c r="U4" s="6">
        <f t="shared" si="2"/>
        <v>0.93789051627046427</v>
      </c>
      <c r="V4" s="9">
        <f t="shared" si="3"/>
        <v>10.72961373390558</v>
      </c>
      <c r="W4" s="9">
        <f t="shared" si="4"/>
        <v>3.2278894901737396</v>
      </c>
    </row>
    <row r="5" spans="1:40">
      <c r="A5" s="2" t="s">
        <v>107</v>
      </c>
      <c r="B5" s="2">
        <v>12</v>
      </c>
      <c r="C5" s="2">
        <v>106</v>
      </c>
      <c r="D5" s="2">
        <v>78</v>
      </c>
      <c r="E5" s="2">
        <v>33</v>
      </c>
      <c r="F5" s="2">
        <v>59</v>
      </c>
      <c r="G5" s="2">
        <v>4</v>
      </c>
      <c r="H5" s="2">
        <v>11</v>
      </c>
      <c r="I5" s="2">
        <v>4</v>
      </c>
      <c r="J5" s="2">
        <v>8</v>
      </c>
      <c r="K5" s="2">
        <v>16</v>
      </c>
      <c r="L5" s="2">
        <v>38</v>
      </c>
      <c r="M5" s="2">
        <v>54</v>
      </c>
      <c r="N5" s="2">
        <v>7</v>
      </c>
      <c r="O5" s="2">
        <v>7</v>
      </c>
      <c r="P5" s="2">
        <v>4</v>
      </c>
      <c r="Q5" s="2">
        <v>11</v>
      </c>
      <c r="R5" s="2">
        <v>25</v>
      </c>
      <c r="S5" s="9">
        <f t="shared" si="0"/>
        <v>8.6709677419354829</v>
      </c>
      <c r="T5" s="9">
        <f t="shared" si="1"/>
        <v>23.763080279584667</v>
      </c>
      <c r="U5" s="6">
        <f t="shared" si="2"/>
        <v>0.36489241461616756</v>
      </c>
      <c r="V5" s="9">
        <f t="shared" si="3"/>
        <v>14.961915125136015</v>
      </c>
      <c r="W5" s="9">
        <f t="shared" si="4"/>
        <v>0.57953595307917893</v>
      </c>
    </row>
    <row r="6" spans="1:40">
      <c r="A6" s="2" t="s">
        <v>114</v>
      </c>
      <c r="B6" s="2">
        <v>12</v>
      </c>
      <c r="C6" s="2">
        <v>76</v>
      </c>
      <c r="D6" s="2">
        <v>59</v>
      </c>
      <c r="E6" s="2">
        <v>20</v>
      </c>
      <c r="F6" s="2">
        <v>49</v>
      </c>
      <c r="G6" s="2">
        <v>19</v>
      </c>
      <c r="H6" s="2">
        <v>44</v>
      </c>
      <c r="I6" s="2">
        <v>0</v>
      </c>
      <c r="J6" s="2">
        <v>1</v>
      </c>
      <c r="K6" s="2">
        <v>1</v>
      </c>
      <c r="L6" s="2">
        <v>17</v>
      </c>
      <c r="M6" s="2">
        <v>18</v>
      </c>
      <c r="N6" s="2">
        <v>11</v>
      </c>
      <c r="O6" s="2">
        <v>1</v>
      </c>
      <c r="P6" s="2">
        <v>0</v>
      </c>
      <c r="Q6" s="2">
        <v>6</v>
      </c>
      <c r="R6" s="2">
        <v>27</v>
      </c>
      <c r="S6" s="9">
        <f t="shared" si="0"/>
        <v>17.874069058903181</v>
      </c>
      <c r="T6" s="9">
        <f t="shared" si="1"/>
        <v>24.99267440549983</v>
      </c>
      <c r="U6" s="6">
        <f t="shared" si="2"/>
        <v>0.71517232485411231</v>
      </c>
      <c r="V6" s="9">
        <f t="shared" si="3"/>
        <v>10.822510822510823</v>
      </c>
      <c r="W6" s="9">
        <f t="shared" si="4"/>
        <v>1.6515639810426539</v>
      </c>
    </row>
    <row r="7" spans="1:40">
      <c r="A7" s="2" t="s">
        <v>113</v>
      </c>
      <c r="B7" s="2">
        <v>11</v>
      </c>
      <c r="C7" s="2">
        <v>116</v>
      </c>
      <c r="D7" s="2">
        <v>47</v>
      </c>
      <c r="E7" s="2">
        <v>19</v>
      </c>
      <c r="F7" s="2">
        <v>50</v>
      </c>
      <c r="G7" s="2">
        <v>9</v>
      </c>
      <c r="H7" s="2">
        <v>25</v>
      </c>
      <c r="I7" s="2">
        <v>0</v>
      </c>
      <c r="J7" s="2">
        <v>1</v>
      </c>
      <c r="K7" s="2">
        <v>7</v>
      </c>
      <c r="L7" s="2">
        <v>26</v>
      </c>
      <c r="M7" s="2">
        <v>33</v>
      </c>
      <c r="N7" s="2">
        <v>12</v>
      </c>
      <c r="O7" s="2">
        <v>3</v>
      </c>
      <c r="P7" s="2">
        <v>8</v>
      </c>
      <c r="Q7" s="2">
        <v>13</v>
      </c>
      <c r="R7" s="2">
        <v>37</v>
      </c>
      <c r="S7" s="9">
        <f t="shared" si="0"/>
        <v>11.378901619913076</v>
      </c>
      <c r="T7" s="9">
        <f t="shared" si="1"/>
        <v>18.73735509119102</v>
      </c>
      <c r="U7" s="6">
        <f t="shared" si="2"/>
        <v>0.60728430264219269</v>
      </c>
      <c r="V7" s="9">
        <f t="shared" si="3"/>
        <v>20.491803278688526</v>
      </c>
      <c r="W7" s="9">
        <f t="shared" si="4"/>
        <v>0.55529039905175814</v>
      </c>
    </row>
    <row r="8" spans="1:40">
      <c r="A8" s="2" t="s">
        <v>118</v>
      </c>
      <c r="B8" s="2">
        <v>1</v>
      </c>
      <c r="C8" s="2">
        <v>13</v>
      </c>
      <c r="D8" s="2">
        <v>9</v>
      </c>
      <c r="E8" s="2">
        <v>4</v>
      </c>
      <c r="F8" s="2">
        <v>8</v>
      </c>
      <c r="G8" s="2">
        <v>1</v>
      </c>
      <c r="H8" s="2">
        <v>2</v>
      </c>
      <c r="I8" s="2">
        <v>0</v>
      </c>
      <c r="J8" s="2">
        <v>0</v>
      </c>
      <c r="K8" s="2">
        <v>1</v>
      </c>
      <c r="L8" s="2">
        <v>2</v>
      </c>
      <c r="M8" s="2">
        <v>3</v>
      </c>
      <c r="N8" s="2">
        <v>5</v>
      </c>
      <c r="O8" s="2">
        <v>2</v>
      </c>
      <c r="P8" s="2">
        <v>0</v>
      </c>
      <c r="Q8" s="2">
        <v>2</v>
      </c>
      <c r="R8" s="2">
        <v>3</v>
      </c>
      <c r="S8" s="9">
        <f t="shared" si="0"/>
        <v>50.261780104712045</v>
      </c>
      <c r="T8" s="9">
        <f t="shared" si="1"/>
        <v>26.354801515401086</v>
      </c>
      <c r="U8" s="6">
        <f t="shared" si="2"/>
        <v>1.9071204188481679</v>
      </c>
      <c r="V8" s="9">
        <f t="shared" si="3"/>
        <v>20</v>
      </c>
      <c r="W8" s="9">
        <f t="shared" si="4"/>
        <v>2.5130890052356021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66</v>
      </c>
      <c r="C15" s="2">
        <f t="shared" ref="C15:R15" si="5">SUM(C2:C13)</f>
        <v>864</v>
      </c>
      <c r="D15" s="2">
        <f t="shared" si="5"/>
        <v>816</v>
      </c>
      <c r="E15" s="2">
        <f t="shared" si="5"/>
        <v>309</v>
      </c>
      <c r="F15" s="2">
        <f t="shared" si="5"/>
        <v>682</v>
      </c>
      <c r="G15" s="2">
        <f t="shared" si="5"/>
        <v>80</v>
      </c>
      <c r="H15" s="2">
        <f t="shared" si="5"/>
        <v>242</v>
      </c>
      <c r="I15" s="2">
        <f t="shared" si="5"/>
        <v>68</v>
      </c>
      <c r="J15" s="2">
        <f t="shared" si="5"/>
        <v>90</v>
      </c>
      <c r="K15" s="2">
        <f t="shared" si="5"/>
        <v>84</v>
      </c>
      <c r="L15" s="2">
        <f t="shared" si="5"/>
        <v>256</v>
      </c>
      <c r="M15" s="2">
        <f t="shared" si="5"/>
        <v>340</v>
      </c>
      <c r="N15" s="2">
        <f t="shared" si="5"/>
        <v>145</v>
      </c>
      <c r="O15" s="2">
        <f t="shared" si="5"/>
        <v>36</v>
      </c>
      <c r="P15" s="2">
        <f t="shared" si="5"/>
        <v>27</v>
      </c>
      <c r="Q15" s="2">
        <f t="shared" si="5"/>
        <v>119</v>
      </c>
      <c r="R15" s="2">
        <f t="shared" si="5"/>
        <v>193</v>
      </c>
    </row>
    <row r="21" spans="3:4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7 S2:W7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73</v>
      </c>
      <c r="B2" s="2">
        <v>12</v>
      </c>
      <c r="C2" s="2">
        <v>223</v>
      </c>
      <c r="D2" s="2">
        <v>259</v>
      </c>
      <c r="E2" s="2">
        <v>98</v>
      </c>
      <c r="F2" s="2">
        <v>200</v>
      </c>
      <c r="G2" s="2">
        <v>30</v>
      </c>
      <c r="H2" s="2">
        <v>80</v>
      </c>
      <c r="I2" s="2">
        <v>20</v>
      </c>
      <c r="J2" s="2">
        <v>22</v>
      </c>
      <c r="K2" s="2">
        <v>10</v>
      </c>
      <c r="L2" s="2">
        <v>53</v>
      </c>
      <c r="M2" s="2">
        <v>63</v>
      </c>
      <c r="N2" s="2">
        <v>62</v>
      </c>
      <c r="O2" s="2">
        <v>5</v>
      </c>
      <c r="P2" s="2">
        <v>1</v>
      </c>
      <c r="Q2" s="2">
        <v>19</v>
      </c>
      <c r="R2" s="2">
        <v>37</v>
      </c>
      <c r="S2" s="9">
        <f>100*(N2)/((C2/($C$15/3))*$E$15-E2)</f>
        <v>40.680326967486529</v>
      </c>
      <c r="T2" s="9">
        <f>(100*(F2+0.44*J2+Q2)*($C$15/3))/(C2*($F$15+0.44*$J$15+$Q$15))</f>
        <v>37.958724690888452</v>
      </c>
      <c r="U2" s="6">
        <f>S2/T2</f>
        <v>1.0716989914377015</v>
      </c>
      <c r="V2" s="9">
        <f>100*Q2/(F2+0.44*J2+Q2)</f>
        <v>8.3085534371173697</v>
      </c>
      <c r="W2" s="9">
        <f>IF(V2=0,0,S2/V2)</f>
        <v>4.896198511013063</v>
      </c>
    </row>
    <row r="3" spans="1:40">
      <c r="A3" s="5" t="s">
        <v>76</v>
      </c>
      <c r="B3" s="2">
        <v>12</v>
      </c>
      <c r="C3" s="2">
        <v>217</v>
      </c>
      <c r="D3" s="2">
        <v>235</v>
      </c>
      <c r="E3" s="2">
        <v>98</v>
      </c>
      <c r="F3" s="2">
        <v>180</v>
      </c>
      <c r="G3" s="2">
        <v>13</v>
      </c>
      <c r="H3" s="2">
        <v>41</v>
      </c>
      <c r="I3" s="2">
        <v>14</v>
      </c>
      <c r="J3" s="2">
        <v>18</v>
      </c>
      <c r="K3" s="2">
        <v>24</v>
      </c>
      <c r="L3" s="2">
        <v>99</v>
      </c>
      <c r="M3" s="2">
        <v>123</v>
      </c>
      <c r="N3" s="2">
        <v>30</v>
      </c>
      <c r="O3" s="2">
        <v>13</v>
      </c>
      <c r="P3" s="2">
        <v>24</v>
      </c>
      <c r="Q3" s="2">
        <v>17</v>
      </c>
      <c r="R3" s="2">
        <v>39</v>
      </c>
      <c r="S3" s="9">
        <f t="shared" ref="S3:S13" si="0">100*(N3)/((C3/($C$15/3))*$E$15-E3)</f>
        <v>20.594439117929049</v>
      </c>
      <c r="T3" s="9">
        <f t="shared" ref="T3:T13" si="1">(100*(F3+0.44*J3+Q3)*($C$15/3))/(C3*($F$15+0.44*$J$15+$Q$15))</f>
        <v>34.955289696980223</v>
      </c>
      <c r="U3" s="6">
        <f t="shared" ref="U3:U13" si="2">S3/T3</f>
        <v>0.5891651677459333</v>
      </c>
      <c r="V3" s="9">
        <f t="shared" ref="V3:V13" si="3">100*Q3/(F3+0.44*J3+Q3)</f>
        <v>8.2959203591645529</v>
      </c>
      <c r="W3" s="9">
        <f t="shared" ref="W3:W13" si="4">IF(V3=0,0,S3/V3)</f>
        <v>2.4824779200270708</v>
      </c>
    </row>
    <row r="4" spans="1:40">
      <c r="A4" s="5" t="s">
        <v>92</v>
      </c>
      <c r="B4" s="2">
        <v>12</v>
      </c>
      <c r="C4" s="2">
        <v>124</v>
      </c>
      <c r="D4" s="2">
        <v>137</v>
      </c>
      <c r="E4" s="2">
        <v>53</v>
      </c>
      <c r="F4" s="2">
        <v>113</v>
      </c>
      <c r="G4" s="2">
        <v>2</v>
      </c>
      <c r="H4" s="2">
        <v>13</v>
      </c>
      <c r="I4" s="2">
        <v>15</v>
      </c>
      <c r="J4" s="2">
        <v>26</v>
      </c>
      <c r="K4" s="2">
        <v>21</v>
      </c>
      <c r="L4" s="2">
        <v>35</v>
      </c>
      <c r="M4" s="2">
        <v>56</v>
      </c>
      <c r="N4" s="2">
        <v>8</v>
      </c>
      <c r="O4" s="2">
        <v>5</v>
      </c>
      <c r="P4" s="2">
        <v>1</v>
      </c>
      <c r="Q4" s="2">
        <v>16</v>
      </c>
      <c r="R4" s="2">
        <v>35</v>
      </c>
      <c r="S4" s="9">
        <f t="shared" si="0"/>
        <v>9.2764138109736347</v>
      </c>
      <c r="T4" s="9">
        <f t="shared" si="1"/>
        <v>41.923489892771961</v>
      </c>
      <c r="U4" s="6">
        <f t="shared" si="2"/>
        <v>0.22127007638677007</v>
      </c>
      <c r="V4" s="9">
        <f t="shared" si="3"/>
        <v>11.392765593847907</v>
      </c>
      <c r="W4" s="9">
        <f t="shared" si="4"/>
        <v>0.81423722225821082</v>
      </c>
    </row>
    <row r="5" spans="1:40">
      <c r="A5" s="5" t="s">
        <v>89</v>
      </c>
      <c r="B5" s="2">
        <v>11</v>
      </c>
      <c r="C5" s="2">
        <v>132</v>
      </c>
      <c r="D5" s="2">
        <v>124</v>
      </c>
      <c r="E5" s="2">
        <v>44</v>
      </c>
      <c r="F5" s="2">
        <v>97</v>
      </c>
      <c r="G5" s="2">
        <v>16</v>
      </c>
      <c r="H5" s="2">
        <v>48</v>
      </c>
      <c r="I5" s="2">
        <v>11</v>
      </c>
      <c r="J5" s="2">
        <v>11</v>
      </c>
      <c r="K5" s="2">
        <v>8</v>
      </c>
      <c r="L5" s="2">
        <v>26</v>
      </c>
      <c r="M5" s="2">
        <v>34</v>
      </c>
      <c r="N5" s="2">
        <v>27</v>
      </c>
      <c r="O5" s="2">
        <v>11</v>
      </c>
      <c r="P5" s="2">
        <v>4</v>
      </c>
      <c r="Q5" s="2">
        <v>8</v>
      </c>
      <c r="R5" s="2">
        <v>26</v>
      </c>
      <c r="S5" s="9">
        <f t="shared" si="0"/>
        <v>25.905874785591763</v>
      </c>
      <c r="T5" s="9">
        <f t="shared" si="1"/>
        <v>30.80171409865191</v>
      </c>
      <c r="U5" s="6">
        <f t="shared" si="2"/>
        <v>0.84105302395250714</v>
      </c>
      <c r="V5" s="9">
        <f t="shared" si="3"/>
        <v>7.2833211944646754</v>
      </c>
      <c r="W5" s="9">
        <f t="shared" si="4"/>
        <v>3.5568766080617493</v>
      </c>
    </row>
    <row r="6" spans="1:40">
      <c r="A6" s="5" t="s">
        <v>93</v>
      </c>
      <c r="B6" s="2">
        <v>12</v>
      </c>
      <c r="C6" s="2">
        <v>192</v>
      </c>
      <c r="D6" s="2">
        <v>111</v>
      </c>
      <c r="E6" s="2">
        <v>40</v>
      </c>
      <c r="F6" s="2">
        <v>95</v>
      </c>
      <c r="G6" s="2">
        <v>19</v>
      </c>
      <c r="H6" s="2">
        <v>50</v>
      </c>
      <c r="I6" s="2">
        <v>6</v>
      </c>
      <c r="J6" s="2">
        <v>7</v>
      </c>
      <c r="K6" s="2">
        <v>4</v>
      </c>
      <c r="L6" s="2">
        <v>46</v>
      </c>
      <c r="M6" s="2">
        <v>50</v>
      </c>
      <c r="N6" s="2">
        <v>44</v>
      </c>
      <c r="O6" s="2">
        <v>7</v>
      </c>
      <c r="P6" s="2">
        <v>3</v>
      </c>
      <c r="Q6" s="2">
        <v>16</v>
      </c>
      <c r="R6" s="2">
        <v>34</v>
      </c>
      <c r="S6" s="9">
        <f t="shared" si="0"/>
        <v>25.057266480020363</v>
      </c>
      <c r="T6" s="9">
        <f t="shared" si="1"/>
        <v>21.993612861956201</v>
      </c>
      <c r="U6" s="6">
        <f t="shared" si="2"/>
        <v>1.1392974240882254</v>
      </c>
      <c r="V6" s="9">
        <f t="shared" si="3"/>
        <v>14.025245441795231</v>
      </c>
      <c r="W6" s="9">
        <f t="shared" si="4"/>
        <v>1.786583100025452</v>
      </c>
    </row>
    <row r="7" spans="1:40">
      <c r="A7" s="5" t="s">
        <v>110</v>
      </c>
      <c r="B7" s="2">
        <v>1</v>
      </c>
      <c r="C7" s="2">
        <v>7</v>
      </c>
      <c r="D7" s="2">
        <v>5</v>
      </c>
      <c r="E7" s="2">
        <v>2</v>
      </c>
      <c r="F7" s="2">
        <v>7</v>
      </c>
      <c r="G7" s="2">
        <v>1</v>
      </c>
      <c r="H7" s="2">
        <v>5</v>
      </c>
      <c r="I7" s="2">
        <v>0</v>
      </c>
      <c r="J7" s="2">
        <v>0</v>
      </c>
      <c r="K7" s="2">
        <v>1</v>
      </c>
      <c r="L7" s="2">
        <v>1</v>
      </c>
      <c r="M7" s="2">
        <v>2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9">
        <f t="shared" si="0"/>
        <v>0</v>
      </c>
      <c r="T7" s="9">
        <f t="shared" si="1"/>
        <v>42.303883685589973</v>
      </c>
      <c r="U7" s="6">
        <f t="shared" si="2"/>
        <v>0</v>
      </c>
      <c r="V7" s="9">
        <f t="shared" si="3"/>
        <v>12.5</v>
      </c>
      <c r="W7" s="9">
        <f t="shared" si="4"/>
        <v>0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60</v>
      </c>
      <c r="C15" s="2">
        <f t="shared" ref="C15:R15" si="5">SUM(C2:C13)</f>
        <v>895</v>
      </c>
      <c r="D15" s="2">
        <f t="shared" si="5"/>
        <v>871</v>
      </c>
      <c r="E15" s="2">
        <f t="shared" si="5"/>
        <v>335</v>
      </c>
      <c r="F15" s="2">
        <f t="shared" si="5"/>
        <v>692</v>
      </c>
      <c r="G15" s="2">
        <f t="shared" si="5"/>
        <v>81</v>
      </c>
      <c r="H15" s="2">
        <f t="shared" si="5"/>
        <v>237</v>
      </c>
      <c r="I15" s="2">
        <f t="shared" si="5"/>
        <v>66</v>
      </c>
      <c r="J15" s="2">
        <f t="shared" si="5"/>
        <v>84</v>
      </c>
      <c r="K15" s="2">
        <f t="shared" si="5"/>
        <v>68</v>
      </c>
      <c r="L15" s="2">
        <f t="shared" si="5"/>
        <v>260</v>
      </c>
      <c r="M15" s="2">
        <f t="shared" si="5"/>
        <v>328</v>
      </c>
      <c r="N15" s="2">
        <f t="shared" si="5"/>
        <v>171</v>
      </c>
      <c r="O15" s="2">
        <f t="shared" si="5"/>
        <v>41</v>
      </c>
      <c r="P15" s="2">
        <f t="shared" si="5"/>
        <v>33</v>
      </c>
      <c r="Q15" s="2">
        <f t="shared" si="5"/>
        <v>77</v>
      </c>
      <c r="R15" s="2">
        <f t="shared" si="5"/>
        <v>172</v>
      </c>
    </row>
    <row r="21" spans="3:4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8 S2:W8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2" t="s">
        <v>78</v>
      </c>
      <c r="B2" s="2">
        <v>12</v>
      </c>
      <c r="C2" s="2">
        <v>185</v>
      </c>
      <c r="D2" s="2">
        <v>215</v>
      </c>
      <c r="E2" s="2">
        <v>87</v>
      </c>
      <c r="F2" s="2">
        <v>160</v>
      </c>
      <c r="G2" s="2">
        <v>3</v>
      </c>
      <c r="H2" s="2">
        <v>18</v>
      </c>
      <c r="I2" s="2">
        <v>21</v>
      </c>
      <c r="J2" s="2">
        <v>35</v>
      </c>
      <c r="K2" s="2">
        <v>20</v>
      </c>
      <c r="L2" s="2">
        <v>79</v>
      </c>
      <c r="M2" s="2">
        <v>99</v>
      </c>
      <c r="N2" s="2">
        <v>13</v>
      </c>
      <c r="O2" s="2">
        <v>12</v>
      </c>
      <c r="P2" s="2">
        <v>0</v>
      </c>
      <c r="Q2" s="2">
        <v>12</v>
      </c>
      <c r="R2" s="2">
        <v>38</v>
      </c>
      <c r="S2" s="9">
        <f>100*(N2)/((C2/($C$15/3))*$E$15-E2)</f>
        <v>12.086075420453358</v>
      </c>
      <c r="T2" s="9">
        <f>(100*(F2+0.44*J2+Q2)*($C$15/3))/(C2*($F$15+0.44*$J$15+$Q$15))</f>
        <v>37.783559056944696</v>
      </c>
      <c r="U2" s="6">
        <f>S2/T2</f>
        <v>0.31987657388860813</v>
      </c>
      <c r="V2" s="9">
        <f>100*Q2/(F2+0.44*J2+Q2)</f>
        <v>6.4034151547491991</v>
      </c>
      <c r="W2" s="9">
        <f>IF(V2=0,0,S2/V2)</f>
        <v>1.8874421114941329</v>
      </c>
    </row>
    <row r="3" spans="1:40">
      <c r="A3" s="2" t="s">
        <v>79</v>
      </c>
      <c r="B3" s="2">
        <v>11</v>
      </c>
      <c r="C3" s="2">
        <v>227</v>
      </c>
      <c r="D3" s="2">
        <v>192</v>
      </c>
      <c r="E3" s="2">
        <v>65</v>
      </c>
      <c r="F3" s="2">
        <v>163</v>
      </c>
      <c r="G3" s="2">
        <v>33</v>
      </c>
      <c r="H3" s="2">
        <v>89</v>
      </c>
      <c r="I3" s="2">
        <v>17</v>
      </c>
      <c r="J3" s="2">
        <v>20</v>
      </c>
      <c r="K3" s="2">
        <v>6</v>
      </c>
      <c r="L3" s="2">
        <v>47</v>
      </c>
      <c r="M3" s="2">
        <v>53</v>
      </c>
      <c r="N3" s="2">
        <v>33</v>
      </c>
      <c r="O3" s="2">
        <v>15</v>
      </c>
      <c r="P3" s="2">
        <v>8</v>
      </c>
      <c r="Q3" s="2">
        <v>16</v>
      </c>
      <c r="R3" s="2">
        <v>26</v>
      </c>
      <c r="S3" s="9">
        <f t="shared" ref="S3:S13" si="0">100*(N3)/((C3/($C$15/3))*$E$15-E3)</f>
        <v>18.994709679088359</v>
      </c>
      <c r="T3" s="9">
        <f t="shared" ref="T3:T13" si="1">(100*(F3+0.44*J3+Q3)*($C$15/3))/(C3*($F$15+0.44*$J$15+$Q$15))</f>
        <v>30.858494687690808</v>
      </c>
      <c r="U3" s="6">
        <f t="shared" ref="U3:U13" si="2">S3/T3</f>
        <v>0.61554232866275194</v>
      </c>
      <c r="V3" s="9">
        <f t="shared" ref="V3:V13" si="3">100*Q3/(F3+0.44*J3+Q3)</f>
        <v>8.5197018104366347</v>
      </c>
      <c r="W3" s="9">
        <f t="shared" ref="W3:W13" si="4">IF(V3=0,0,S3/V3)</f>
        <v>2.2295040485829962</v>
      </c>
    </row>
    <row r="4" spans="1:40">
      <c r="A4" s="2" t="s">
        <v>95</v>
      </c>
      <c r="B4" s="2">
        <v>12</v>
      </c>
      <c r="C4" s="2">
        <v>134</v>
      </c>
      <c r="D4" s="2">
        <v>126</v>
      </c>
      <c r="E4" s="2">
        <v>46</v>
      </c>
      <c r="F4" s="2">
        <v>108</v>
      </c>
      <c r="G4" s="2">
        <v>10</v>
      </c>
      <c r="H4" s="2">
        <v>29</v>
      </c>
      <c r="I4" s="2">
        <v>13</v>
      </c>
      <c r="J4" s="2">
        <v>15</v>
      </c>
      <c r="K4" s="2">
        <v>11</v>
      </c>
      <c r="L4" s="2">
        <v>31</v>
      </c>
      <c r="M4" s="2">
        <v>42</v>
      </c>
      <c r="N4" s="2">
        <v>21</v>
      </c>
      <c r="O4" s="2">
        <v>14</v>
      </c>
      <c r="P4" s="2">
        <v>3</v>
      </c>
      <c r="Q4" s="2">
        <v>11</v>
      </c>
      <c r="R4" s="2">
        <v>20</v>
      </c>
      <c r="S4" s="9">
        <f t="shared" si="0"/>
        <v>22.122532077079683</v>
      </c>
      <c r="T4" s="9">
        <f t="shared" si="1"/>
        <v>34.961483069464585</v>
      </c>
      <c r="U4" s="6">
        <f t="shared" si="2"/>
        <v>0.63276869671474367</v>
      </c>
      <c r="V4" s="9">
        <f t="shared" si="3"/>
        <v>8.7579617834394909</v>
      </c>
      <c r="W4" s="9">
        <f t="shared" si="4"/>
        <v>2.5259909353465528</v>
      </c>
    </row>
    <row r="5" spans="1:40">
      <c r="A5" s="2" t="s">
        <v>103</v>
      </c>
      <c r="B5" s="2">
        <v>12</v>
      </c>
      <c r="C5" s="2">
        <v>133</v>
      </c>
      <c r="D5" s="2">
        <v>112</v>
      </c>
      <c r="E5" s="2">
        <v>44</v>
      </c>
      <c r="F5" s="2">
        <v>95</v>
      </c>
      <c r="G5" s="2">
        <v>15</v>
      </c>
      <c r="H5" s="2">
        <v>36</v>
      </c>
      <c r="I5" s="2">
        <v>5</v>
      </c>
      <c r="J5" s="2">
        <v>6</v>
      </c>
      <c r="K5" s="2">
        <v>7</v>
      </c>
      <c r="L5" s="2">
        <v>28</v>
      </c>
      <c r="M5" s="2">
        <v>35</v>
      </c>
      <c r="N5" s="2">
        <v>31</v>
      </c>
      <c r="O5" s="2">
        <v>6</v>
      </c>
      <c r="P5" s="2">
        <v>0</v>
      </c>
      <c r="Q5" s="2">
        <v>13</v>
      </c>
      <c r="R5" s="2">
        <v>27</v>
      </c>
      <c r="S5" s="9">
        <f t="shared" si="0"/>
        <v>32.334052128258016</v>
      </c>
      <c r="T5" s="9">
        <f t="shared" si="1"/>
        <v>31.028839449256814</v>
      </c>
      <c r="U5" s="6">
        <f t="shared" si="2"/>
        <v>1.0420645019977524</v>
      </c>
      <c r="V5" s="9">
        <f t="shared" si="3"/>
        <v>11.749819233550253</v>
      </c>
      <c r="W5" s="9">
        <f t="shared" si="4"/>
        <v>2.7518765595926666</v>
      </c>
    </row>
    <row r="6" spans="1:40">
      <c r="A6" s="2" t="s">
        <v>99</v>
      </c>
      <c r="B6" s="2">
        <v>11</v>
      </c>
      <c r="C6" s="2">
        <v>88</v>
      </c>
      <c r="D6" s="2">
        <v>93</v>
      </c>
      <c r="E6" s="2">
        <v>34</v>
      </c>
      <c r="F6" s="2">
        <v>55</v>
      </c>
      <c r="G6" s="2">
        <v>0</v>
      </c>
      <c r="H6" s="2">
        <v>1</v>
      </c>
      <c r="I6" s="2">
        <v>14</v>
      </c>
      <c r="J6" s="2">
        <v>17</v>
      </c>
      <c r="K6" s="2">
        <v>9</v>
      </c>
      <c r="L6" s="2">
        <v>38</v>
      </c>
      <c r="M6" s="2">
        <v>47</v>
      </c>
      <c r="N6" s="2">
        <v>0</v>
      </c>
      <c r="O6" s="2">
        <v>2</v>
      </c>
      <c r="P6" s="2">
        <v>12</v>
      </c>
      <c r="Q6" s="2">
        <v>14</v>
      </c>
      <c r="R6" s="2">
        <v>16</v>
      </c>
      <c r="S6" s="9">
        <f t="shared" si="0"/>
        <v>0</v>
      </c>
      <c r="T6" s="9">
        <f t="shared" si="1"/>
        <v>32.416805349816819</v>
      </c>
      <c r="U6" s="6">
        <f t="shared" si="2"/>
        <v>0</v>
      </c>
      <c r="V6" s="9">
        <f t="shared" si="3"/>
        <v>18.305439330543933</v>
      </c>
      <c r="W6" s="9">
        <f t="shared" si="4"/>
        <v>0</v>
      </c>
    </row>
    <row r="7" spans="1:40">
      <c r="A7" s="2" t="s">
        <v>102</v>
      </c>
      <c r="B7" s="2">
        <v>10</v>
      </c>
      <c r="C7" s="2">
        <v>115</v>
      </c>
      <c r="D7" s="2">
        <v>72</v>
      </c>
      <c r="E7" s="2">
        <v>34</v>
      </c>
      <c r="F7" s="2">
        <v>85</v>
      </c>
      <c r="G7" s="2">
        <v>4</v>
      </c>
      <c r="H7" s="2">
        <v>14</v>
      </c>
      <c r="I7" s="2">
        <v>0</v>
      </c>
      <c r="J7" s="2">
        <v>1</v>
      </c>
      <c r="K7" s="2">
        <v>5</v>
      </c>
      <c r="L7" s="2">
        <v>44</v>
      </c>
      <c r="M7" s="2">
        <v>49</v>
      </c>
      <c r="N7" s="2">
        <v>40</v>
      </c>
      <c r="O7" s="2">
        <v>3</v>
      </c>
      <c r="P7" s="2">
        <v>1</v>
      </c>
      <c r="Q7" s="2">
        <v>14</v>
      </c>
      <c r="R7" s="2">
        <v>21</v>
      </c>
      <c r="S7" s="9">
        <f t="shared" si="0"/>
        <v>46.006720082708718</v>
      </c>
      <c r="T7" s="9">
        <f t="shared" si="1"/>
        <v>32.252863710972917</v>
      </c>
      <c r="U7" s="6">
        <f t="shared" si="2"/>
        <v>1.4264383000216048</v>
      </c>
      <c r="V7" s="9">
        <f t="shared" si="3"/>
        <v>14.078841512469831</v>
      </c>
      <c r="W7" s="9">
        <f t="shared" si="4"/>
        <v>3.267791603588968</v>
      </c>
    </row>
    <row r="8" spans="1:40">
      <c r="A8" s="2" t="s">
        <v>106</v>
      </c>
      <c r="B8" s="2">
        <v>2</v>
      </c>
      <c r="C8" s="2">
        <v>8</v>
      </c>
      <c r="D8" s="2">
        <v>5</v>
      </c>
      <c r="E8" s="2">
        <v>2</v>
      </c>
      <c r="F8" s="2">
        <v>4</v>
      </c>
      <c r="G8" s="2">
        <v>1</v>
      </c>
      <c r="H8" s="2">
        <v>3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1</v>
      </c>
      <c r="O8" s="2">
        <v>0</v>
      </c>
      <c r="P8" s="2">
        <v>1</v>
      </c>
      <c r="Q8" s="2">
        <v>4</v>
      </c>
      <c r="R8" s="2">
        <v>2</v>
      </c>
      <c r="S8" s="9">
        <f t="shared" si="0"/>
        <v>15.592151366503154</v>
      </c>
      <c r="T8" s="9">
        <f t="shared" si="1"/>
        <v>37.29967142761349</v>
      </c>
      <c r="U8" s="6">
        <f t="shared" si="2"/>
        <v>0.41802382620882977</v>
      </c>
      <c r="V8" s="9">
        <f t="shared" si="3"/>
        <v>50</v>
      </c>
      <c r="W8" s="9">
        <f t="shared" si="4"/>
        <v>0.31184302733006308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70</v>
      </c>
      <c r="C15" s="2">
        <f t="shared" ref="C15:R15" si="5">SUM(C2:C13)</f>
        <v>890</v>
      </c>
      <c r="D15" s="2">
        <f t="shared" si="5"/>
        <v>815</v>
      </c>
      <c r="E15" s="2">
        <f t="shared" si="5"/>
        <v>312</v>
      </c>
      <c r="F15" s="2">
        <f t="shared" si="5"/>
        <v>670</v>
      </c>
      <c r="G15" s="2">
        <f t="shared" si="5"/>
        <v>66</v>
      </c>
      <c r="H15" s="2">
        <f t="shared" si="5"/>
        <v>190</v>
      </c>
      <c r="I15" s="2">
        <f t="shared" si="5"/>
        <v>70</v>
      </c>
      <c r="J15" s="2">
        <f t="shared" si="5"/>
        <v>94</v>
      </c>
      <c r="K15" s="2">
        <f t="shared" si="5"/>
        <v>58</v>
      </c>
      <c r="L15" s="2">
        <f t="shared" si="5"/>
        <v>267</v>
      </c>
      <c r="M15" s="2">
        <f t="shared" si="5"/>
        <v>325</v>
      </c>
      <c r="N15" s="2">
        <f t="shared" si="5"/>
        <v>139</v>
      </c>
      <c r="O15" s="2">
        <f t="shared" si="5"/>
        <v>52</v>
      </c>
      <c r="P15" s="2">
        <f t="shared" si="5"/>
        <v>25</v>
      </c>
      <c r="Q15" s="2">
        <f t="shared" si="5"/>
        <v>84</v>
      </c>
      <c r="R15" s="2">
        <f t="shared" si="5"/>
        <v>150</v>
      </c>
    </row>
    <row r="21" spans="3:4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2026-02-22T16:44:37Z</dcterms:modified>
</cp:coreProperties>
</file>