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9E5E99CE-79A7-4815-AF2D-FC23FA097C3A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ADVANCED!$A$2:$I$2</definedName>
    <definedName name="_xlnm._FilterDatabase" localSheetId="2" hidden="1">PER_GAME_BASIC!$A$2:$BM$2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I4" i="17" l="1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3" i="17"/>
  <c r="I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3" i="17"/>
  <c r="U8" i="16"/>
  <c r="U9" i="16"/>
  <c r="U10" i="16"/>
  <c r="U11" i="16"/>
  <c r="U12" i="16"/>
  <c r="U13" i="16"/>
  <c r="T8" i="16"/>
  <c r="T9" i="16"/>
  <c r="T10" i="16"/>
  <c r="T11" i="16"/>
  <c r="T12" i="16"/>
  <c r="T13" i="16"/>
  <c r="S8" i="16"/>
  <c r="S9" i="16"/>
  <c r="S10" i="16"/>
  <c r="S11" i="16"/>
  <c r="S12" i="16"/>
  <c r="S13" i="16"/>
  <c r="U8" i="15"/>
  <c r="U9" i="15"/>
  <c r="U10" i="15"/>
  <c r="U11" i="15"/>
  <c r="U12" i="15"/>
  <c r="U13" i="15"/>
  <c r="T8" i="15"/>
  <c r="T9" i="15"/>
  <c r="T10" i="15"/>
  <c r="T11" i="15"/>
  <c r="T12" i="15"/>
  <c r="T13" i="15"/>
  <c r="S8" i="15"/>
  <c r="S9" i="15"/>
  <c r="S10" i="15"/>
  <c r="S11" i="15"/>
  <c r="S12" i="15"/>
  <c r="S13" i="15"/>
  <c r="U8" i="14"/>
  <c r="U9" i="14"/>
  <c r="U10" i="14"/>
  <c r="U11" i="14"/>
  <c r="U12" i="14"/>
  <c r="U13" i="14"/>
  <c r="T8" i="14"/>
  <c r="T9" i="14"/>
  <c r="T10" i="14"/>
  <c r="T11" i="14"/>
  <c r="T12" i="14"/>
  <c r="T13" i="14"/>
  <c r="S8" i="14"/>
  <c r="S9" i="14"/>
  <c r="S10" i="14"/>
  <c r="S11" i="14"/>
  <c r="S12" i="14"/>
  <c r="S13" i="14"/>
  <c r="U8" i="13"/>
  <c r="U9" i="13"/>
  <c r="U10" i="13"/>
  <c r="U11" i="13"/>
  <c r="U12" i="13"/>
  <c r="U13" i="13"/>
  <c r="T8" i="13"/>
  <c r="T9" i="13"/>
  <c r="T10" i="13"/>
  <c r="T11" i="13"/>
  <c r="T12" i="13"/>
  <c r="T13" i="13"/>
  <c r="S8" i="13"/>
  <c r="S9" i="13"/>
  <c r="S10" i="13"/>
  <c r="S11" i="13"/>
  <c r="S12" i="13"/>
  <c r="S13" i="13"/>
  <c r="U8" i="12"/>
  <c r="U9" i="12"/>
  <c r="U10" i="12"/>
  <c r="U11" i="12"/>
  <c r="U12" i="12"/>
  <c r="U13" i="12"/>
  <c r="T8" i="12"/>
  <c r="T9" i="12"/>
  <c r="T10" i="12"/>
  <c r="T11" i="12"/>
  <c r="T12" i="12"/>
  <c r="T13" i="12"/>
  <c r="S8" i="12"/>
  <c r="S9" i="12"/>
  <c r="S10" i="12"/>
  <c r="S11" i="12"/>
  <c r="S12" i="12"/>
  <c r="S13" i="12"/>
  <c r="U8" i="11"/>
  <c r="U9" i="11"/>
  <c r="U10" i="11"/>
  <c r="U11" i="11"/>
  <c r="U12" i="11"/>
  <c r="U13" i="11"/>
  <c r="T8" i="11"/>
  <c r="T9" i="11"/>
  <c r="T10" i="11"/>
  <c r="T11" i="11"/>
  <c r="T12" i="11"/>
  <c r="T13" i="11"/>
  <c r="S8" i="11"/>
  <c r="S9" i="11"/>
  <c r="S10" i="11"/>
  <c r="S11" i="11"/>
  <c r="S12" i="11"/>
  <c r="S13" i="11"/>
  <c r="U8" i="10"/>
  <c r="U9" i="10"/>
  <c r="U10" i="10"/>
  <c r="U11" i="10"/>
  <c r="U12" i="10"/>
  <c r="U13" i="10"/>
  <c r="T8" i="10"/>
  <c r="T9" i="10"/>
  <c r="T10" i="10"/>
  <c r="T11" i="10"/>
  <c r="T12" i="10"/>
  <c r="T13" i="10"/>
  <c r="S8" i="10"/>
  <c r="S9" i="10"/>
  <c r="S10" i="10"/>
  <c r="S11" i="10"/>
  <c r="S12" i="10"/>
  <c r="S13" i="10"/>
  <c r="U8" i="9"/>
  <c r="U9" i="9"/>
  <c r="U10" i="9"/>
  <c r="U11" i="9"/>
  <c r="U12" i="9"/>
  <c r="U13" i="9"/>
  <c r="T8" i="9"/>
  <c r="T9" i="9"/>
  <c r="T10" i="9"/>
  <c r="T11" i="9"/>
  <c r="T12" i="9"/>
  <c r="T13" i="9"/>
  <c r="S8" i="9"/>
  <c r="S9" i="9"/>
  <c r="S10" i="9"/>
  <c r="S11" i="9"/>
  <c r="S12" i="9"/>
  <c r="S13" i="9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T5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T5" i="15" s="1"/>
  <c r="B15" i="15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T5" i="13" s="1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S5" i="12" s="1"/>
  <c r="B15" i="12"/>
  <c r="S7" i="12"/>
  <c r="S3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T5" i="11" s="1"/>
  <c r="B15" i="11"/>
  <c r="R15" i="10"/>
  <c r="Q15" i="10"/>
  <c r="P15" i="10"/>
  <c r="O15" i="10"/>
  <c r="N15" i="10"/>
  <c r="M15" i="10"/>
  <c r="L15" i="10"/>
  <c r="K15" i="10"/>
  <c r="J15" i="10"/>
  <c r="T2" i="10" s="1"/>
  <c r="I15" i="10"/>
  <c r="H15" i="10"/>
  <c r="G15" i="10"/>
  <c r="F15" i="10"/>
  <c r="E15" i="10"/>
  <c r="D15" i="10"/>
  <c r="C15" i="10"/>
  <c r="B15" i="10"/>
  <c r="S2" i="9"/>
  <c r="U3" i="9"/>
  <c r="U4" i="9"/>
  <c r="U5" i="9"/>
  <c r="U6" i="9"/>
  <c r="U7" i="9"/>
  <c r="U2" i="9"/>
  <c r="T3" i="9"/>
  <c r="T4" i="9"/>
  <c r="T5" i="9"/>
  <c r="T6" i="9"/>
  <c r="T7" i="9"/>
  <c r="T2" i="9"/>
  <c r="S3" i="9"/>
  <c r="S4" i="9"/>
  <c r="S5" i="9"/>
  <c r="S6" i="9"/>
  <c r="S7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B15" i="9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C81" i="7" s="1"/>
  <c r="H80" i="7"/>
  <c r="C83" i="7" s="1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L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S3" i="16" l="1"/>
  <c r="S3" i="15"/>
  <c r="T5" i="14"/>
  <c r="T5" i="12"/>
  <c r="U5" i="12" s="1"/>
  <c r="S4" i="12"/>
  <c r="T3" i="16"/>
  <c r="U3" i="16" s="1"/>
  <c r="S6" i="16"/>
  <c r="T6" i="16"/>
  <c r="S4" i="16"/>
  <c r="T4" i="16"/>
  <c r="S7" i="16"/>
  <c r="S2" i="16"/>
  <c r="T7" i="16"/>
  <c r="T2" i="16"/>
  <c r="S5" i="16"/>
  <c r="U5" i="16" s="1"/>
  <c r="T3" i="15"/>
  <c r="U3" i="15" s="1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U2" i="14" s="1"/>
  <c r="T7" i="14"/>
  <c r="T2" i="14"/>
  <c r="S5" i="14"/>
  <c r="U5" i="14" s="1"/>
  <c r="T3" i="13"/>
  <c r="S6" i="13"/>
  <c r="T6" i="13"/>
  <c r="S4" i="13"/>
  <c r="S3" i="13"/>
  <c r="U3" i="13" s="1"/>
  <c r="T4" i="13"/>
  <c r="S7" i="13"/>
  <c r="U7" i="13" s="1"/>
  <c r="S2" i="13"/>
  <c r="T7" i="13"/>
  <c r="T2" i="13"/>
  <c r="S5" i="13"/>
  <c r="U5" i="13" s="1"/>
  <c r="T3" i="12"/>
  <c r="U3" i="12" s="1"/>
  <c r="S6" i="12"/>
  <c r="T6" i="12"/>
  <c r="T4" i="12"/>
  <c r="S2" i="12"/>
  <c r="U2" i="12" s="1"/>
  <c r="T7" i="12"/>
  <c r="U7" i="12" s="1"/>
  <c r="T2" i="12"/>
  <c r="T6" i="11"/>
  <c r="S3" i="11"/>
  <c r="S4" i="11"/>
  <c r="S6" i="11"/>
  <c r="U6" i="11" s="1"/>
  <c r="T4" i="11"/>
  <c r="S7" i="11"/>
  <c r="U7" i="11" s="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U2" i="10" s="1"/>
  <c r="T7" i="10"/>
  <c r="Y10" i="8"/>
  <c r="Y41" i="8"/>
  <c r="Y25" i="8"/>
  <c r="BL23" i="8"/>
  <c r="BL39" i="8"/>
  <c r="BI44" i="8"/>
  <c r="BI12" i="8"/>
  <c r="BM38" i="8"/>
  <c r="BM30" i="8"/>
  <c r="BH46" i="8"/>
  <c r="BH38" i="8"/>
  <c r="BH30" i="8"/>
  <c r="BI28" i="8"/>
  <c r="BM46" i="8"/>
  <c r="Y21" i="8"/>
  <c r="BE46" i="8"/>
  <c r="BE38" i="8"/>
  <c r="BE30" i="8"/>
  <c r="BE22" i="8"/>
  <c r="BF44" i="8"/>
  <c r="BF36" i="8"/>
  <c r="BF28" i="8"/>
  <c r="BF20" i="8"/>
  <c r="BF12" i="8"/>
  <c r="BH22" i="8"/>
  <c r="BL7" i="8"/>
  <c r="BE29" i="8"/>
  <c r="BE5" i="8"/>
  <c r="BF11" i="8"/>
  <c r="BI27" i="8"/>
  <c r="BM45" i="8"/>
  <c r="BM37" i="8"/>
  <c r="BM29" i="8"/>
  <c r="BM21" i="8"/>
  <c r="BM13" i="8"/>
  <c r="BM5" i="8"/>
  <c r="BH45" i="8"/>
  <c r="BH37" i="8"/>
  <c r="BH29" i="8"/>
  <c r="BH21" i="8"/>
  <c r="BH13" i="8"/>
  <c r="BH5" i="8"/>
  <c r="C85" i="7"/>
  <c r="BL38" i="8"/>
  <c r="BL22" i="8"/>
  <c r="BL6" i="8"/>
  <c r="BK27" i="8"/>
  <c r="BE45" i="8"/>
  <c r="BE21" i="8"/>
  <c r="BF43" i="8"/>
  <c r="BF27" i="8"/>
  <c r="BI11" i="8"/>
  <c r="BK26" i="8"/>
  <c r="Y3" i="8"/>
  <c r="BE36" i="8"/>
  <c r="BE12" i="8"/>
  <c r="BF34" i="8"/>
  <c r="BF18" i="8"/>
  <c r="BK9" i="8"/>
  <c r="BM28" i="8"/>
  <c r="BM20" i="8"/>
  <c r="BM4" i="8"/>
  <c r="BH44" i="8"/>
  <c r="BH36" i="8"/>
  <c r="BH28" i="8"/>
  <c r="BH20" i="8"/>
  <c r="BH12" i="8"/>
  <c r="BH4" i="8"/>
  <c r="C82" i="7"/>
  <c r="BL37" i="8"/>
  <c r="BL21" i="8"/>
  <c r="BL5" i="8"/>
  <c r="BK11" i="8"/>
  <c r="BM22" i="8"/>
  <c r="BH14" i="8"/>
  <c r="BE3" i="8"/>
  <c r="Y37" i="8"/>
  <c r="BE13" i="8"/>
  <c r="BF35" i="8"/>
  <c r="BF19" i="8"/>
  <c r="BI43" i="8"/>
  <c r="BK42" i="8"/>
  <c r="BK10" i="8"/>
  <c r="BE44" i="8"/>
  <c r="BE28" i="8"/>
  <c r="BE20" i="8"/>
  <c r="BE4" i="8"/>
  <c r="BF42" i="8"/>
  <c r="BF26" i="8"/>
  <c r="BF10" i="8"/>
  <c r="BI42" i="8"/>
  <c r="BI26" i="8"/>
  <c r="BI10" i="8"/>
  <c r="BK41" i="8"/>
  <c r="BK25" i="8"/>
  <c r="BM44" i="8"/>
  <c r="BM36" i="8"/>
  <c r="BM12" i="8"/>
  <c r="BE43" i="8"/>
  <c r="BE35" i="8"/>
  <c r="BE27" i="8"/>
  <c r="BE19" i="8"/>
  <c r="BE11" i="8"/>
  <c r="BF49" i="8"/>
  <c r="BF41" i="8"/>
  <c r="BF33" i="8"/>
  <c r="BF25" i="8"/>
  <c r="BF17" i="8"/>
  <c r="BF9" i="8"/>
  <c r="BI41" i="8"/>
  <c r="BI33" i="8"/>
  <c r="BI25" i="8"/>
  <c r="BI9" i="8"/>
  <c r="BK40" i="8"/>
  <c r="BK24" i="8"/>
  <c r="BK8" i="8"/>
  <c r="BM43" i="8"/>
  <c r="BM35" i="8"/>
  <c r="BM27" i="8"/>
  <c r="BM19" i="8"/>
  <c r="BM11" i="8"/>
  <c r="BH43" i="8"/>
  <c r="BH35" i="8"/>
  <c r="BH27" i="8"/>
  <c r="BH19" i="8"/>
  <c r="BH11" i="8"/>
  <c r="BL36" i="8"/>
  <c r="BL20" i="8"/>
  <c r="BL4" i="8"/>
  <c r="BE6" i="8"/>
  <c r="BE42" i="8"/>
  <c r="BE10" i="8"/>
  <c r="BF32" i="8"/>
  <c r="BF16" i="8"/>
  <c r="BF8" i="8"/>
  <c r="BI48" i="8"/>
  <c r="BI40" i="8"/>
  <c r="BI24" i="8"/>
  <c r="BI8" i="8"/>
  <c r="BK39" i="8"/>
  <c r="BK23" i="8"/>
  <c r="BK7" i="8"/>
  <c r="BM3" i="8"/>
  <c r="BM42" i="8"/>
  <c r="BM34" i="8"/>
  <c r="BM26" i="8"/>
  <c r="BM18" i="8"/>
  <c r="BM10" i="8"/>
  <c r="BH3" i="8"/>
  <c r="BH42" i="8"/>
  <c r="BH34" i="8"/>
  <c r="BH26" i="8"/>
  <c r="BH18" i="8"/>
  <c r="BH10" i="8"/>
  <c r="BL43" i="8"/>
  <c r="BL27" i="8"/>
  <c r="BL11" i="8"/>
  <c r="BE26" i="8"/>
  <c r="BF48" i="8"/>
  <c r="BF24" i="8"/>
  <c r="BE33" i="8"/>
  <c r="BE17" i="8"/>
  <c r="BF47" i="8"/>
  <c r="BF23" i="8"/>
  <c r="BK38" i="8"/>
  <c r="BK6" i="8"/>
  <c r="T80" i="7"/>
  <c r="C84" i="7" s="1"/>
  <c r="BM41" i="8"/>
  <c r="BM33" i="8"/>
  <c r="BM25" i="8"/>
  <c r="BM17" i="8"/>
  <c r="BM9" i="8"/>
  <c r="BH49" i="8"/>
  <c r="BH41" i="8"/>
  <c r="BH33" i="8"/>
  <c r="BH25" i="8"/>
  <c r="BH17" i="8"/>
  <c r="BH9" i="8"/>
  <c r="C87" i="7"/>
  <c r="BL42" i="8"/>
  <c r="BL26" i="8"/>
  <c r="BL10" i="8"/>
  <c r="BE14" i="8"/>
  <c r="BF4" i="8"/>
  <c r="BK43" i="8"/>
  <c r="BM6" i="8"/>
  <c r="BE34" i="8"/>
  <c r="BE18" i="8"/>
  <c r="BF40" i="8"/>
  <c r="BE49" i="8"/>
  <c r="BE9" i="8"/>
  <c r="BF31" i="8"/>
  <c r="BF15" i="8"/>
  <c r="BI39" i="8"/>
  <c r="BI23" i="8"/>
  <c r="BI7" i="8"/>
  <c r="BK22" i="8"/>
  <c r="BM49" i="8"/>
  <c r="BE48" i="8"/>
  <c r="Y40" i="8"/>
  <c r="BE32" i="8"/>
  <c r="BE24" i="8"/>
  <c r="BE16" i="8"/>
  <c r="Y8" i="8"/>
  <c r="BF46" i="8"/>
  <c r="BF38" i="8"/>
  <c r="BF30" i="8"/>
  <c r="BF22" i="8"/>
  <c r="BF14" i="8"/>
  <c r="BF6" i="8"/>
  <c r="AE38" i="8"/>
  <c r="AE22" i="8"/>
  <c r="AE6" i="8"/>
  <c r="BK45" i="8"/>
  <c r="BK29" i="8"/>
  <c r="BK13" i="8"/>
  <c r="U80" i="7"/>
  <c r="BM48" i="8"/>
  <c r="BM40" i="8"/>
  <c r="BM32" i="8"/>
  <c r="BM24" i="8"/>
  <c r="BM16" i="8"/>
  <c r="BM8" i="8"/>
  <c r="BH48" i="8"/>
  <c r="BH40" i="8"/>
  <c r="BH32" i="8"/>
  <c r="BH24" i="8"/>
  <c r="BH16" i="8"/>
  <c r="BH8" i="8"/>
  <c r="BL41" i="8"/>
  <c r="BL25" i="8"/>
  <c r="BL9" i="8"/>
  <c r="BM14" i="8"/>
  <c r="BH6" i="8"/>
  <c r="BE47" i="8"/>
  <c r="BE39" i="8"/>
  <c r="BE31" i="8"/>
  <c r="BE23" i="8"/>
  <c r="BE15" i="8"/>
  <c r="BE7" i="8"/>
  <c r="BF45" i="8"/>
  <c r="BF37" i="8"/>
  <c r="BF29" i="8"/>
  <c r="BF21" i="8"/>
  <c r="BF13" i="8"/>
  <c r="BI45" i="8"/>
  <c r="BI29" i="8"/>
  <c r="BI13" i="8"/>
  <c r="BK44" i="8"/>
  <c r="BK28" i="8"/>
  <c r="BK12" i="8"/>
  <c r="BM47" i="8"/>
  <c r="BM39" i="8"/>
  <c r="BM31" i="8"/>
  <c r="BM23" i="8"/>
  <c r="BM15" i="8"/>
  <c r="BM7" i="8"/>
  <c r="BH47" i="8"/>
  <c r="BH39" i="8"/>
  <c r="BH31" i="8"/>
  <c r="BH23" i="8"/>
  <c r="BH15" i="8"/>
  <c r="BH7" i="8"/>
  <c r="BL40" i="8"/>
  <c r="BL24" i="8"/>
  <c r="BL8" i="8"/>
  <c r="AG19" i="8"/>
  <c r="AG35" i="8"/>
  <c r="AG18" i="8"/>
  <c r="AG34" i="8"/>
  <c r="AG3" i="8"/>
  <c r="AG17" i="8"/>
  <c r="AG33" i="8"/>
  <c r="AG49" i="8"/>
  <c r="AG16" i="8"/>
  <c r="AG32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AF46" i="8"/>
  <c r="AF30" i="8"/>
  <c r="AF14" i="8"/>
  <c r="AF47" i="8"/>
  <c r="AF31" i="8"/>
  <c r="AF15" i="8"/>
  <c r="AF5" i="8"/>
  <c r="AF3" i="8"/>
  <c r="AF48" i="8"/>
  <c r="AF32" i="8"/>
  <c r="AF16" i="8"/>
  <c r="C86" i="7"/>
  <c r="AH49" i="8" s="1"/>
  <c r="AF37" i="8"/>
  <c r="AE18" i="8"/>
  <c r="AF49" i="8"/>
  <c r="AF33" i="8"/>
  <c r="AF17" i="8"/>
  <c r="AE35" i="8"/>
  <c r="AE19" i="8"/>
  <c r="AF34" i="8"/>
  <c r="AF18" i="8"/>
  <c r="AE36" i="8"/>
  <c r="AE20" i="8"/>
  <c r="AE4" i="8"/>
  <c r="AF35" i="8"/>
  <c r="AF19" i="8"/>
  <c r="AF21" i="8"/>
  <c r="AE37" i="8"/>
  <c r="AE21" i="8"/>
  <c r="AE5" i="8"/>
  <c r="AF36" i="8"/>
  <c r="AF20" i="8"/>
  <c r="AF4" i="8"/>
  <c r="BI34" i="8"/>
  <c r="BI18" i="8"/>
  <c r="BK46" i="8"/>
  <c r="BK30" i="8"/>
  <c r="BK14" i="8"/>
  <c r="BL44" i="8"/>
  <c r="BL28" i="8"/>
  <c r="BL12" i="8"/>
  <c r="AE39" i="8"/>
  <c r="AE23" i="8"/>
  <c r="AE7" i="8"/>
  <c r="AF38" i="8"/>
  <c r="AF22" i="8"/>
  <c r="AF6" i="8"/>
  <c r="BI35" i="8"/>
  <c r="BI19" i="8"/>
  <c r="BK47" i="8"/>
  <c r="BK31" i="8"/>
  <c r="BK15" i="8"/>
  <c r="BL45" i="8"/>
  <c r="BL29" i="8"/>
  <c r="BL13" i="8"/>
  <c r="AE40" i="8"/>
  <c r="AE24" i="8"/>
  <c r="AE8" i="8"/>
  <c r="AF39" i="8"/>
  <c r="AF23" i="8"/>
  <c r="AF7" i="8"/>
  <c r="AB18" i="8"/>
  <c r="BI36" i="8"/>
  <c r="BI20" i="8"/>
  <c r="BI4" i="8"/>
  <c r="BK48" i="8"/>
  <c r="BK32" i="8"/>
  <c r="BK16" i="8"/>
  <c r="BL46" i="8"/>
  <c r="BL30" i="8"/>
  <c r="BL14" i="8"/>
  <c r="AE41" i="8"/>
  <c r="AE25" i="8"/>
  <c r="AE9" i="8"/>
  <c r="AF40" i="8"/>
  <c r="AF24" i="8"/>
  <c r="AF8" i="8"/>
  <c r="BI37" i="8"/>
  <c r="BI21" i="8"/>
  <c r="BI5" i="8"/>
  <c r="BK49" i="8"/>
  <c r="BK33" i="8"/>
  <c r="BK17" i="8"/>
  <c r="BL47" i="8"/>
  <c r="BL31" i="8"/>
  <c r="BL15" i="8"/>
  <c r="AE42" i="8"/>
  <c r="AE26" i="8"/>
  <c r="AE10" i="8"/>
  <c r="AF41" i="8"/>
  <c r="AF25" i="8"/>
  <c r="AF9" i="8"/>
  <c r="AB35" i="8"/>
  <c r="BI38" i="8"/>
  <c r="BI22" i="8"/>
  <c r="BI6" i="8"/>
  <c r="BK34" i="8"/>
  <c r="BK18" i="8"/>
  <c r="BL48" i="8"/>
  <c r="BL32" i="8"/>
  <c r="BL16" i="8"/>
  <c r="AE43" i="8"/>
  <c r="AE27" i="8"/>
  <c r="AE11" i="8"/>
  <c r="AF42" i="8"/>
  <c r="AF26" i="8"/>
  <c r="AF10" i="8"/>
  <c r="AH8" i="8"/>
  <c r="BK35" i="8"/>
  <c r="BK19" i="8"/>
  <c r="BL49" i="8"/>
  <c r="BL33" i="8"/>
  <c r="BL17" i="8"/>
  <c r="AE44" i="8"/>
  <c r="AE28" i="8"/>
  <c r="AE12" i="8"/>
  <c r="AF43" i="8"/>
  <c r="AF27" i="8"/>
  <c r="AF11" i="8"/>
  <c r="BK36" i="8"/>
  <c r="BK20" i="8"/>
  <c r="BK4" i="8"/>
  <c r="BL34" i="8"/>
  <c r="BL18" i="8"/>
  <c r="AE45" i="8"/>
  <c r="AE29" i="8"/>
  <c r="AE13" i="8"/>
  <c r="AF44" i="8"/>
  <c r="AF28" i="8"/>
  <c r="AF12" i="8"/>
  <c r="Y5" i="8"/>
  <c r="BF3" i="8"/>
  <c r="BK37" i="8"/>
  <c r="BK21" i="8"/>
  <c r="BK5" i="8"/>
  <c r="BL35" i="8"/>
  <c r="BL19" i="8"/>
  <c r="AE46" i="8"/>
  <c r="AE30" i="8"/>
  <c r="AE14" i="8"/>
  <c r="AF45" i="8"/>
  <c r="AF29" i="8"/>
  <c r="AF13" i="8"/>
  <c r="AE47" i="8"/>
  <c r="AE31" i="8"/>
  <c r="AE15" i="8"/>
  <c r="Y39" i="8"/>
  <c r="Y7" i="8"/>
  <c r="AE48" i="8"/>
  <c r="AE32" i="8"/>
  <c r="AE16" i="8"/>
  <c r="BI3" i="8"/>
  <c r="AE49" i="8"/>
  <c r="AE33" i="8"/>
  <c r="AE17" i="8"/>
  <c r="BE37" i="8"/>
  <c r="AE3" i="8"/>
  <c r="AE34" i="8"/>
  <c r="Y42" i="8"/>
  <c r="Y26" i="8"/>
  <c r="BK3" i="8"/>
  <c r="BI46" i="8"/>
  <c r="BI30" i="8"/>
  <c r="BI14" i="8"/>
  <c r="BL3" i="8"/>
  <c r="BF5" i="8"/>
  <c r="BI47" i="8"/>
  <c r="BI31" i="8"/>
  <c r="BI15" i="8"/>
  <c r="BE40" i="8"/>
  <c r="BE8" i="8"/>
  <c r="BI32" i="8"/>
  <c r="BI16" i="8"/>
  <c r="BE41" i="8"/>
  <c r="BE25" i="8"/>
  <c r="BF39" i="8"/>
  <c r="BF7" i="8"/>
  <c r="BI49" i="8"/>
  <c r="BI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7" i="15" l="1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G25" i="8"/>
  <c r="AH28" i="8"/>
  <c r="BJ47" i="8"/>
  <c r="AH44" i="8"/>
  <c r="BG49" i="8"/>
  <c r="BG35" i="8"/>
  <c r="BG32" i="8"/>
  <c r="BJ13" i="8"/>
  <c r="BG33" i="8"/>
  <c r="BG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J16" i="8"/>
  <c r="BJ24" i="8"/>
  <c r="BG19" i="8"/>
  <c r="BJ46" i="8"/>
  <c r="BG22" i="8"/>
  <c r="BG36" i="8"/>
  <c r="BJ9" i="8"/>
  <c r="BJ30" i="8"/>
  <c r="BG47" i="8"/>
  <c r="BG44" i="8"/>
  <c r="BG28" i="8"/>
  <c r="BJ38" i="8"/>
  <c r="BG6" i="8"/>
  <c r="BG4" i="8"/>
  <c r="BJ32" i="8"/>
  <c r="BJ14" i="8"/>
  <c r="BJ37" i="8"/>
  <c r="BJ21" i="8"/>
  <c r="BJ5" i="8"/>
  <c r="BG15" i="8"/>
  <c r="BG30" i="8"/>
  <c r="BJ6" i="8"/>
  <c r="BJ43" i="8"/>
  <c r="BG20" i="8"/>
  <c r="BJ8" i="8"/>
  <c r="BJ48" i="8"/>
  <c r="BG37" i="8"/>
  <c r="BG38" i="8"/>
  <c r="BJ4" i="8"/>
  <c r="BJ31" i="8"/>
  <c r="BG34" i="8"/>
  <c r="BG41" i="8"/>
  <c r="BG31" i="8"/>
  <c r="BG29" i="8"/>
  <c r="BJ44" i="8"/>
  <c r="BJ41" i="8"/>
  <c r="BJ18" i="8"/>
  <c r="BJ15" i="8"/>
  <c r="BJ40" i="8"/>
  <c r="BG45" i="8"/>
  <c r="BJ11" i="8"/>
  <c r="BJ36" i="8"/>
  <c r="BG48" i="8"/>
  <c r="BG13" i="8"/>
  <c r="BJ12" i="8"/>
  <c r="BG17" i="8"/>
  <c r="BG40" i="8"/>
  <c r="BG23" i="8"/>
  <c r="BG5" i="8"/>
  <c r="BJ17" i="8"/>
  <c r="BG42" i="8"/>
  <c r="BJ35" i="8"/>
  <c r="BG3" i="8"/>
  <c r="BG18" i="8"/>
  <c r="BJ49" i="8"/>
  <c r="BJ7" i="8"/>
  <c r="BG12" i="8"/>
  <c r="BG39" i="8"/>
  <c r="BG10" i="8"/>
  <c r="BJ19" i="8"/>
  <c r="BG16" i="8"/>
  <c r="BG26" i="8"/>
  <c r="BJ42" i="8"/>
  <c r="BJ20" i="8"/>
  <c r="BG9" i="8"/>
  <c r="BJ10" i="8"/>
  <c r="BG43" i="8"/>
  <c r="BJ45" i="8"/>
  <c r="BG46" i="8"/>
  <c r="BG27" i="8"/>
  <c r="BJ27" i="8"/>
  <c r="BG7" i="8"/>
  <c r="BJ34" i="8"/>
  <c r="BJ39" i="8"/>
  <c r="BJ3" i="8"/>
  <c r="BJ23" i="8"/>
  <c r="BJ33" i="8"/>
  <c r="BJ26" i="8"/>
  <c r="BJ25" i="8"/>
  <c r="BJ22" i="8"/>
  <c r="BG24" i="8"/>
  <c r="BJ29" i="8"/>
  <c r="BG14" i="8"/>
  <c r="BG11" i="8"/>
  <c r="BJ28" i="8"/>
  <c r="BG8" i="8"/>
</calcChain>
</file>

<file path=xl/sharedStrings.xml><?xml version="1.0" encoding="utf-8"?>
<sst xmlns="http://schemas.openxmlformats.org/spreadsheetml/2006/main" count="474" uniqueCount="112">
  <si>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</si>
  <si>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</si>
  <si>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</si>
  <si>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</si>
  <si>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</si>
  <si>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</si>
  <si>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</si>
  <si>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</si>
  <si>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</si>
  <si>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</si>
  <si>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</si>
  <si>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</si>
  <si>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</si>
  <si>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</si>
  <si>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</si>
  <si>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</si>
  <si>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</si>
  <si>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</si>
  <si>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</si>
  <si>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</si>
  <si>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</si>
  <si>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</si>
  <si>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</si>
  <si>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</si>
  <si>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</si>
  <si>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</si>
  <si>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</si>
  <si>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</si>
  <si>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</si>
  <si>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</si>
  <si>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</si>
  <si>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</si>
  <si>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</si>
  <si>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</si>
  <si>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</si>
  <si>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</si>
  <si>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Chelsea Gray</t>
  </si>
  <si>
    <t>Marina Mabrey</t>
  </si>
  <si>
    <t>Allisha Gray</t>
  </si>
  <si>
    <t>Paige Bueckers</t>
  </si>
  <si>
    <t>Aaliyah Edwards</t>
  </si>
  <si>
    <t>Kelsey Plum</t>
  </si>
  <si>
    <t>Kahleah Copper</t>
  </si>
  <si>
    <t>Rhyne Howard</t>
  </si>
  <si>
    <t>Breanna Stewart</t>
  </si>
  <si>
    <t>Dearica Hamby</t>
  </si>
  <si>
    <t>Brittney Sykes</t>
  </si>
  <si>
    <t>Aliyah Boston</t>
  </si>
  <si>
    <t>Jackie Young</t>
  </si>
  <si>
    <t>Dominique Malonga</t>
  </si>
  <si>
    <t>Kelsey Mitchell</t>
  </si>
  <si>
    <t>Sonia Citron</t>
  </si>
  <si>
    <t>Rickea Jackson</t>
  </si>
  <si>
    <t>Monique Billings</t>
  </si>
  <si>
    <t>Arike Ogunbowale</t>
  </si>
  <si>
    <t>Shakira Austin</t>
  </si>
  <si>
    <t>Tiffany Hayes</t>
  </si>
  <si>
    <t>Cameron Brink</t>
  </si>
  <si>
    <t>Alyssa Thomas</t>
  </si>
  <si>
    <t>Azurá Stevens</t>
  </si>
  <si>
    <t>Natasha Cloud</t>
  </si>
  <si>
    <t>Kiki Iriafen</t>
  </si>
  <si>
    <t>Skylar Diggins</t>
  </si>
  <si>
    <t>Ezi Magbegor</t>
  </si>
  <si>
    <t>Maddy Siegrist</t>
  </si>
  <si>
    <t>Veronica Burton</t>
  </si>
  <si>
    <t>Courtney Williams</t>
  </si>
  <si>
    <t>Naz Hillmon</t>
  </si>
  <si>
    <t>Erica Wheeler</t>
  </si>
  <si>
    <t>Jordin Canada</t>
  </si>
  <si>
    <t>Brittney Griner</t>
  </si>
  <si>
    <t>Rae Burrell</t>
  </si>
  <si>
    <t>Kate Martin</t>
  </si>
  <si>
    <t>Saniya Rivers</t>
  </si>
  <si>
    <t>Lexie Hull</t>
  </si>
  <si>
    <t>Rebecca Allen</t>
  </si>
  <si>
    <t>Sug Sutton</t>
  </si>
  <si>
    <t>Alanna Smith</t>
  </si>
  <si>
    <t>Li Yueru</t>
  </si>
  <si>
    <t>Natisha Hiedeman</t>
  </si>
  <si>
    <t>Temi Fágbénlé</t>
  </si>
  <si>
    <t>Rachel Banham</t>
  </si>
  <si>
    <t>Aari McDonald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</si>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</sst>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110</v>
      </c>
    </row>
    <row r="2" spans="1:2" x14ac:dyDescent="0.25">
      <c r="A2" s="1" t="s">
        <v>1</v>
      </c>
      <c r="B2" t="s">
        <v>109</v>
      </c>
    </row>
    <row r="3" spans="1:2" x14ac:dyDescent="0.25">
      <c r="A3" s="1" t="s">
        <v>107</v>
      </c>
      <c r="B3" t="s">
        <v>108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0" t="s">
        <v>29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36</v>
      </c>
      <c r="C3" s="2">
        <v>7</v>
      </c>
      <c r="D3" s="2">
        <v>156</v>
      </c>
      <c r="E3" s="2">
        <v>203</v>
      </c>
      <c r="F3" s="2">
        <v>69</v>
      </c>
      <c r="G3" s="2">
        <v>124</v>
      </c>
      <c r="H3" s="2">
        <v>28</v>
      </c>
      <c r="I3" s="2">
        <v>53</v>
      </c>
      <c r="J3" s="2">
        <v>18</v>
      </c>
      <c r="K3" s="2">
        <v>19</v>
      </c>
      <c r="L3" s="2">
        <v>5</v>
      </c>
      <c r="M3" s="2">
        <v>30</v>
      </c>
      <c r="N3" s="2">
        <v>35</v>
      </c>
      <c r="O3" s="2">
        <v>45</v>
      </c>
      <c r="P3" s="2">
        <v>11</v>
      </c>
      <c r="Q3" s="2">
        <v>4</v>
      </c>
      <c r="R3" s="2">
        <v>19</v>
      </c>
      <c r="S3" s="2">
        <v>16</v>
      </c>
      <c r="T3" s="2">
        <f>F3-H3</f>
        <v>41</v>
      </c>
      <c r="U3" s="2">
        <f>G3-I3</f>
        <v>71</v>
      </c>
    </row>
    <row r="4" spans="1:21" x14ac:dyDescent="0.25">
      <c r="A4" s="2">
        <v>2</v>
      </c>
      <c r="B4" s="5" t="s">
        <v>38</v>
      </c>
      <c r="C4" s="2">
        <v>7</v>
      </c>
      <c r="D4" s="2">
        <v>116</v>
      </c>
      <c r="E4" s="2">
        <v>170</v>
      </c>
      <c r="F4" s="2">
        <v>60</v>
      </c>
      <c r="G4" s="2">
        <v>125</v>
      </c>
      <c r="H4" s="2">
        <v>20</v>
      </c>
      <c r="I4" s="2">
        <v>53</v>
      </c>
      <c r="J4" s="2">
        <v>14</v>
      </c>
      <c r="K4" s="2">
        <v>18</v>
      </c>
      <c r="L4" s="2">
        <v>8</v>
      </c>
      <c r="M4" s="2">
        <v>26</v>
      </c>
      <c r="N4" s="2">
        <v>34</v>
      </c>
      <c r="O4" s="2">
        <v>24</v>
      </c>
      <c r="P4" s="2">
        <v>8</v>
      </c>
      <c r="Q4" s="2">
        <v>6</v>
      </c>
      <c r="R4" s="2">
        <v>11</v>
      </c>
      <c r="S4" s="2">
        <v>13</v>
      </c>
      <c r="T4" s="2">
        <f t="shared" ref="T4:T49" si="0">F4-H4</f>
        <v>40</v>
      </c>
      <c r="U4" s="2">
        <f t="shared" ref="U4:U49" si="1">G4-I4</f>
        <v>72</v>
      </c>
    </row>
    <row r="5" spans="1:21" x14ac:dyDescent="0.25">
      <c r="A5" s="2">
        <v>3</v>
      </c>
      <c r="B5" s="5" t="s">
        <v>37</v>
      </c>
      <c r="C5" s="2">
        <v>6</v>
      </c>
      <c r="D5" s="2">
        <v>130</v>
      </c>
      <c r="E5" s="2">
        <v>157</v>
      </c>
      <c r="F5" s="2">
        <v>55</v>
      </c>
      <c r="G5" s="2">
        <v>132</v>
      </c>
      <c r="H5" s="2">
        <v>22</v>
      </c>
      <c r="I5" s="2">
        <v>68</v>
      </c>
      <c r="J5" s="2">
        <v>14</v>
      </c>
      <c r="K5" s="2">
        <v>16</v>
      </c>
      <c r="L5" s="2">
        <v>5</v>
      </c>
      <c r="M5" s="2">
        <v>39</v>
      </c>
      <c r="N5" s="2">
        <v>44</v>
      </c>
      <c r="O5" s="2">
        <v>37</v>
      </c>
      <c r="P5" s="2">
        <v>2</v>
      </c>
      <c r="Q5" s="2">
        <v>0</v>
      </c>
      <c r="R5" s="2">
        <v>25</v>
      </c>
      <c r="S5" s="2">
        <v>22</v>
      </c>
      <c r="T5" s="2">
        <f t="shared" si="0"/>
        <v>33</v>
      </c>
      <c r="U5" s="2">
        <f t="shared" si="1"/>
        <v>64</v>
      </c>
    </row>
    <row r="6" spans="1:21" x14ac:dyDescent="0.25">
      <c r="A6" s="2">
        <v>4</v>
      </c>
      <c r="B6" s="5" t="s">
        <v>41</v>
      </c>
      <c r="C6" s="2">
        <v>7</v>
      </c>
      <c r="D6" s="2">
        <v>124</v>
      </c>
      <c r="E6" s="2">
        <v>148</v>
      </c>
      <c r="F6" s="2">
        <v>60</v>
      </c>
      <c r="G6" s="2">
        <v>122</v>
      </c>
      <c r="H6" s="2">
        <v>18</v>
      </c>
      <c r="I6" s="2">
        <v>51</v>
      </c>
      <c r="J6" s="2">
        <v>7</v>
      </c>
      <c r="K6" s="2">
        <v>7</v>
      </c>
      <c r="L6" s="2">
        <v>5</v>
      </c>
      <c r="M6" s="2">
        <v>31</v>
      </c>
      <c r="N6" s="2">
        <v>36</v>
      </c>
      <c r="O6" s="2">
        <v>38</v>
      </c>
      <c r="P6" s="2">
        <v>3</v>
      </c>
      <c r="Q6" s="2">
        <v>0</v>
      </c>
      <c r="R6" s="2">
        <v>8</v>
      </c>
      <c r="S6" s="2">
        <v>20</v>
      </c>
      <c r="T6" s="2">
        <f t="shared" si="0"/>
        <v>42</v>
      </c>
      <c r="U6" s="2">
        <f t="shared" si="1"/>
        <v>71</v>
      </c>
    </row>
    <row r="7" spans="1:21" x14ac:dyDescent="0.25">
      <c r="A7" s="2">
        <v>5</v>
      </c>
      <c r="B7" s="5" t="s">
        <v>39</v>
      </c>
      <c r="C7" s="2">
        <v>6</v>
      </c>
      <c r="D7" s="2">
        <v>121</v>
      </c>
      <c r="E7" s="2">
        <v>145</v>
      </c>
      <c r="F7" s="2">
        <v>53</v>
      </c>
      <c r="G7" s="2">
        <v>99</v>
      </c>
      <c r="H7" s="2">
        <v>11</v>
      </c>
      <c r="I7" s="2">
        <v>24</v>
      </c>
      <c r="J7" s="2">
        <v>17</v>
      </c>
      <c r="K7" s="2">
        <v>19</v>
      </c>
      <c r="L7" s="2">
        <v>5</v>
      </c>
      <c r="M7" s="2">
        <v>41</v>
      </c>
      <c r="N7" s="2">
        <v>46</v>
      </c>
      <c r="O7" s="2">
        <v>41</v>
      </c>
      <c r="P7" s="2">
        <v>3</v>
      </c>
      <c r="Q7" s="2">
        <v>4</v>
      </c>
      <c r="R7" s="2">
        <v>17</v>
      </c>
      <c r="S7" s="2">
        <v>15</v>
      </c>
      <c r="T7" s="2">
        <f t="shared" si="0"/>
        <v>42</v>
      </c>
      <c r="U7" s="2">
        <f t="shared" si="1"/>
        <v>75</v>
      </c>
    </row>
    <row r="8" spans="1:21" x14ac:dyDescent="0.25">
      <c r="A8" s="2">
        <v>6</v>
      </c>
      <c r="B8" s="5" t="s">
        <v>43</v>
      </c>
      <c r="C8" s="2">
        <v>7</v>
      </c>
      <c r="D8" s="2">
        <v>146</v>
      </c>
      <c r="E8" s="2">
        <v>140</v>
      </c>
      <c r="F8" s="2">
        <v>50</v>
      </c>
      <c r="G8" s="2">
        <v>113</v>
      </c>
      <c r="H8" s="2">
        <v>27</v>
      </c>
      <c r="I8" s="2">
        <v>61</v>
      </c>
      <c r="J8" s="2">
        <v>9</v>
      </c>
      <c r="K8" s="2">
        <v>12</v>
      </c>
      <c r="L8" s="2">
        <v>4</v>
      </c>
      <c r="M8" s="2">
        <v>31</v>
      </c>
      <c r="N8" s="2">
        <v>35</v>
      </c>
      <c r="O8" s="2">
        <v>16</v>
      </c>
      <c r="P8" s="2">
        <v>11</v>
      </c>
      <c r="Q8" s="2">
        <v>5</v>
      </c>
      <c r="R8" s="2">
        <v>10</v>
      </c>
      <c r="S8" s="2">
        <v>19</v>
      </c>
      <c r="T8" s="2">
        <f t="shared" si="0"/>
        <v>23</v>
      </c>
      <c r="U8" s="2">
        <f t="shared" si="1"/>
        <v>52</v>
      </c>
    </row>
    <row r="9" spans="1:21" x14ac:dyDescent="0.25">
      <c r="A9" s="2">
        <v>7</v>
      </c>
      <c r="B9" s="5" t="s">
        <v>44</v>
      </c>
      <c r="C9" s="2">
        <v>7</v>
      </c>
      <c r="D9" s="2">
        <v>115</v>
      </c>
      <c r="E9" s="2">
        <v>138</v>
      </c>
      <c r="F9" s="2">
        <v>54</v>
      </c>
      <c r="G9" s="2">
        <v>111</v>
      </c>
      <c r="H9" s="2">
        <v>7</v>
      </c>
      <c r="I9" s="2">
        <v>25</v>
      </c>
      <c r="J9" s="2">
        <v>14</v>
      </c>
      <c r="K9" s="2">
        <v>16</v>
      </c>
      <c r="L9" s="2">
        <v>12</v>
      </c>
      <c r="M9" s="2">
        <v>52</v>
      </c>
      <c r="N9" s="2">
        <v>64</v>
      </c>
      <c r="O9" s="2">
        <v>17</v>
      </c>
      <c r="P9" s="2">
        <v>8</v>
      </c>
      <c r="Q9" s="2">
        <v>5</v>
      </c>
      <c r="R9" s="2">
        <v>12</v>
      </c>
      <c r="S9" s="2">
        <v>12</v>
      </c>
      <c r="T9" s="2">
        <f t="shared" si="0"/>
        <v>47</v>
      </c>
      <c r="U9" s="2">
        <f t="shared" si="1"/>
        <v>86</v>
      </c>
    </row>
    <row r="10" spans="1:21" x14ac:dyDescent="0.25">
      <c r="A10" s="2">
        <v>8</v>
      </c>
      <c r="B10" s="5" t="s">
        <v>45</v>
      </c>
      <c r="C10" s="2">
        <v>7</v>
      </c>
      <c r="D10" s="2">
        <v>114</v>
      </c>
      <c r="E10" s="2">
        <v>138</v>
      </c>
      <c r="F10" s="2">
        <v>54</v>
      </c>
      <c r="G10" s="2">
        <v>100</v>
      </c>
      <c r="H10" s="2">
        <v>2</v>
      </c>
      <c r="I10" s="2">
        <v>12</v>
      </c>
      <c r="J10" s="2">
        <v>15</v>
      </c>
      <c r="K10" s="2">
        <v>22</v>
      </c>
      <c r="L10" s="2">
        <v>12</v>
      </c>
      <c r="M10" s="2">
        <v>43</v>
      </c>
      <c r="N10" s="2">
        <v>55</v>
      </c>
      <c r="O10" s="2">
        <v>6</v>
      </c>
      <c r="P10" s="2">
        <v>6</v>
      </c>
      <c r="Q10" s="2">
        <v>0</v>
      </c>
      <c r="R10" s="2">
        <v>7</v>
      </c>
      <c r="S10" s="2">
        <v>23</v>
      </c>
      <c r="T10" s="2">
        <f t="shared" si="0"/>
        <v>52</v>
      </c>
      <c r="U10" s="2">
        <f t="shared" si="1"/>
        <v>88</v>
      </c>
    </row>
    <row r="11" spans="1:21" x14ac:dyDescent="0.25">
      <c r="A11" s="2">
        <v>9</v>
      </c>
      <c r="B11" s="5" t="s">
        <v>40</v>
      </c>
      <c r="C11" s="2">
        <v>6</v>
      </c>
      <c r="D11" s="2">
        <v>115</v>
      </c>
      <c r="E11" s="2">
        <v>132</v>
      </c>
      <c r="F11" s="2">
        <v>56</v>
      </c>
      <c r="G11" s="2">
        <v>99</v>
      </c>
      <c r="H11" s="2">
        <v>1</v>
      </c>
      <c r="I11" s="2">
        <v>2</v>
      </c>
      <c r="J11" s="2">
        <v>12</v>
      </c>
      <c r="K11" s="2">
        <v>18</v>
      </c>
      <c r="L11" s="2">
        <v>25</v>
      </c>
      <c r="M11" s="2">
        <v>52</v>
      </c>
      <c r="N11" s="2">
        <v>77</v>
      </c>
      <c r="O11" s="2">
        <v>12</v>
      </c>
      <c r="P11" s="2">
        <v>6</v>
      </c>
      <c r="Q11" s="2">
        <v>3</v>
      </c>
      <c r="R11" s="2">
        <v>21</v>
      </c>
      <c r="S11" s="2">
        <v>22</v>
      </c>
      <c r="T11" s="2">
        <f t="shared" si="0"/>
        <v>55</v>
      </c>
      <c r="U11" s="2">
        <f t="shared" si="1"/>
        <v>97</v>
      </c>
    </row>
    <row r="12" spans="1:21" x14ac:dyDescent="0.25">
      <c r="A12" s="2">
        <v>10</v>
      </c>
      <c r="B12" s="5" t="s">
        <v>47</v>
      </c>
      <c r="C12" s="2">
        <v>7</v>
      </c>
      <c r="D12" s="2">
        <v>120</v>
      </c>
      <c r="E12" s="2">
        <v>132</v>
      </c>
      <c r="F12" s="2">
        <v>56</v>
      </c>
      <c r="G12" s="2">
        <v>108</v>
      </c>
      <c r="H12" s="2">
        <v>6</v>
      </c>
      <c r="I12" s="2">
        <v>22</v>
      </c>
      <c r="J12" s="2">
        <v>7</v>
      </c>
      <c r="K12" s="2">
        <v>9</v>
      </c>
      <c r="L12" s="2">
        <v>15</v>
      </c>
      <c r="M12" s="2">
        <v>53</v>
      </c>
      <c r="N12" s="2">
        <v>68</v>
      </c>
      <c r="O12" s="2">
        <v>15</v>
      </c>
      <c r="P12" s="2">
        <v>9</v>
      </c>
      <c r="Q12" s="2">
        <v>13</v>
      </c>
      <c r="R12" s="2">
        <v>12</v>
      </c>
      <c r="S12" s="2">
        <v>22</v>
      </c>
      <c r="T12" s="2">
        <f t="shared" si="0"/>
        <v>50</v>
      </c>
      <c r="U12" s="2">
        <f t="shared" si="1"/>
        <v>86</v>
      </c>
    </row>
    <row r="13" spans="1:21" x14ac:dyDescent="0.25">
      <c r="A13" s="2">
        <v>11</v>
      </c>
      <c r="B13" s="5" t="s">
        <v>46</v>
      </c>
      <c r="C13" s="2">
        <v>6</v>
      </c>
      <c r="D13" s="2">
        <v>86</v>
      </c>
      <c r="E13" s="2">
        <v>116</v>
      </c>
      <c r="F13" s="2">
        <v>41</v>
      </c>
      <c r="G13" s="2">
        <v>84</v>
      </c>
      <c r="H13" s="2">
        <v>15</v>
      </c>
      <c r="I13" s="2">
        <v>33</v>
      </c>
      <c r="J13" s="2">
        <v>11</v>
      </c>
      <c r="K13" s="2">
        <v>14</v>
      </c>
      <c r="L13" s="2">
        <v>4</v>
      </c>
      <c r="M13" s="2">
        <v>19</v>
      </c>
      <c r="N13" s="2">
        <v>23</v>
      </c>
      <c r="O13" s="2">
        <v>7</v>
      </c>
      <c r="P13" s="2">
        <v>12</v>
      </c>
      <c r="Q13" s="2">
        <v>2</v>
      </c>
      <c r="R13" s="2">
        <v>9</v>
      </c>
      <c r="S13" s="2">
        <v>15</v>
      </c>
      <c r="T13" s="2">
        <f t="shared" si="0"/>
        <v>26</v>
      </c>
      <c r="U13" s="2">
        <f t="shared" si="1"/>
        <v>51</v>
      </c>
    </row>
    <row r="14" spans="1:21" x14ac:dyDescent="0.25">
      <c r="A14" s="2">
        <v>12</v>
      </c>
      <c r="B14" s="5" t="s">
        <v>48</v>
      </c>
      <c r="C14" s="2">
        <v>6</v>
      </c>
      <c r="D14" s="2">
        <v>92</v>
      </c>
      <c r="E14" s="2">
        <v>113</v>
      </c>
      <c r="F14" s="2">
        <v>40</v>
      </c>
      <c r="G14" s="2">
        <v>79</v>
      </c>
      <c r="H14" s="2">
        <v>11</v>
      </c>
      <c r="I14" s="2">
        <v>30</v>
      </c>
      <c r="J14" s="2">
        <v>13</v>
      </c>
      <c r="K14" s="2">
        <v>14</v>
      </c>
      <c r="L14" s="2">
        <v>8</v>
      </c>
      <c r="M14" s="2">
        <v>15</v>
      </c>
      <c r="N14" s="2">
        <v>23</v>
      </c>
      <c r="O14" s="2">
        <v>26</v>
      </c>
      <c r="P14" s="2">
        <v>4</v>
      </c>
      <c r="Q14" s="2">
        <v>1</v>
      </c>
      <c r="R14" s="2">
        <v>11</v>
      </c>
      <c r="S14" s="2">
        <v>14</v>
      </c>
      <c r="T14" s="2">
        <f t="shared" si="0"/>
        <v>29</v>
      </c>
      <c r="U14" s="2">
        <f t="shared" si="1"/>
        <v>49</v>
      </c>
    </row>
    <row r="15" spans="1:21" x14ac:dyDescent="0.25">
      <c r="A15" s="2">
        <v>13</v>
      </c>
      <c r="B15" s="5" t="s">
        <v>49</v>
      </c>
      <c r="C15" s="2">
        <v>6</v>
      </c>
      <c r="D15" s="2">
        <v>86</v>
      </c>
      <c r="E15" s="2">
        <v>100</v>
      </c>
      <c r="F15" s="2">
        <v>40</v>
      </c>
      <c r="G15" s="2">
        <v>78</v>
      </c>
      <c r="H15" s="2">
        <v>3</v>
      </c>
      <c r="I15" s="2">
        <v>10</v>
      </c>
      <c r="J15" s="2">
        <v>9</v>
      </c>
      <c r="K15" s="2">
        <v>10</v>
      </c>
      <c r="L15" s="2">
        <v>19</v>
      </c>
      <c r="M15" s="2">
        <v>46</v>
      </c>
      <c r="N15" s="2">
        <v>65</v>
      </c>
      <c r="O15" s="2">
        <v>3</v>
      </c>
      <c r="P15" s="2">
        <v>2</v>
      </c>
      <c r="Q15" s="2">
        <v>7</v>
      </c>
      <c r="R15" s="2">
        <v>19</v>
      </c>
      <c r="S15" s="2">
        <v>10</v>
      </c>
      <c r="T15" s="2">
        <f t="shared" si="0"/>
        <v>37</v>
      </c>
      <c r="U15" s="2">
        <f t="shared" si="1"/>
        <v>68</v>
      </c>
    </row>
    <row r="16" spans="1:21" x14ac:dyDescent="0.25">
      <c r="A16" s="2">
        <v>14</v>
      </c>
      <c r="B16" s="5" t="s">
        <v>50</v>
      </c>
      <c r="C16" s="2">
        <v>6</v>
      </c>
      <c r="D16" s="2">
        <v>101</v>
      </c>
      <c r="E16" s="2">
        <v>94</v>
      </c>
      <c r="F16" s="2">
        <v>41</v>
      </c>
      <c r="G16" s="2">
        <v>79</v>
      </c>
      <c r="H16" s="2">
        <v>5</v>
      </c>
      <c r="I16" s="2">
        <v>23</v>
      </c>
      <c r="J16" s="2">
        <v>4</v>
      </c>
      <c r="K16" s="2">
        <v>5</v>
      </c>
      <c r="L16" s="2">
        <v>3</v>
      </c>
      <c r="M16" s="2">
        <v>14</v>
      </c>
      <c r="N16" s="2">
        <v>17</v>
      </c>
      <c r="O16" s="2">
        <v>12</v>
      </c>
      <c r="P16" s="2">
        <v>7</v>
      </c>
      <c r="Q16" s="2">
        <v>0</v>
      </c>
      <c r="R16" s="2">
        <v>6</v>
      </c>
      <c r="S16" s="2">
        <v>15</v>
      </c>
      <c r="T16" s="2">
        <f t="shared" si="0"/>
        <v>36</v>
      </c>
      <c r="U16" s="2">
        <f t="shared" si="1"/>
        <v>56</v>
      </c>
    </row>
    <row r="17" spans="1:21" x14ac:dyDescent="0.25">
      <c r="A17" s="2">
        <v>15</v>
      </c>
      <c r="B17" s="5" t="s">
        <v>54</v>
      </c>
      <c r="C17" s="2">
        <v>7</v>
      </c>
      <c r="D17" s="2">
        <v>94</v>
      </c>
      <c r="E17" s="2">
        <v>89</v>
      </c>
      <c r="F17" s="2">
        <v>35</v>
      </c>
      <c r="G17" s="2">
        <v>83</v>
      </c>
      <c r="H17" s="2">
        <v>13</v>
      </c>
      <c r="I17" s="2">
        <v>36</v>
      </c>
      <c r="J17" s="2">
        <v>3</v>
      </c>
      <c r="K17" s="2">
        <v>6</v>
      </c>
      <c r="L17" s="2">
        <v>5</v>
      </c>
      <c r="M17" s="2">
        <v>12</v>
      </c>
      <c r="N17" s="2">
        <v>17</v>
      </c>
      <c r="O17" s="2">
        <v>15</v>
      </c>
      <c r="P17" s="2">
        <v>8</v>
      </c>
      <c r="Q17" s="2">
        <v>1</v>
      </c>
      <c r="R17" s="2">
        <v>11</v>
      </c>
      <c r="S17" s="2">
        <v>16</v>
      </c>
      <c r="T17" s="2">
        <f t="shared" si="0"/>
        <v>22</v>
      </c>
      <c r="U17" s="2">
        <f t="shared" si="1"/>
        <v>47</v>
      </c>
    </row>
    <row r="18" spans="1:21" x14ac:dyDescent="0.25">
      <c r="A18" s="2">
        <v>16</v>
      </c>
      <c r="B18" s="5" t="s">
        <v>55</v>
      </c>
      <c r="C18" s="2">
        <v>7</v>
      </c>
      <c r="D18" s="2">
        <v>93</v>
      </c>
      <c r="E18" s="2">
        <v>88</v>
      </c>
      <c r="F18" s="2">
        <v>35</v>
      </c>
      <c r="G18" s="2">
        <v>67</v>
      </c>
      <c r="H18" s="2">
        <v>0</v>
      </c>
      <c r="I18" s="2">
        <v>3</v>
      </c>
      <c r="J18" s="2">
        <v>11</v>
      </c>
      <c r="K18" s="2">
        <v>18</v>
      </c>
      <c r="L18" s="2">
        <v>9</v>
      </c>
      <c r="M18" s="2">
        <v>40</v>
      </c>
      <c r="N18" s="2">
        <v>49</v>
      </c>
      <c r="O18" s="2">
        <v>7</v>
      </c>
      <c r="P18" s="2">
        <v>3</v>
      </c>
      <c r="Q18" s="2">
        <v>2</v>
      </c>
      <c r="R18" s="2">
        <v>9</v>
      </c>
      <c r="S18" s="2">
        <v>16</v>
      </c>
      <c r="T18" s="2">
        <f t="shared" si="0"/>
        <v>35</v>
      </c>
      <c r="U18" s="2">
        <f t="shared" si="1"/>
        <v>64</v>
      </c>
    </row>
    <row r="19" spans="1:21" x14ac:dyDescent="0.25">
      <c r="A19" s="2">
        <v>17</v>
      </c>
      <c r="B19" s="5" t="s">
        <v>51</v>
      </c>
      <c r="C19" s="2">
        <v>6</v>
      </c>
      <c r="D19" s="2">
        <v>96</v>
      </c>
      <c r="E19" s="2">
        <v>86</v>
      </c>
      <c r="F19" s="2">
        <v>33</v>
      </c>
      <c r="G19" s="2">
        <v>78</v>
      </c>
      <c r="H19" s="2">
        <v>5</v>
      </c>
      <c r="I19" s="2">
        <v>27</v>
      </c>
      <c r="J19" s="2">
        <v>8</v>
      </c>
      <c r="K19" s="2">
        <v>9</v>
      </c>
      <c r="L19" s="2">
        <v>1</v>
      </c>
      <c r="M19" s="2">
        <v>26</v>
      </c>
      <c r="N19" s="2">
        <v>27</v>
      </c>
      <c r="O19" s="2">
        <v>15</v>
      </c>
      <c r="P19" s="2">
        <v>6</v>
      </c>
      <c r="Q19" s="2">
        <v>5</v>
      </c>
      <c r="R19" s="2">
        <v>9</v>
      </c>
      <c r="S19" s="2">
        <v>17</v>
      </c>
      <c r="T19" s="2">
        <f t="shared" si="0"/>
        <v>28</v>
      </c>
      <c r="U19" s="2">
        <f t="shared" si="1"/>
        <v>51</v>
      </c>
    </row>
    <row r="20" spans="1:21" x14ac:dyDescent="0.25">
      <c r="A20" s="2">
        <v>18</v>
      </c>
      <c r="B20" s="5" t="s">
        <v>52</v>
      </c>
      <c r="C20" s="2">
        <v>6</v>
      </c>
      <c r="D20" s="2">
        <v>116</v>
      </c>
      <c r="E20" s="2">
        <v>85</v>
      </c>
      <c r="F20" s="2">
        <v>31</v>
      </c>
      <c r="G20" s="2">
        <v>81</v>
      </c>
      <c r="H20" s="2">
        <v>6</v>
      </c>
      <c r="I20" s="2">
        <v>18</v>
      </c>
      <c r="J20" s="2">
        <v>9</v>
      </c>
      <c r="K20" s="2">
        <v>11</v>
      </c>
      <c r="L20" s="2">
        <v>8</v>
      </c>
      <c r="M20" s="2">
        <v>26</v>
      </c>
      <c r="N20" s="2">
        <v>34</v>
      </c>
      <c r="O20" s="2">
        <v>20</v>
      </c>
      <c r="P20" s="2">
        <v>4</v>
      </c>
      <c r="Q20" s="2">
        <v>2</v>
      </c>
      <c r="R20" s="2">
        <v>13</v>
      </c>
      <c r="S20" s="2">
        <v>12</v>
      </c>
      <c r="T20" s="2">
        <f t="shared" si="0"/>
        <v>25</v>
      </c>
      <c r="U20" s="2">
        <f t="shared" si="1"/>
        <v>63</v>
      </c>
    </row>
    <row r="21" spans="1:21" x14ac:dyDescent="0.25">
      <c r="A21" s="2">
        <v>19</v>
      </c>
      <c r="B21" s="5" t="s">
        <v>56</v>
      </c>
      <c r="C21" s="2">
        <v>7</v>
      </c>
      <c r="D21" s="2">
        <v>83</v>
      </c>
      <c r="E21" s="2">
        <v>84</v>
      </c>
      <c r="F21" s="2">
        <v>28</v>
      </c>
      <c r="G21" s="2">
        <v>61</v>
      </c>
      <c r="H21" s="2">
        <v>12</v>
      </c>
      <c r="I21" s="2">
        <v>32</v>
      </c>
      <c r="J21" s="2">
        <v>9</v>
      </c>
      <c r="K21" s="2">
        <v>9</v>
      </c>
      <c r="L21" s="2">
        <v>6</v>
      </c>
      <c r="M21" s="2">
        <v>15</v>
      </c>
      <c r="N21" s="2">
        <v>21</v>
      </c>
      <c r="O21" s="2">
        <v>21</v>
      </c>
      <c r="P21" s="2">
        <v>7</v>
      </c>
      <c r="Q21" s="2">
        <v>3</v>
      </c>
      <c r="R21" s="2">
        <v>5</v>
      </c>
      <c r="S21" s="2">
        <v>17</v>
      </c>
      <c r="T21" s="2">
        <f t="shared" si="0"/>
        <v>16</v>
      </c>
      <c r="U21" s="2">
        <f t="shared" si="1"/>
        <v>29</v>
      </c>
    </row>
    <row r="22" spans="1:21" x14ac:dyDescent="0.25">
      <c r="A22" s="2">
        <v>20</v>
      </c>
      <c r="B22" s="5" t="s">
        <v>42</v>
      </c>
      <c r="C22" s="2">
        <v>4</v>
      </c>
      <c r="D22" s="2">
        <v>71</v>
      </c>
      <c r="E22" s="2">
        <v>82</v>
      </c>
      <c r="F22" s="2">
        <v>34</v>
      </c>
      <c r="G22" s="2">
        <v>68</v>
      </c>
      <c r="H22" s="2">
        <v>9</v>
      </c>
      <c r="I22" s="2">
        <v>24</v>
      </c>
      <c r="J22" s="2">
        <v>3</v>
      </c>
      <c r="K22" s="2">
        <v>5</v>
      </c>
      <c r="L22" s="2">
        <v>4</v>
      </c>
      <c r="M22" s="2">
        <v>14</v>
      </c>
      <c r="N22" s="2">
        <v>18</v>
      </c>
      <c r="O22" s="2">
        <v>3</v>
      </c>
      <c r="P22" s="2">
        <v>0</v>
      </c>
      <c r="Q22" s="2">
        <v>2</v>
      </c>
      <c r="R22" s="2">
        <v>2</v>
      </c>
      <c r="S22" s="2">
        <v>15</v>
      </c>
      <c r="T22" s="2">
        <f t="shared" si="0"/>
        <v>25</v>
      </c>
      <c r="U22" s="2">
        <f t="shared" si="1"/>
        <v>44</v>
      </c>
    </row>
    <row r="23" spans="1:21" x14ac:dyDescent="0.25">
      <c r="A23" s="2">
        <v>21</v>
      </c>
      <c r="B23" s="5" t="s">
        <v>59</v>
      </c>
      <c r="C23" s="2">
        <v>7</v>
      </c>
      <c r="D23" s="2">
        <v>81</v>
      </c>
      <c r="E23" s="2">
        <v>78</v>
      </c>
      <c r="F23" s="2">
        <v>30</v>
      </c>
      <c r="G23" s="2">
        <v>74</v>
      </c>
      <c r="H23" s="2">
        <v>7</v>
      </c>
      <c r="I23" s="2">
        <v>25</v>
      </c>
      <c r="J23" s="2">
        <v>6</v>
      </c>
      <c r="K23" s="2">
        <v>6</v>
      </c>
      <c r="L23" s="2">
        <v>14</v>
      </c>
      <c r="M23" s="2">
        <v>34</v>
      </c>
      <c r="N23" s="2">
        <v>48</v>
      </c>
      <c r="O23" s="2">
        <v>12</v>
      </c>
      <c r="P23" s="2">
        <v>2</v>
      </c>
      <c r="Q23" s="2">
        <v>3</v>
      </c>
      <c r="R23" s="2">
        <v>4</v>
      </c>
      <c r="S23" s="2">
        <v>12</v>
      </c>
      <c r="T23" s="2">
        <f t="shared" si="0"/>
        <v>23</v>
      </c>
      <c r="U23" s="2">
        <f t="shared" si="1"/>
        <v>49</v>
      </c>
    </row>
    <row r="24" spans="1:21" x14ac:dyDescent="0.25">
      <c r="A24" s="2">
        <v>22</v>
      </c>
      <c r="B24" s="5" t="s">
        <v>60</v>
      </c>
      <c r="C24" s="2">
        <v>7</v>
      </c>
      <c r="D24" s="2">
        <v>119</v>
      </c>
      <c r="E24" s="2">
        <v>77</v>
      </c>
      <c r="F24" s="2">
        <v>29</v>
      </c>
      <c r="G24" s="2">
        <v>56</v>
      </c>
      <c r="H24" s="2">
        <v>15</v>
      </c>
      <c r="I24" s="2">
        <v>32</v>
      </c>
      <c r="J24" s="2">
        <v>2</v>
      </c>
      <c r="K24" s="2">
        <v>3</v>
      </c>
      <c r="L24" s="2">
        <v>1</v>
      </c>
      <c r="M24" s="2">
        <v>32</v>
      </c>
      <c r="N24" s="2">
        <v>33</v>
      </c>
      <c r="O24" s="2">
        <v>30</v>
      </c>
      <c r="P24" s="2">
        <v>3</v>
      </c>
      <c r="Q24" s="2">
        <v>1</v>
      </c>
      <c r="R24" s="2">
        <v>9</v>
      </c>
      <c r="S24" s="2">
        <v>23</v>
      </c>
      <c r="T24" s="2">
        <f t="shared" si="0"/>
        <v>14</v>
      </c>
      <c r="U24" s="2">
        <f t="shared" si="1"/>
        <v>24</v>
      </c>
    </row>
    <row r="25" spans="1:21" x14ac:dyDescent="0.25">
      <c r="A25" s="2">
        <v>23</v>
      </c>
      <c r="B25" s="5" t="s">
        <v>53</v>
      </c>
      <c r="C25" s="2">
        <v>6</v>
      </c>
      <c r="D25" s="2">
        <v>69</v>
      </c>
      <c r="E25" s="2">
        <v>77</v>
      </c>
      <c r="F25" s="2">
        <v>30</v>
      </c>
      <c r="G25" s="2">
        <v>66</v>
      </c>
      <c r="H25" s="2">
        <v>2</v>
      </c>
      <c r="I25" s="2">
        <v>8</v>
      </c>
      <c r="J25" s="2">
        <v>8</v>
      </c>
      <c r="K25" s="2">
        <v>10</v>
      </c>
      <c r="L25" s="2">
        <v>13</v>
      </c>
      <c r="M25" s="2">
        <v>36</v>
      </c>
      <c r="N25" s="2">
        <v>49</v>
      </c>
      <c r="O25" s="2">
        <v>2</v>
      </c>
      <c r="P25" s="2">
        <v>5</v>
      </c>
      <c r="Q25" s="2">
        <v>2</v>
      </c>
      <c r="R25" s="2">
        <v>9</v>
      </c>
      <c r="S25" s="2">
        <v>16</v>
      </c>
      <c r="T25" s="2">
        <f t="shared" si="0"/>
        <v>28</v>
      </c>
      <c r="U25" s="2">
        <f t="shared" si="1"/>
        <v>58</v>
      </c>
    </row>
    <row r="26" spans="1:21" x14ac:dyDescent="0.25">
      <c r="A26" s="2">
        <v>24</v>
      </c>
      <c r="B26" s="5" t="s">
        <v>61</v>
      </c>
      <c r="C26" s="2">
        <v>7</v>
      </c>
      <c r="D26" s="2">
        <v>71</v>
      </c>
      <c r="E26" s="2">
        <v>77</v>
      </c>
      <c r="F26" s="2">
        <v>29</v>
      </c>
      <c r="G26" s="2">
        <v>67</v>
      </c>
      <c r="H26" s="2">
        <v>2</v>
      </c>
      <c r="I26" s="2">
        <v>9</v>
      </c>
      <c r="J26" s="2">
        <v>9</v>
      </c>
      <c r="K26" s="2">
        <v>17</v>
      </c>
      <c r="L26" s="2">
        <v>13</v>
      </c>
      <c r="M26" s="2">
        <v>17</v>
      </c>
      <c r="N26" s="2">
        <v>30</v>
      </c>
      <c r="O26" s="2">
        <v>4</v>
      </c>
      <c r="P26" s="2">
        <v>3</v>
      </c>
      <c r="Q26" s="2">
        <v>1</v>
      </c>
      <c r="R26" s="2">
        <v>6</v>
      </c>
      <c r="S26" s="2">
        <v>21</v>
      </c>
      <c r="T26" s="2">
        <f t="shared" si="0"/>
        <v>27</v>
      </c>
      <c r="U26" s="2">
        <f t="shared" si="1"/>
        <v>58</v>
      </c>
    </row>
    <row r="27" spans="1:21" x14ac:dyDescent="0.25">
      <c r="A27" s="2">
        <v>25</v>
      </c>
      <c r="B27" s="5" t="s">
        <v>57</v>
      </c>
      <c r="C27" s="2">
        <v>6</v>
      </c>
      <c r="D27" s="2">
        <v>62</v>
      </c>
      <c r="E27" s="2">
        <v>67</v>
      </c>
      <c r="F27" s="2">
        <v>21</v>
      </c>
      <c r="G27" s="2">
        <v>42</v>
      </c>
      <c r="H27" s="2">
        <v>4</v>
      </c>
      <c r="I27" s="2">
        <v>11</v>
      </c>
      <c r="J27" s="2">
        <v>10</v>
      </c>
      <c r="K27" s="2">
        <v>11</v>
      </c>
      <c r="L27" s="2">
        <v>10</v>
      </c>
      <c r="M27" s="2">
        <v>23</v>
      </c>
      <c r="N27" s="2">
        <v>33</v>
      </c>
      <c r="O27" s="2">
        <v>5</v>
      </c>
      <c r="P27" s="2">
        <v>1</v>
      </c>
      <c r="Q27" s="2">
        <v>7</v>
      </c>
      <c r="R27" s="2">
        <v>11</v>
      </c>
      <c r="S27" s="2">
        <v>24</v>
      </c>
      <c r="T27" s="2">
        <f t="shared" si="0"/>
        <v>17</v>
      </c>
      <c r="U27" s="2">
        <f t="shared" si="1"/>
        <v>31</v>
      </c>
    </row>
    <row r="28" spans="1:21" x14ac:dyDescent="0.25">
      <c r="A28" s="2">
        <v>26</v>
      </c>
      <c r="B28" s="5" t="s">
        <v>58</v>
      </c>
      <c r="C28" s="2">
        <v>6</v>
      </c>
      <c r="D28" s="2">
        <v>86</v>
      </c>
      <c r="E28" s="2">
        <v>67</v>
      </c>
      <c r="F28" s="2">
        <v>29</v>
      </c>
      <c r="G28" s="2">
        <v>45</v>
      </c>
      <c r="H28" s="2">
        <v>0</v>
      </c>
      <c r="I28" s="2">
        <v>0</v>
      </c>
      <c r="J28" s="2">
        <v>5</v>
      </c>
      <c r="K28" s="2">
        <v>6</v>
      </c>
      <c r="L28" s="2">
        <v>6</v>
      </c>
      <c r="M28" s="2">
        <v>42</v>
      </c>
      <c r="N28" s="2">
        <v>48</v>
      </c>
      <c r="O28" s="2">
        <v>22</v>
      </c>
      <c r="P28" s="2">
        <v>2</v>
      </c>
      <c r="Q28" s="2">
        <v>2</v>
      </c>
      <c r="R28" s="2">
        <v>6</v>
      </c>
      <c r="S28" s="2">
        <v>8</v>
      </c>
      <c r="T28" s="2">
        <f t="shared" si="0"/>
        <v>29</v>
      </c>
      <c r="U28" s="2">
        <f t="shared" si="1"/>
        <v>45</v>
      </c>
    </row>
    <row r="29" spans="1:21" x14ac:dyDescent="0.25">
      <c r="A29" s="2">
        <v>27</v>
      </c>
      <c r="B29" s="5" t="s">
        <v>65</v>
      </c>
      <c r="C29" s="2">
        <v>7</v>
      </c>
      <c r="D29" s="2">
        <v>102</v>
      </c>
      <c r="E29" s="2">
        <v>59</v>
      </c>
      <c r="F29" s="2">
        <v>21</v>
      </c>
      <c r="G29" s="2">
        <v>55</v>
      </c>
      <c r="H29" s="2">
        <v>5</v>
      </c>
      <c r="I29" s="2">
        <v>21</v>
      </c>
      <c r="J29" s="2">
        <v>7</v>
      </c>
      <c r="K29" s="2">
        <v>10</v>
      </c>
      <c r="L29" s="2">
        <v>11</v>
      </c>
      <c r="M29" s="2">
        <v>27</v>
      </c>
      <c r="N29" s="2">
        <v>38</v>
      </c>
      <c r="O29" s="2">
        <v>24</v>
      </c>
      <c r="P29" s="2">
        <v>15</v>
      </c>
      <c r="Q29" s="2">
        <v>4</v>
      </c>
      <c r="R29" s="2">
        <v>5</v>
      </c>
      <c r="S29" s="2">
        <v>17</v>
      </c>
      <c r="T29" s="2">
        <f t="shared" si="0"/>
        <v>16</v>
      </c>
      <c r="U29" s="2">
        <f t="shared" si="1"/>
        <v>34</v>
      </c>
    </row>
    <row r="30" spans="1:21" x14ac:dyDescent="0.25">
      <c r="A30" s="2">
        <v>28</v>
      </c>
      <c r="B30" s="5" t="s">
        <v>63</v>
      </c>
      <c r="C30" s="2">
        <v>6</v>
      </c>
      <c r="D30" s="2">
        <v>73</v>
      </c>
      <c r="E30" s="2">
        <v>57</v>
      </c>
      <c r="F30" s="2">
        <v>27</v>
      </c>
      <c r="G30" s="2">
        <v>53</v>
      </c>
      <c r="H30" s="2">
        <v>0</v>
      </c>
      <c r="I30" s="2">
        <v>7</v>
      </c>
      <c r="J30" s="2">
        <v>2</v>
      </c>
      <c r="K30" s="2">
        <v>2</v>
      </c>
      <c r="L30" s="2">
        <v>5</v>
      </c>
      <c r="M30" s="2">
        <v>33</v>
      </c>
      <c r="N30" s="2">
        <v>38</v>
      </c>
      <c r="O30" s="2">
        <v>7</v>
      </c>
      <c r="P30" s="2">
        <v>3</v>
      </c>
      <c r="Q30" s="2">
        <v>7</v>
      </c>
      <c r="R30" s="2">
        <v>8</v>
      </c>
      <c r="S30" s="2">
        <v>18</v>
      </c>
      <c r="T30" s="2">
        <f t="shared" si="0"/>
        <v>27</v>
      </c>
      <c r="U30" s="2">
        <f t="shared" si="1"/>
        <v>46</v>
      </c>
    </row>
    <row r="31" spans="1:21" x14ac:dyDescent="0.25">
      <c r="A31" s="2">
        <v>29</v>
      </c>
      <c r="B31" s="5" t="s">
        <v>66</v>
      </c>
      <c r="C31" s="2">
        <v>7</v>
      </c>
      <c r="D31" s="2">
        <v>90</v>
      </c>
      <c r="E31" s="2">
        <v>55</v>
      </c>
      <c r="F31" s="2">
        <v>26</v>
      </c>
      <c r="G31" s="2">
        <v>59</v>
      </c>
      <c r="H31" s="2">
        <v>3</v>
      </c>
      <c r="I31" s="2">
        <v>10</v>
      </c>
      <c r="J31" s="2">
        <v>0</v>
      </c>
      <c r="K31" s="2">
        <v>1</v>
      </c>
      <c r="L31" s="2">
        <v>3</v>
      </c>
      <c r="M31" s="2">
        <v>36</v>
      </c>
      <c r="N31" s="2">
        <v>39</v>
      </c>
      <c r="O31" s="2">
        <v>34</v>
      </c>
      <c r="P31" s="2">
        <v>2</v>
      </c>
      <c r="Q31" s="2">
        <v>1</v>
      </c>
      <c r="R31" s="2">
        <v>11</v>
      </c>
      <c r="S31" s="2">
        <v>16</v>
      </c>
      <c r="T31" s="2">
        <f t="shared" si="0"/>
        <v>23</v>
      </c>
      <c r="U31" s="2">
        <f t="shared" si="1"/>
        <v>49</v>
      </c>
    </row>
    <row r="32" spans="1:21" x14ac:dyDescent="0.25">
      <c r="A32" s="2">
        <v>30</v>
      </c>
      <c r="B32" s="5" t="s">
        <v>68</v>
      </c>
      <c r="C32" s="2">
        <v>7</v>
      </c>
      <c r="D32" s="2">
        <v>70</v>
      </c>
      <c r="E32" s="2">
        <v>53</v>
      </c>
      <c r="F32" s="2">
        <v>19</v>
      </c>
      <c r="G32" s="2">
        <v>49</v>
      </c>
      <c r="H32" s="2">
        <v>8</v>
      </c>
      <c r="I32" s="2">
        <v>22</v>
      </c>
      <c r="J32" s="2">
        <v>4</v>
      </c>
      <c r="K32" s="2">
        <v>5</v>
      </c>
      <c r="L32" s="2">
        <v>6</v>
      </c>
      <c r="M32" s="2">
        <v>18</v>
      </c>
      <c r="N32" s="2">
        <v>24</v>
      </c>
      <c r="O32" s="2">
        <v>21</v>
      </c>
      <c r="P32" s="2">
        <v>3</v>
      </c>
      <c r="Q32" s="2">
        <v>0</v>
      </c>
      <c r="R32" s="2">
        <v>5</v>
      </c>
      <c r="S32" s="2">
        <v>11</v>
      </c>
      <c r="T32" s="2">
        <f t="shared" si="0"/>
        <v>11</v>
      </c>
      <c r="U32" s="2">
        <f t="shared" si="1"/>
        <v>27</v>
      </c>
    </row>
    <row r="33" spans="1:21" x14ac:dyDescent="0.25">
      <c r="A33" s="2">
        <v>31</v>
      </c>
      <c r="B33" s="5" t="s">
        <v>64</v>
      </c>
      <c r="C33" s="2">
        <v>6</v>
      </c>
      <c r="D33" s="2">
        <v>52</v>
      </c>
      <c r="E33" s="2">
        <v>52</v>
      </c>
      <c r="F33" s="2">
        <v>21</v>
      </c>
      <c r="G33" s="2">
        <v>39</v>
      </c>
      <c r="H33" s="2">
        <v>4</v>
      </c>
      <c r="I33" s="2">
        <v>11</v>
      </c>
      <c r="J33" s="2">
        <v>3</v>
      </c>
      <c r="K33" s="2">
        <v>5</v>
      </c>
      <c r="L33" s="2">
        <v>6</v>
      </c>
      <c r="M33" s="2">
        <v>17</v>
      </c>
      <c r="N33" s="2">
        <v>23</v>
      </c>
      <c r="O33" s="2">
        <v>2</v>
      </c>
      <c r="P33" s="2">
        <v>3</v>
      </c>
      <c r="Q33" s="2">
        <v>0</v>
      </c>
      <c r="R33" s="2">
        <v>5</v>
      </c>
      <c r="S33" s="2">
        <v>13</v>
      </c>
      <c r="T33" s="2">
        <f t="shared" si="0"/>
        <v>17</v>
      </c>
      <c r="U33" s="2">
        <f t="shared" si="1"/>
        <v>28</v>
      </c>
    </row>
    <row r="34" spans="1:21" x14ac:dyDescent="0.25">
      <c r="A34" s="2">
        <v>32</v>
      </c>
      <c r="B34" s="5" t="s">
        <v>71</v>
      </c>
      <c r="C34" s="2">
        <v>7</v>
      </c>
      <c r="D34" s="2">
        <v>57</v>
      </c>
      <c r="E34" s="2">
        <v>46</v>
      </c>
      <c r="F34" s="2">
        <v>17</v>
      </c>
      <c r="G34" s="2">
        <v>42</v>
      </c>
      <c r="H34" s="2">
        <v>3</v>
      </c>
      <c r="I34" s="2">
        <v>11</v>
      </c>
      <c r="J34" s="2">
        <v>5</v>
      </c>
      <c r="K34" s="2">
        <v>6</v>
      </c>
      <c r="L34" s="2">
        <v>6</v>
      </c>
      <c r="M34" s="2">
        <v>16</v>
      </c>
      <c r="N34" s="2">
        <v>22</v>
      </c>
      <c r="O34" s="2">
        <v>12</v>
      </c>
      <c r="P34" s="2">
        <v>4</v>
      </c>
      <c r="Q34" s="2">
        <v>1</v>
      </c>
      <c r="R34" s="2">
        <v>5</v>
      </c>
      <c r="S34" s="2">
        <v>8</v>
      </c>
      <c r="T34" s="2">
        <f t="shared" si="0"/>
        <v>14</v>
      </c>
      <c r="U34" s="2">
        <f t="shared" si="1"/>
        <v>31</v>
      </c>
    </row>
    <row r="35" spans="1:21" x14ac:dyDescent="0.25">
      <c r="A35" s="2">
        <v>33</v>
      </c>
      <c r="B35" s="5" t="s">
        <v>67</v>
      </c>
      <c r="C35" s="2">
        <v>6</v>
      </c>
      <c r="D35" s="2">
        <v>68</v>
      </c>
      <c r="E35" s="2">
        <v>46</v>
      </c>
      <c r="F35" s="2">
        <v>17</v>
      </c>
      <c r="G35" s="2">
        <v>36</v>
      </c>
      <c r="H35" s="2">
        <v>3</v>
      </c>
      <c r="I35" s="2">
        <v>16</v>
      </c>
      <c r="J35" s="2">
        <v>5</v>
      </c>
      <c r="K35" s="2">
        <v>7</v>
      </c>
      <c r="L35" s="2">
        <v>7</v>
      </c>
      <c r="M35" s="2">
        <v>30</v>
      </c>
      <c r="N35" s="2">
        <v>37</v>
      </c>
      <c r="O35" s="2">
        <v>5</v>
      </c>
      <c r="P35" s="2">
        <v>1</v>
      </c>
      <c r="Q35" s="2">
        <v>2</v>
      </c>
      <c r="R35" s="2">
        <v>11</v>
      </c>
      <c r="S35" s="2">
        <v>13</v>
      </c>
      <c r="T35" s="2">
        <f t="shared" si="0"/>
        <v>14</v>
      </c>
      <c r="U35" s="2">
        <f t="shared" si="1"/>
        <v>20</v>
      </c>
    </row>
    <row r="36" spans="1:21" x14ac:dyDescent="0.25">
      <c r="A36" s="2">
        <v>34</v>
      </c>
      <c r="B36" s="5" t="s">
        <v>69</v>
      </c>
      <c r="C36" s="2">
        <v>6</v>
      </c>
      <c r="D36" s="2">
        <v>52</v>
      </c>
      <c r="E36" s="2">
        <v>45</v>
      </c>
      <c r="F36" s="2">
        <v>14</v>
      </c>
      <c r="G36" s="2">
        <v>48</v>
      </c>
      <c r="H36" s="2">
        <v>6</v>
      </c>
      <c r="I36" s="2">
        <v>20</v>
      </c>
      <c r="J36" s="2">
        <v>6</v>
      </c>
      <c r="K36" s="2">
        <v>6</v>
      </c>
      <c r="L36" s="2">
        <v>3</v>
      </c>
      <c r="M36" s="2">
        <v>24</v>
      </c>
      <c r="N36" s="2">
        <v>27</v>
      </c>
      <c r="O36" s="2">
        <v>19</v>
      </c>
      <c r="P36" s="2">
        <v>4</v>
      </c>
      <c r="Q36" s="2">
        <v>1</v>
      </c>
      <c r="R36" s="2">
        <v>3</v>
      </c>
      <c r="S36" s="2">
        <v>11</v>
      </c>
      <c r="T36" s="2">
        <f t="shared" si="0"/>
        <v>8</v>
      </c>
      <c r="U36" s="2">
        <f t="shared" si="1"/>
        <v>28</v>
      </c>
    </row>
    <row r="37" spans="1:21" x14ac:dyDescent="0.25">
      <c r="A37" s="2">
        <v>35</v>
      </c>
      <c r="B37" s="5" t="s">
        <v>70</v>
      </c>
      <c r="C37" s="2">
        <v>6</v>
      </c>
      <c r="D37" s="2">
        <v>33</v>
      </c>
      <c r="E37" s="2">
        <v>44</v>
      </c>
      <c r="F37" s="2">
        <v>16</v>
      </c>
      <c r="G37" s="2">
        <v>25</v>
      </c>
      <c r="H37" s="2">
        <v>0</v>
      </c>
      <c r="I37" s="2">
        <v>1</v>
      </c>
      <c r="J37" s="2">
        <v>7</v>
      </c>
      <c r="K37" s="2">
        <v>9</v>
      </c>
      <c r="L37" s="2">
        <v>6</v>
      </c>
      <c r="M37" s="2">
        <v>13</v>
      </c>
      <c r="N37" s="2">
        <v>19</v>
      </c>
      <c r="O37" s="2">
        <v>0</v>
      </c>
      <c r="P37" s="2">
        <v>0</v>
      </c>
      <c r="Q37" s="2">
        <v>4</v>
      </c>
      <c r="R37" s="2">
        <v>7</v>
      </c>
      <c r="S37" s="2">
        <v>13</v>
      </c>
      <c r="T37" s="2">
        <f t="shared" si="0"/>
        <v>16</v>
      </c>
      <c r="U37" s="2">
        <f t="shared" si="1"/>
        <v>24</v>
      </c>
    </row>
    <row r="38" spans="1:21" x14ac:dyDescent="0.25">
      <c r="A38" s="2">
        <v>36</v>
      </c>
      <c r="B38" s="5" t="s">
        <v>72</v>
      </c>
      <c r="C38" s="2">
        <v>6</v>
      </c>
      <c r="D38" s="2">
        <v>54</v>
      </c>
      <c r="E38" s="2">
        <v>36</v>
      </c>
      <c r="F38" s="2">
        <v>15</v>
      </c>
      <c r="G38" s="2">
        <v>35</v>
      </c>
      <c r="H38" s="2">
        <v>1</v>
      </c>
      <c r="I38" s="2">
        <v>13</v>
      </c>
      <c r="J38" s="2">
        <v>2</v>
      </c>
      <c r="K38" s="2">
        <v>4</v>
      </c>
      <c r="L38" s="2">
        <v>6</v>
      </c>
      <c r="M38" s="2">
        <v>18</v>
      </c>
      <c r="N38" s="2">
        <v>24</v>
      </c>
      <c r="O38" s="2">
        <v>4</v>
      </c>
      <c r="P38" s="2">
        <v>1</v>
      </c>
      <c r="Q38" s="2">
        <v>1</v>
      </c>
      <c r="R38" s="2">
        <v>6</v>
      </c>
      <c r="S38" s="2">
        <v>12</v>
      </c>
      <c r="T38" s="2">
        <f t="shared" si="0"/>
        <v>14</v>
      </c>
      <c r="U38" s="2">
        <f t="shared" si="1"/>
        <v>22</v>
      </c>
    </row>
    <row r="39" spans="1:21" x14ac:dyDescent="0.25">
      <c r="A39" s="2">
        <v>37</v>
      </c>
      <c r="B39" s="5" t="s">
        <v>77</v>
      </c>
      <c r="C39" s="2">
        <v>7</v>
      </c>
      <c r="D39" s="2">
        <v>54</v>
      </c>
      <c r="E39" s="2">
        <v>36</v>
      </c>
      <c r="F39" s="2">
        <v>16</v>
      </c>
      <c r="G39" s="2">
        <v>36</v>
      </c>
      <c r="H39" s="2">
        <v>0</v>
      </c>
      <c r="I39" s="2">
        <v>10</v>
      </c>
      <c r="J39" s="2">
        <v>2</v>
      </c>
      <c r="K39" s="2">
        <v>6</v>
      </c>
      <c r="L39" s="2">
        <v>5</v>
      </c>
      <c r="M39" s="2">
        <v>22</v>
      </c>
      <c r="N39" s="2">
        <v>27</v>
      </c>
      <c r="O39" s="2">
        <v>2</v>
      </c>
      <c r="P39" s="2">
        <v>2</v>
      </c>
      <c r="Q39" s="2">
        <v>6</v>
      </c>
      <c r="R39" s="2">
        <v>5</v>
      </c>
      <c r="S39" s="2">
        <v>17</v>
      </c>
      <c r="T39" s="2">
        <f t="shared" si="0"/>
        <v>16</v>
      </c>
      <c r="U39" s="2">
        <f t="shared" si="1"/>
        <v>26</v>
      </c>
    </row>
    <row r="40" spans="1:21" x14ac:dyDescent="0.25">
      <c r="A40" s="2">
        <v>38</v>
      </c>
      <c r="B40" s="5" t="s">
        <v>73</v>
      </c>
      <c r="C40" s="2">
        <v>6</v>
      </c>
      <c r="D40" s="2">
        <v>53</v>
      </c>
      <c r="E40" s="2">
        <v>34</v>
      </c>
      <c r="F40" s="2">
        <v>15</v>
      </c>
      <c r="G40" s="2">
        <v>44</v>
      </c>
      <c r="H40" s="2">
        <v>2</v>
      </c>
      <c r="I40" s="2">
        <v>12</v>
      </c>
      <c r="J40" s="2">
        <v>1</v>
      </c>
      <c r="K40" s="2">
        <v>3</v>
      </c>
      <c r="L40" s="2">
        <v>2</v>
      </c>
      <c r="M40" s="2">
        <v>17</v>
      </c>
      <c r="N40" s="2">
        <v>19</v>
      </c>
      <c r="O40" s="2">
        <v>5</v>
      </c>
      <c r="P40" s="2">
        <v>5</v>
      </c>
      <c r="Q40" s="2">
        <v>10</v>
      </c>
      <c r="R40" s="2">
        <v>7</v>
      </c>
      <c r="S40" s="2">
        <v>7</v>
      </c>
      <c r="T40" s="2">
        <f t="shared" si="0"/>
        <v>13</v>
      </c>
      <c r="U40" s="2">
        <f t="shared" si="1"/>
        <v>32</v>
      </c>
    </row>
    <row r="41" spans="1:21" x14ac:dyDescent="0.25">
      <c r="A41" s="2">
        <v>39</v>
      </c>
      <c r="B41" s="5" t="s">
        <v>74</v>
      </c>
      <c r="C41" s="2">
        <v>6</v>
      </c>
      <c r="D41" s="2">
        <v>65</v>
      </c>
      <c r="E41" s="2">
        <v>34</v>
      </c>
      <c r="F41" s="2">
        <v>12</v>
      </c>
      <c r="G41" s="2">
        <v>39</v>
      </c>
      <c r="H41" s="2">
        <v>4</v>
      </c>
      <c r="I41" s="2">
        <v>19</v>
      </c>
      <c r="J41" s="2">
        <v>3</v>
      </c>
      <c r="K41" s="2">
        <v>3</v>
      </c>
      <c r="L41" s="2">
        <v>9</v>
      </c>
      <c r="M41" s="2">
        <v>15</v>
      </c>
      <c r="N41" s="2">
        <v>24</v>
      </c>
      <c r="O41" s="2">
        <v>5</v>
      </c>
      <c r="P41" s="2">
        <v>11</v>
      </c>
      <c r="Q41" s="2">
        <v>2</v>
      </c>
      <c r="R41" s="2">
        <v>4</v>
      </c>
      <c r="S41" s="2">
        <v>12</v>
      </c>
      <c r="T41" s="2">
        <f t="shared" si="0"/>
        <v>8</v>
      </c>
      <c r="U41" s="2">
        <f t="shared" si="1"/>
        <v>20</v>
      </c>
    </row>
    <row r="42" spans="1:21" x14ac:dyDescent="0.25">
      <c r="A42" s="2">
        <v>40</v>
      </c>
      <c r="B42" s="5" t="s">
        <v>75</v>
      </c>
      <c r="C42" s="2">
        <v>6</v>
      </c>
      <c r="D42" s="2">
        <v>79</v>
      </c>
      <c r="E42" s="2">
        <v>33</v>
      </c>
      <c r="F42" s="2">
        <v>13</v>
      </c>
      <c r="G42" s="2">
        <v>36</v>
      </c>
      <c r="H42" s="2">
        <v>7</v>
      </c>
      <c r="I42" s="2">
        <v>19</v>
      </c>
      <c r="J42" s="2">
        <v>0</v>
      </c>
      <c r="K42" s="2">
        <v>0</v>
      </c>
      <c r="L42" s="2">
        <v>4</v>
      </c>
      <c r="M42" s="2">
        <v>14</v>
      </c>
      <c r="N42" s="2">
        <v>18</v>
      </c>
      <c r="O42" s="2">
        <v>8</v>
      </c>
      <c r="P42" s="2">
        <v>2</v>
      </c>
      <c r="Q42" s="2">
        <v>8</v>
      </c>
      <c r="R42" s="2">
        <v>12</v>
      </c>
      <c r="S42" s="2">
        <v>22</v>
      </c>
      <c r="T42" s="2">
        <f t="shared" si="0"/>
        <v>6</v>
      </c>
      <c r="U42" s="2">
        <f t="shared" si="1"/>
        <v>17</v>
      </c>
    </row>
    <row r="43" spans="1:21" x14ac:dyDescent="0.25">
      <c r="A43" s="2">
        <v>41</v>
      </c>
      <c r="B43" s="5" t="s">
        <v>76</v>
      </c>
      <c r="C43" s="2">
        <v>6</v>
      </c>
      <c r="D43" s="2">
        <v>49</v>
      </c>
      <c r="E43" s="2">
        <v>33</v>
      </c>
      <c r="F43" s="2">
        <v>13</v>
      </c>
      <c r="G43" s="2">
        <v>32</v>
      </c>
      <c r="H43" s="2">
        <v>5</v>
      </c>
      <c r="I43" s="2">
        <v>18</v>
      </c>
      <c r="J43" s="2">
        <v>1</v>
      </c>
      <c r="K43" s="2">
        <v>1</v>
      </c>
      <c r="L43" s="2">
        <v>0</v>
      </c>
      <c r="M43" s="2">
        <v>7</v>
      </c>
      <c r="N43" s="2">
        <v>7</v>
      </c>
      <c r="O43" s="2">
        <v>12</v>
      </c>
      <c r="P43" s="2">
        <v>6</v>
      </c>
      <c r="Q43" s="2">
        <v>0</v>
      </c>
      <c r="R43" s="2">
        <v>2</v>
      </c>
      <c r="S43" s="2">
        <v>15</v>
      </c>
      <c r="T43" s="2">
        <f t="shared" si="0"/>
        <v>8</v>
      </c>
      <c r="U43" s="2">
        <f t="shared" si="1"/>
        <v>14</v>
      </c>
    </row>
    <row r="44" spans="1:21" x14ac:dyDescent="0.25">
      <c r="A44" s="2">
        <v>42</v>
      </c>
      <c r="B44" s="5" t="s">
        <v>78</v>
      </c>
      <c r="C44" s="2">
        <v>7</v>
      </c>
      <c r="D44" s="2">
        <v>40</v>
      </c>
      <c r="E44" s="2">
        <v>32</v>
      </c>
      <c r="F44" s="2">
        <v>12</v>
      </c>
      <c r="G44" s="2">
        <v>27</v>
      </c>
      <c r="H44" s="2">
        <v>1</v>
      </c>
      <c r="I44" s="2">
        <v>7</v>
      </c>
      <c r="J44" s="2">
        <v>4</v>
      </c>
      <c r="K44" s="2">
        <v>4</v>
      </c>
      <c r="L44" s="2">
        <v>5</v>
      </c>
      <c r="M44" s="2">
        <v>18</v>
      </c>
      <c r="N44" s="2">
        <v>23</v>
      </c>
      <c r="O44" s="2">
        <v>2</v>
      </c>
      <c r="P44" s="2">
        <v>1</v>
      </c>
      <c r="Q44" s="2">
        <v>2</v>
      </c>
      <c r="R44" s="2">
        <v>1</v>
      </c>
      <c r="S44" s="2">
        <v>11</v>
      </c>
      <c r="T44" s="2">
        <f t="shared" si="0"/>
        <v>11</v>
      </c>
      <c r="U44" s="2">
        <f t="shared" si="1"/>
        <v>20</v>
      </c>
    </row>
    <row r="45" spans="1:21" x14ac:dyDescent="0.25">
      <c r="A45" s="2">
        <v>43</v>
      </c>
      <c r="B45" s="5" t="s">
        <v>62</v>
      </c>
      <c r="C45" s="2">
        <v>3</v>
      </c>
      <c r="D45" s="2">
        <v>37</v>
      </c>
      <c r="E45" s="2">
        <v>31</v>
      </c>
      <c r="F45" s="2">
        <v>9</v>
      </c>
      <c r="G45" s="2">
        <v>34</v>
      </c>
      <c r="H45" s="2">
        <v>2</v>
      </c>
      <c r="I45" s="2">
        <v>13</v>
      </c>
      <c r="J45" s="2">
        <v>7</v>
      </c>
      <c r="K45" s="2">
        <v>9</v>
      </c>
      <c r="L45" s="2">
        <v>3</v>
      </c>
      <c r="M45" s="2">
        <v>5</v>
      </c>
      <c r="N45" s="2">
        <v>8</v>
      </c>
      <c r="O45" s="2">
        <v>7</v>
      </c>
      <c r="P45" s="2">
        <v>4</v>
      </c>
      <c r="Q45" s="2">
        <v>2</v>
      </c>
      <c r="R45" s="2">
        <v>5</v>
      </c>
      <c r="S45" s="2">
        <v>9</v>
      </c>
      <c r="T45" s="2">
        <f t="shared" si="0"/>
        <v>7</v>
      </c>
      <c r="U45" s="2">
        <f t="shared" si="1"/>
        <v>21</v>
      </c>
    </row>
    <row r="46" spans="1:21" x14ac:dyDescent="0.25">
      <c r="A46" s="2">
        <v>44</v>
      </c>
      <c r="B46" s="5" t="s">
        <v>79</v>
      </c>
      <c r="C46" s="2">
        <v>6</v>
      </c>
      <c r="D46" s="2">
        <v>48</v>
      </c>
      <c r="E46" s="2">
        <v>25</v>
      </c>
      <c r="F46" s="2">
        <v>10</v>
      </c>
      <c r="G46" s="2">
        <v>34</v>
      </c>
      <c r="H46" s="2">
        <v>3</v>
      </c>
      <c r="I46" s="2">
        <v>14</v>
      </c>
      <c r="J46" s="2">
        <v>1</v>
      </c>
      <c r="K46" s="2">
        <v>2</v>
      </c>
      <c r="L46" s="2">
        <v>3</v>
      </c>
      <c r="M46" s="2">
        <v>8</v>
      </c>
      <c r="N46" s="2">
        <v>11</v>
      </c>
      <c r="O46" s="2">
        <v>10</v>
      </c>
      <c r="P46" s="2">
        <v>1</v>
      </c>
      <c r="Q46" s="2">
        <v>0</v>
      </c>
      <c r="R46" s="2">
        <v>4</v>
      </c>
      <c r="S46" s="2">
        <v>11</v>
      </c>
      <c r="T46" s="2">
        <f t="shared" si="0"/>
        <v>7</v>
      </c>
      <c r="U46" s="2">
        <f t="shared" si="1"/>
        <v>20</v>
      </c>
    </row>
    <row r="47" spans="1:21" x14ac:dyDescent="0.25">
      <c r="A47" s="2">
        <v>45</v>
      </c>
      <c r="B47" s="5" t="s">
        <v>80</v>
      </c>
      <c r="C47" s="2">
        <v>6</v>
      </c>
      <c r="D47" s="2">
        <v>38</v>
      </c>
      <c r="E47" s="2">
        <v>22</v>
      </c>
      <c r="F47" s="2">
        <v>10</v>
      </c>
      <c r="G47" s="2">
        <v>16</v>
      </c>
      <c r="H47" s="2">
        <v>0</v>
      </c>
      <c r="I47" s="2">
        <v>2</v>
      </c>
      <c r="J47" s="2">
        <v>1</v>
      </c>
      <c r="K47" s="2">
        <v>4</v>
      </c>
      <c r="L47" s="2">
        <v>8</v>
      </c>
      <c r="M47" s="2">
        <v>13</v>
      </c>
      <c r="N47" s="2">
        <v>21</v>
      </c>
      <c r="O47" s="2">
        <v>1</v>
      </c>
      <c r="P47" s="2">
        <v>4</v>
      </c>
      <c r="Q47" s="2">
        <v>2</v>
      </c>
      <c r="R47" s="2">
        <v>7</v>
      </c>
      <c r="S47" s="2">
        <v>11</v>
      </c>
      <c r="T47" s="2">
        <f t="shared" si="0"/>
        <v>10</v>
      </c>
      <c r="U47" s="2">
        <f t="shared" si="1"/>
        <v>14</v>
      </c>
    </row>
    <row r="48" spans="1:21" x14ac:dyDescent="0.25">
      <c r="A48" s="2">
        <v>46</v>
      </c>
      <c r="B48" s="5" t="s">
        <v>81</v>
      </c>
      <c r="C48" s="2">
        <v>6</v>
      </c>
      <c r="D48" s="2">
        <v>30</v>
      </c>
      <c r="E48" s="2">
        <v>20</v>
      </c>
      <c r="F48" s="2">
        <v>7</v>
      </c>
      <c r="G48" s="2">
        <v>15</v>
      </c>
      <c r="H48" s="2">
        <v>6</v>
      </c>
      <c r="I48" s="2">
        <v>14</v>
      </c>
      <c r="J48" s="2">
        <v>0</v>
      </c>
      <c r="K48" s="2">
        <v>1</v>
      </c>
      <c r="L48" s="2">
        <v>0</v>
      </c>
      <c r="M48" s="2">
        <v>10</v>
      </c>
      <c r="N48" s="2">
        <v>10</v>
      </c>
      <c r="O48" s="2">
        <v>3</v>
      </c>
      <c r="P48" s="2">
        <v>0</v>
      </c>
      <c r="Q48" s="2">
        <v>0</v>
      </c>
      <c r="R48" s="2">
        <v>3</v>
      </c>
      <c r="S48" s="2">
        <v>12</v>
      </c>
      <c r="T48" s="2">
        <f t="shared" si="0"/>
        <v>1</v>
      </c>
      <c r="U48" s="2">
        <f t="shared" si="1"/>
        <v>1</v>
      </c>
    </row>
    <row r="49" spans="1:21" x14ac:dyDescent="0.25">
      <c r="A49" s="2">
        <v>47</v>
      </c>
      <c r="B49" s="5" t="s">
        <v>82</v>
      </c>
      <c r="C49" s="2">
        <v>1</v>
      </c>
      <c r="D49" s="2">
        <v>6</v>
      </c>
      <c r="E49" s="2">
        <v>2</v>
      </c>
      <c r="F49" s="2">
        <v>0</v>
      </c>
      <c r="G49" s="2">
        <v>4</v>
      </c>
      <c r="H49" s="2">
        <v>0</v>
      </c>
      <c r="I49" s="2">
        <v>1</v>
      </c>
      <c r="J49" s="2">
        <v>1</v>
      </c>
      <c r="K49" s="2">
        <v>3</v>
      </c>
      <c r="L49" s="2">
        <v>1</v>
      </c>
      <c r="M49" s="2">
        <v>0</v>
      </c>
      <c r="N49" s="2">
        <v>1</v>
      </c>
      <c r="O49" s="2">
        <v>0</v>
      </c>
      <c r="P49" s="2">
        <v>0</v>
      </c>
      <c r="Q49" s="2">
        <v>0</v>
      </c>
      <c r="R49" s="2">
        <v>0</v>
      </c>
      <c r="S49" s="2">
        <v>2</v>
      </c>
      <c r="T49" s="2">
        <f t="shared" si="0"/>
        <v>0</v>
      </c>
      <c r="U49" s="2">
        <f t="shared" si="1"/>
        <v>3</v>
      </c>
    </row>
    <row r="80" spans="2:31" x14ac:dyDescent="0.25">
      <c r="B80" t="s">
        <v>83</v>
      </c>
      <c r="C80" s="6">
        <f>SUM(C3:C49)</f>
        <v>291</v>
      </c>
      <c r="D80" s="6">
        <f t="shared" ref="D80:U80" si="2">SUM(D3:D49)</f>
        <v>3813</v>
      </c>
      <c r="E80" s="6">
        <f t="shared" si="2"/>
        <v>3678</v>
      </c>
      <c r="F80" s="6">
        <f t="shared" si="2"/>
        <v>1403</v>
      </c>
      <c r="G80" s="6">
        <f t="shared" si="2"/>
        <v>2999</v>
      </c>
      <c r="H80" s="6">
        <f t="shared" si="2"/>
        <v>314</v>
      </c>
      <c r="I80" s="6">
        <f t="shared" si="2"/>
        <v>953</v>
      </c>
      <c r="J80" s="6">
        <f t="shared" si="2"/>
        <v>309</v>
      </c>
      <c r="K80" s="6">
        <f t="shared" si="2"/>
        <v>401</v>
      </c>
      <c r="L80" s="6">
        <f t="shared" si="2"/>
        <v>319</v>
      </c>
      <c r="M80" s="6">
        <f t="shared" si="2"/>
        <v>1170</v>
      </c>
      <c r="N80" s="6">
        <f t="shared" si="2"/>
        <v>1489</v>
      </c>
      <c r="O80" s="6">
        <f t="shared" si="2"/>
        <v>638</v>
      </c>
      <c r="P80" s="6">
        <f t="shared" si="2"/>
        <v>208</v>
      </c>
      <c r="Q80" s="6">
        <f t="shared" si="2"/>
        <v>134</v>
      </c>
      <c r="R80" s="6">
        <f t="shared" si="2"/>
        <v>397</v>
      </c>
      <c r="S80" s="6">
        <f t="shared" si="2"/>
        <v>696</v>
      </c>
      <c r="T80" s="6">
        <f t="shared" si="2"/>
        <v>1089</v>
      </c>
      <c r="U80" s="6">
        <f t="shared" si="2"/>
        <v>2046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85</v>
      </c>
      <c r="C81" s="9">
        <f>100*(E80)/(2*(G80+0.44*K80))</f>
        <v>57.913234071498749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86</v>
      </c>
      <c r="C82" s="6">
        <f>(E80)/((G80+0.44*K80+R80))</f>
        <v>1.0295484318840904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84</v>
      </c>
      <c r="C83" s="9">
        <f>100*(H80/I80)</f>
        <v>32.948583420776494</v>
      </c>
    </row>
    <row r="84" spans="2:31" x14ac:dyDescent="0.25">
      <c r="B84" t="s">
        <v>87</v>
      </c>
      <c r="C84" s="9">
        <f>100*(T80/U80)</f>
        <v>53.225806451612897</v>
      </c>
    </row>
    <row r="85" spans="2:31" x14ac:dyDescent="0.25">
      <c r="B85" t="s">
        <v>88</v>
      </c>
      <c r="C85" s="9">
        <f>100*(F80/G80)</f>
        <v>46.782260753584524</v>
      </c>
    </row>
    <row r="86" spans="2:31" x14ac:dyDescent="0.25">
      <c r="B86" t="s">
        <v>89</v>
      </c>
      <c r="C86" s="9">
        <f>100*(F80+0.5*H80)/(G80)</f>
        <v>52.017339113037679</v>
      </c>
    </row>
    <row r="87" spans="2:31" x14ac:dyDescent="0.25">
      <c r="B87" t="s">
        <v>91</v>
      </c>
      <c r="C87" s="9">
        <f>100*(J80/K80)</f>
        <v>77.057356608478798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82"/>
  <sheetViews>
    <sheetView tabSelected="1"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I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5" width="7.5703125" customWidth="1"/>
    <col min="36" max="37" width="8.5703125" customWidth="1"/>
    <col min="38" max="59" width="6.5703125" customWidth="1"/>
    <col min="60" max="65" width="7.5703125" customWidth="1"/>
  </cols>
  <sheetData>
    <row r="1" spans="1:65" ht="26.25" x14ac:dyDescent="0.4">
      <c r="A1" s="10" t="s">
        <v>29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L1" s="11" t="s">
        <v>30</v>
      </c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</row>
    <row r="2" spans="1:65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90</v>
      </c>
      <c r="AE2" s="7" t="s">
        <v>27</v>
      </c>
      <c r="AF2" s="7" t="s">
        <v>32</v>
      </c>
      <c r="AG2" s="7" t="s">
        <v>93</v>
      </c>
      <c r="AH2" s="7" t="s">
        <v>92</v>
      </c>
      <c r="AI2" s="7" t="s">
        <v>31</v>
      </c>
      <c r="AL2" s="7" t="s">
        <v>4</v>
      </c>
      <c r="AM2" s="7" t="s">
        <v>24</v>
      </c>
      <c r="AN2" s="7" t="s">
        <v>5</v>
      </c>
      <c r="AO2" s="7" t="s">
        <v>6</v>
      </c>
      <c r="AP2" s="7" t="s">
        <v>7</v>
      </c>
      <c r="AQ2" s="7" t="s">
        <v>8</v>
      </c>
      <c r="AR2" s="7" t="s">
        <v>9</v>
      </c>
      <c r="AS2" s="7" t="s">
        <v>10</v>
      </c>
      <c r="AT2" s="7" t="s">
        <v>14</v>
      </c>
      <c r="AU2" s="7" t="s">
        <v>15</v>
      </c>
      <c r="AV2" s="7" t="s">
        <v>16</v>
      </c>
      <c r="AW2" s="7" t="s">
        <v>17</v>
      </c>
      <c r="AX2" s="7" t="s">
        <v>34</v>
      </c>
      <c r="AY2" s="7" t="s">
        <v>18</v>
      </c>
      <c r="AZ2" s="7" t="s">
        <v>19</v>
      </c>
      <c r="BA2" s="7" t="s">
        <v>20</v>
      </c>
      <c r="BB2" s="7" t="s">
        <v>21</v>
      </c>
      <c r="BC2" s="7" t="s">
        <v>22</v>
      </c>
      <c r="BD2" s="7" t="s">
        <v>23</v>
      </c>
      <c r="BE2" s="7" t="s">
        <v>11</v>
      </c>
      <c r="BF2" s="7" t="s">
        <v>12</v>
      </c>
      <c r="BG2" s="7" t="s">
        <v>13</v>
      </c>
      <c r="BH2" s="7" t="s">
        <v>25</v>
      </c>
      <c r="BI2" s="7" t="s">
        <v>26</v>
      </c>
      <c r="BJ2" s="7" t="s">
        <v>35</v>
      </c>
      <c r="BK2" s="7" t="s">
        <v>28</v>
      </c>
      <c r="BL2" s="7" t="s">
        <v>90</v>
      </c>
      <c r="BM2" s="7" t="s">
        <v>31</v>
      </c>
    </row>
    <row r="3" spans="1:65" x14ac:dyDescent="0.25">
      <c r="A3" s="2">
        <v>1</v>
      </c>
      <c r="B3" s="5" t="s">
        <v>36</v>
      </c>
      <c r="C3" s="2">
        <v>7</v>
      </c>
      <c r="D3" s="9">
        <v>22.3</v>
      </c>
      <c r="E3" s="9">
        <v>29</v>
      </c>
      <c r="F3" s="9">
        <v>9.9</v>
      </c>
      <c r="G3" s="9">
        <v>17.7</v>
      </c>
      <c r="H3" s="9">
        <v>55.6</v>
      </c>
      <c r="I3" s="9">
        <v>4</v>
      </c>
      <c r="J3" s="9">
        <v>7.6</v>
      </c>
      <c r="K3" s="9">
        <v>52.8</v>
      </c>
      <c r="L3" s="9">
        <v>2.6</v>
      </c>
      <c r="M3" s="9">
        <v>2.7</v>
      </c>
      <c r="N3" s="9">
        <v>94.7</v>
      </c>
      <c r="O3" s="9">
        <v>0.7</v>
      </c>
      <c r="P3" s="9">
        <v>4.3</v>
      </c>
      <c r="Q3" s="9">
        <v>5</v>
      </c>
      <c r="R3" s="9">
        <v>6.4</v>
      </c>
      <c r="S3" s="9">
        <v>1.6</v>
      </c>
      <c r="T3" s="9">
        <v>0.6</v>
      </c>
      <c r="U3" s="9">
        <v>2.7</v>
      </c>
      <c r="V3" s="9">
        <v>2.2999999999999998</v>
      </c>
      <c r="W3" s="9">
        <f>F3-I3</f>
        <v>5.9</v>
      </c>
      <c r="X3" s="9">
        <f>G3-J3</f>
        <v>10.1</v>
      </c>
      <c r="Y3" s="9">
        <f>IF(X3=0,"0",(W3/X3)*100)</f>
        <v>58.415841584158422</v>
      </c>
      <c r="Z3" s="6">
        <f>IF(U3=0,"0",R3/U3)</f>
        <v>2.3703703703703702</v>
      </c>
      <c r="AA3" s="9">
        <f>100*(E3)/(2*(G3+0.44*M3))</f>
        <v>76.768318509106322</v>
      </c>
      <c r="AB3" s="6">
        <f>2*AA3/100</f>
        <v>1.5353663701821265</v>
      </c>
      <c r="AC3" s="6">
        <f>(E3)/(G3+0.44*M3+U3)</f>
        <v>1.3433388919770244</v>
      </c>
      <c r="AD3" s="9">
        <f>100*(F3+0.5*I3)/(G3)</f>
        <v>67.2316384180791</v>
      </c>
      <c r="AE3" s="4">
        <f>100*(AA3/TOTAL_BASIC!$C$81)</f>
        <v>132.55747108567516</v>
      </c>
      <c r="AF3" s="4">
        <f>100*AC3/TOTAL_BASIC!$C$82</f>
        <v>130.47845544465474</v>
      </c>
      <c r="AG3" s="4">
        <f>100*N3/TOTAL_BASIC!$C$87</f>
        <v>122.89546925566344</v>
      </c>
      <c r="AH3" s="4">
        <f>100*AD3/TOTAL_BASIC!$C$86</f>
        <v>129.24851513834565</v>
      </c>
      <c r="AI3" s="3">
        <f>T3/V3</f>
        <v>0.2608695652173913</v>
      </c>
      <c r="AL3" s="4">
        <f>(PERCENTRANK(D$3:D$78,D3))*100</f>
        <v>100</v>
      </c>
      <c r="AM3" s="4">
        <f>(PERCENTRANK(E$3:E$78,E3))*100</f>
        <v>100</v>
      </c>
      <c r="AN3" s="4">
        <f>(PERCENTRANK(F$3:F$78,F3))*100</f>
        <v>100</v>
      </c>
      <c r="AO3" s="4">
        <f>(PERCENTRANK(G$3:G$78,G3))*100</f>
        <v>95.6</v>
      </c>
      <c r="AP3" s="4">
        <f>(PERCENTRANK(H$3:H$78,H3))*100</f>
        <v>91.3</v>
      </c>
      <c r="AQ3" s="4">
        <f>(PERCENTRANK(I$3:I$78,I3))*100</f>
        <v>100</v>
      </c>
      <c r="AR3" s="4">
        <f>(PERCENTRANK(J$3:J$78,J3))*100</f>
        <v>93.4</v>
      </c>
      <c r="AS3" s="4">
        <f>(PERCENTRANK(K$3:K$78,K3))*100</f>
        <v>100</v>
      </c>
      <c r="AT3" s="4">
        <f>(PERCENTRANK(L$3:L$78,L3))*100</f>
        <v>97.8</v>
      </c>
      <c r="AU3" s="4">
        <f>(PERCENTRANK(M$3:M$78,M3))*100</f>
        <v>86.9</v>
      </c>
      <c r="AV3" s="4">
        <f>(PERCENTRANK(N$3:N$78,N3))*100</f>
        <v>82.6</v>
      </c>
      <c r="AW3" s="4">
        <f>(PERCENTRANK(O$3:O$78,O3))*100</f>
        <v>21.7</v>
      </c>
      <c r="AX3" s="4">
        <f>(PERCENTRANK(P$3:P$78,P3))*100</f>
        <v>58.599999999999994</v>
      </c>
      <c r="AY3" s="4">
        <f>(PERCENTRANK(Q$3:Q$78,Q3))*100</f>
        <v>58.599999999999994</v>
      </c>
      <c r="AZ3" s="4">
        <f>(PERCENTRANK(R$3:R$78,R3))*100</f>
        <v>97.8</v>
      </c>
      <c r="BA3" s="4">
        <f>(PERCENTRANK(S$3:S$78,S3))*100</f>
        <v>91.3</v>
      </c>
      <c r="BB3" s="4">
        <f>(PERCENTRANK(T$3:T$78,T3))*100</f>
        <v>67.300000000000011</v>
      </c>
      <c r="BC3" s="4">
        <f>100-(PERCENTRANK(U$3:U$78,U3))*100</f>
        <v>8.7000000000000028</v>
      </c>
      <c r="BD3" s="4">
        <f>100-(PERCENTRANK(V$3:V$78,V3))*100</f>
        <v>56.6</v>
      </c>
      <c r="BE3" s="4">
        <f>(PERCENTRANK(W$3:W$78,W3))*100</f>
        <v>80.400000000000006</v>
      </c>
      <c r="BF3" s="4">
        <f>(PERCENTRANK(X$3:X$78,X3))*100</f>
        <v>78.2</v>
      </c>
      <c r="BG3" s="4">
        <f>(PERCENTRANK(Y$3:Y$78,Y3))*100</f>
        <v>67.300000000000011</v>
      </c>
      <c r="BH3" s="4">
        <f>(PERCENTRANK(Z$3:Z$78,Z3))*100</f>
        <v>66.600000000000009</v>
      </c>
      <c r="BI3" s="4">
        <f>(PERCENTRANK(AA$3:AA$78,AA3))*100</f>
        <v>100</v>
      </c>
      <c r="BJ3" s="4">
        <f>(PERCENTRANK(AB$3:AB$78,AB3))*100</f>
        <v>100</v>
      </c>
      <c r="BK3" s="4">
        <f>(PERCENTRANK(AC$3:AC$78,AC3))*100</f>
        <v>100</v>
      </c>
      <c r="BL3" s="4">
        <f>(PERCENTRANK(AD$3:AD$78,AD3))*100</f>
        <v>97.8</v>
      </c>
      <c r="BM3" s="4">
        <f t="shared" ref="BM3:BM49" si="0">(PERCENTRANK(AI$3:AI$78,AI3))*100</f>
        <v>73.900000000000006</v>
      </c>
    </row>
    <row r="4" spans="1:65" x14ac:dyDescent="0.25">
      <c r="A4" s="2">
        <v>2</v>
      </c>
      <c r="B4" s="5" t="s">
        <v>37</v>
      </c>
      <c r="C4" s="2">
        <v>6</v>
      </c>
      <c r="D4" s="9">
        <v>21.7</v>
      </c>
      <c r="E4" s="9">
        <v>26.2</v>
      </c>
      <c r="F4" s="9">
        <v>9.1999999999999993</v>
      </c>
      <c r="G4" s="9">
        <v>22</v>
      </c>
      <c r="H4" s="9">
        <v>41.7</v>
      </c>
      <c r="I4" s="9">
        <v>3.7</v>
      </c>
      <c r="J4" s="9">
        <v>11.3</v>
      </c>
      <c r="K4" s="9">
        <v>32.4</v>
      </c>
      <c r="L4" s="9">
        <v>2.2999999999999998</v>
      </c>
      <c r="M4" s="9">
        <v>2.7</v>
      </c>
      <c r="N4" s="9">
        <v>87.5</v>
      </c>
      <c r="O4" s="9">
        <v>0.8</v>
      </c>
      <c r="P4" s="9">
        <v>6.5</v>
      </c>
      <c r="Q4" s="9">
        <v>7.3</v>
      </c>
      <c r="R4" s="9">
        <v>6.2</v>
      </c>
      <c r="S4" s="9">
        <v>0.3</v>
      </c>
      <c r="T4" s="9">
        <v>0</v>
      </c>
      <c r="U4" s="9">
        <v>4.2</v>
      </c>
      <c r="V4" s="9">
        <v>3.7</v>
      </c>
      <c r="W4" s="9">
        <f t="shared" ref="W4:W49" si="1">F4-I4</f>
        <v>5.4999999999999991</v>
      </c>
      <c r="X4" s="9">
        <f t="shared" ref="X4:X49" si="2">G4-J4</f>
        <v>10.7</v>
      </c>
      <c r="Y4" s="9">
        <f t="shared" ref="Y4:Y49" si="3">IF(X4=0,"0",(W4/X4)*100)</f>
        <v>51.401869158878498</v>
      </c>
      <c r="Z4" s="6">
        <f t="shared" ref="Z4:Z49" si="4">IF(U4=0,"0",R4/U4)</f>
        <v>1.4761904761904763</v>
      </c>
      <c r="AA4" s="9">
        <f t="shared" ref="AA4:AA49" si="5">100*(E4)/(2*(G4+0.44*M4))</f>
        <v>56.494738657926518</v>
      </c>
      <c r="AB4" s="6">
        <f t="shared" ref="AB4:AB49" si="6">2*AA4/100</f>
        <v>1.1298947731585303</v>
      </c>
      <c r="AC4" s="6">
        <f t="shared" ref="AC4:AC49" si="7">(E4)/(G4+0.44*M4+U4)</f>
        <v>0.95662333868847671</v>
      </c>
      <c r="AD4" s="9">
        <f t="shared" ref="AD4:AD49" si="8">100*(F4+0.5*I4)/(G4)</f>
        <v>50.227272727272727</v>
      </c>
      <c r="AE4" s="4">
        <f>100*(AA4/TOTAL_BASIC!$C$81)</f>
        <v>97.55065411850255</v>
      </c>
      <c r="AF4" s="4">
        <f>100*AC4/TOTAL_BASIC!$C$82</f>
        <v>92.916788473742841</v>
      </c>
      <c r="AG4" s="4">
        <f>100*N4/TOTAL_BASIC!$C$87</f>
        <v>113.55177993527509</v>
      </c>
      <c r="AH4" s="4">
        <f>100*AD4/TOTAL_BASIC!$C$86</f>
        <v>96.558712121212125</v>
      </c>
      <c r="AI4" s="3">
        <f t="shared" ref="AI4:AI49" si="9">T4/V4</f>
        <v>0</v>
      </c>
      <c r="AL4" s="4">
        <f>(PERCENTRANK(D$3:D$78,D4))*100</f>
        <v>97.8</v>
      </c>
      <c r="AM4" s="4">
        <f>(PERCENTRANK(E$3:E$78,E4))*100</f>
        <v>97.8</v>
      </c>
      <c r="AN4" s="4">
        <f>(PERCENTRANK(F$3:F$78,F4))*100</f>
        <v>95.6</v>
      </c>
      <c r="AO4" s="4">
        <f>(PERCENTRANK(G$3:G$78,G4))*100</f>
        <v>100</v>
      </c>
      <c r="AP4" s="4">
        <f>(PERCENTRANK(H$3:H$78,H4))*100</f>
        <v>28.199999999999996</v>
      </c>
      <c r="AQ4" s="4">
        <f>(PERCENTRANK(I$3:I$78,I4))*100</f>
        <v>95.6</v>
      </c>
      <c r="AR4" s="4">
        <f>(PERCENTRANK(J$3:J$78,J4))*100</f>
        <v>100</v>
      </c>
      <c r="AS4" s="4">
        <f>(PERCENTRANK(K$3:K$78,K4))*100</f>
        <v>60.8</v>
      </c>
      <c r="AT4" s="4">
        <f>(PERCENTRANK(L$3:L$78,L4))*100</f>
        <v>93.4</v>
      </c>
      <c r="AU4" s="4">
        <f>(PERCENTRANK(M$3:M$78,M4))*100</f>
        <v>86.9</v>
      </c>
      <c r="AV4" s="4">
        <f>(PERCENTRANK(N$3:N$78,N4))*100</f>
        <v>67.300000000000011</v>
      </c>
      <c r="AW4" s="4">
        <f>(PERCENTRANK(O$3:O$78,O4))*100</f>
        <v>36.9</v>
      </c>
      <c r="AX4" s="4">
        <f>(PERCENTRANK(P$3:P$78,P4))*100</f>
        <v>86.9</v>
      </c>
      <c r="AY4" s="4">
        <f>(PERCENTRANK(Q$3:Q$78,Q4))*100</f>
        <v>82.6</v>
      </c>
      <c r="AZ4" s="4">
        <f>(PERCENTRANK(R$3:R$78,R4))*100</f>
        <v>95.6</v>
      </c>
      <c r="BA4" s="4">
        <f>(PERCENTRANK(S$3:S$78,S4))*100</f>
        <v>19.5</v>
      </c>
      <c r="BB4" s="4">
        <f>(PERCENTRANK(T$3:T$78,T4))*100</f>
        <v>0</v>
      </c>
      <c r="BC4" s="4">
        <f>100-(PERCENTRANK(U$3:U$78,U4))*100</f>
        <v>0</v>
      </c>
      <c r="BD4" s="4">
        <f>100-(PERCENTRANK(V$3:V$78,V4))*100</f>
        <v>8.7000000000000028</v>
      </c>
      <c r="BE4" s="4">
        <f>(PERCENTRANK(W$3:W$78,W4))*100</f>
        <v>76</v>
      </c>
      <c r="BF4" s="4">
        <f>(PERCENTRANK(X$3:X$78,X4))*100</f>
        <v>84.7</v>
      </c>
      <c r="BG4" s="4">
        <f>(PERCENTRANK(Y$3:Y$78,Y4))*100</f>
        <v>39.1</v>
      </c>
      <c r="BH4" s="4">
        <f>(PERCENTRANK(Z$3:Z$78,Z4))*100</f>
        <v>51.1</v>
      </c>
      <c r="BI4" s="4">
        <f>(PERCENTRANK(AA$3:AA$78,AA4))*100</f>
        <v>47.8</v>
      </c>
      <c r="BJ4" s="4">
        <f>(PERCENTRANK(AB$3:AB$78,AB4))*100</f>
        <v>47.8</v>
      </c>
      <c r="BK4" s="4">
        <f>(PERCENTRANK(AC$3:AC$78,AC4))*100</f>
        <v>43.4</v>
      </c>
      <c r="BL4" s="4">
        <f>(PERCENTRANK(AD$3:AD$78,AD4))*100</f>
        <v>45.6</v>
      </c>
      <c r="BM4" s="4">
        <f t="shared" si="0"/>
        <v>0</v>
      </c>
    </row>
    <row r="5" spans="1:65" x14ac:dyDescent="0.25">
      <c r="A5" s="2">
        <v>3</v>
      </c>
      <c r="B5" s="5" t="s">
        <v>38</v>
      </c>
      <c r="C5" s="2">
        <v>7</v>
      </c>
      <c r="D5" s="9">
        <v>16.600000000000001</v>
      </c>
      <c r="E5" s="9">
        <v>24.3</v>
      </c>
      <c r="F5" s="9">
        <v>8.6</v>
      </c>
      <c r="G5" s="9">
        <v>17.899999999999999</v>
      </c>
      <c r="H5" s="9">
        <v>48</v>
      </c>
      <c r="I5" s="9">
        <v>2.9</v>
      </c>
      <c r="J5" s="9">
        <v>7.6</v>
      </c>
      <c r="K5" s="9">
        <v>37.700000000000003</v>
      </c>
      <c r="L5" s="9">
        <v>2</v>
      </c>
      <c r="M5" s="9">
        <v>2.6</v>
      </c>
      <c r="N5" s="9">
        <v>77.8</v>
      </c>
      <c r="O5" s="9">
        <v>1.1000000000000001</v>
      </c>
      <c r="P5" s="9">
        <v>3.7</v>
      </c>
      <c r="Q5" s="9">
        <v>4.9000000000000004</v>
      </c>
      <c r="R5" s="9">
        <v>3.4</v>
      </c>
      <c r="S5" s="9">
        <v>1.1000000000000001</v>
      </c>
      <c r="T5" s="9">
        <v>0.9</v>
      </c>
      <c r="U5" s="9">
        <v>1.6</v>
      </c>
      <c r="V5" s="9">
        <v>1.9</v>
      </c>
      <c r="W5" s="9">
        <f t="shared" si="1"/>
        <v>5.6999999999999993</v>
      </c>
      <c r="X5" s="9">
        <f t="shared" si="2"/>
        <v>10.299999999999999</v>
      </c>
      <c r="Y5" s="9">
        <f t="shared" si="3"/>
        <v>55.339805825242713</v>
      </c>
      <c r="Z5" s="6">
        <f t="shared" si="4"/>
        <v>2.125</v>
      </c>
      <c r="AA5" s="9">
        <f t="shared" si="5"/>
        <v>63.79962192816636</v>
      </c>
      <c r="AB5" s="6">
        <f t="shared" si="6"/>
        <v>1.2759924385633272</v>
      </c>
      <c r="AC5" s="6">
        <f t="shared" si="7"/>
        <v>1.1770974617322225</v>
      </c>
      <c r="AD5" s="9">
        <f t="shared" si="8"/>
        <v>56.145251396648042</v>
      </c>
      <c r="AE5" s="4">
        <f>100*(AA5/TOTAL_BASIC!$C$81)</f>
        <v>110.16414978552289</v>
      </c>
      <c r="AF5" s="4">
        <f>100*AC5/TOTAL_BASIC!$C$82</f>
        <v>114.33143165281841</v>
      </c>
      <c r="AG5" s="4">
        <f>100*N5/TOTAL_BASIC!$C$87</f>
        <v>100.96375404530745</v>
      </c>
      <c r="AH5" s="4">
        <f>100*AD5/TOTAL_BASIC!$C$86</f>
        <v>107.93564675547915</v>
      </c>
      <c r="AI5" s="3">
        <f t="shared" si="9"/>
        <v>0.47368421052631582</v>
      </c>
      <c r="AL5" s="4">
        <f>(PERCENTRANK(D$3:D$78,D5))*100</f>
        <v>76</v>
      </c>
      <c r="AM5" s="4">
        <f>(PERCENTRANK(E$3:E$78,E5))*100</f>
        <v>95.6</v>
      </c>
      <c r="AN5" s="4">
        <f>(PERCENTRANK(F$3:F$78,F5))*100</f>
        <v>89.1</v>
      </c>
      <c r="AO5" s="4">
        <f>(PERCENTRANK(G$3:G$78,G5))*100</f>
        <v>97.8</v>
      </c>
      <c r="AP5" s="4">
        <f>(PERCENTRANK(H$3:H$78,H5))*100</f>
        <v>56.499999999999993</v>
      </c>
      <c r="AQ5" s="4">
        <f>(PERCENTRANK(I$3:I$78,I5))*100</f>
        <v>93.4</v>
      </c>
      <c r="AR5" s="4">
        <f>(PERCENTRANK(J$3:J$78,J5))*100</f>
        <v>93.4</v>
      </c>
      <c r="AS5" s="4">
        <f>(PERCENTRANK(K$3:K$78,K5))*100</f>
        <v>84.7</v>
      </c>
      <c r="AT5" s="4">
        <f>(PERCENTRANK(L$3:L$78,L5))*100</f>
        <v>82.6</v>
      </c>
      <c r="AU5" s="4">
        <f>(PERCENTRANK(M$3:M$78,M5))*100</f>
        <v>82.6</v>
      </c>
      <c r="AV5" s="4">
        <f>(PERCENTRANK(N$3:N$78,N5))*100</f>
        <v>43.4</v>
      </c>
      <c r="AW5" s="4">
        <f>(PERCENTRANK(O$3:O$78,O5))*100</f>
        <v>65.2</v>
      </c>
      <c r="AX5" s="4">
        <f>(PERCENTRANK(P$3:P$78,P5))*100</f>
        <v>50</v>
      </c>
      <c r="AY5" s="4">
        <f>(PERCENTRANK(Q$3:Q$78,Q5))*100</f>
        <v>56.499999999999993</v>
      </c>
      <c r="AZ5" s="4">
        <f>(PERCENTRANK(R$3:R$78,R5))*100</f>
        <v>80.400000000000006</v>
      </c>
      <c r="BA5" s="4">
        <f>(PERCENTRANK(S$3:S$78,S5))*100</f>
        <v>78.2</v>
      </c>
      <c r="BB5" s="4">
        <f>(PERCENTRANK(T$3:T$78,T5))*100</f>
        <v>84.7</v>
      </c>
      <c r="BC5" s="4">
        <f>100-(PERCENTRANK(U$3:U$78,U5))*100</f>
        <v>32.699999999999989</v>
      </c>
      <c r="BD5" s="4">
        <f>100-(PERCENTRANK(V$3:V$78,V5))*100</f>
        <v>76.099999999999994</v>
      </c>
      <c r="BE5" s="4">
        <f>(PERCENTRANK(W$3:W$78,W5))*100</f>
        <v>78.2</v>
      </c>
      <c r="BF5" s="4">
        <f>(PERCENTRANK(X$3:X$78,X5))*100</f>
        <v>80.400000000000006</v>
      </c>
      <c r="BG5" s="4">
        <f>(PERCENTRANK(Y$3:Y$78,Y5))*100</f>
        <v>54.300000000000004</v>
      </c>
      <c r="BH5" s="4">
        <f>(PERCENTRANK(Z$3:Z$78,Z5))*100</f>
        <v>64.400000000000006</v>
      </c>
      <c r="BI5" s="4">
        <f>(PERCENTRANK(AA$3:AA$78,AA5))*100</f>
        <v>80.400000000000006</v>
      </c>
      <c r="BJ5" s="4">
        <f>(PERCENTRANK(AB$3:AB$78,AB5))*100</f>
        <v>80.400000000000006</v>
      </c>
      <c r="BK5" s="4">
        <f>(PERCENTRANK(AC$3:AC$78,AC5))*100</f>
        <v>89.1</v>
      </c>
      <c r="BL5" s="4">
        <f>(PERCENTRANK(AD$3:AD$78,AD5))*100</f>
        <v>69.5</v>
      </c>
      <c r="BM5" s="4">
        <f t="shared" si="0"/>
        <v>93.4</v>
      </c>
    </row>
    <row r="6" spans="1:65" x14ac:dyDescent="0.25">
      <c r="A6" s="2">
        <v>4</v>
      </c>
      <c r="B6" s="5" t="s">
        <v>39</v>
      </c>
      <c r="C6" s="2">
        <v>6</v>
      </c>
      <c r="D6" s="9">
        <v>20.2</v>
      </c>
      <c r="E6" s="9">
        <v>24.2</v>
      </c>
      <c r="F6" s="9">
        <v>8.8000000000000007</v>
      </c>
      <c r="G6" s="9">
        <v>16.5</v>
      </c>
      <c r="H6" s="9">
        <v>53.5</v>
      </c>
      <c r="I6" s="9">
        <v>1.8</v>
      </c>
      <c r="J6" s="9">
        <v>4</v>
      </c>
      <c r="K6" s="9">
        <v>45.8</v>
      </c>
      <c r="L6" s="9">
        <v>2.8</v>
      </c>
      <c r="M6" s="9">
        <v>3.2</v>
      </c>
      <c r="N6" s="9">
        <v>89.5</v>
      </c>
      <c r="O6" s="9">
        <v>0.8</v>
      </c>
      <c r="P6" s="9">
        <v>6.8</v>
      </c>
      <c r="Q6" s="9">
        <v>7.7</v>
      </c>
      <c r="R6" s="9">
        <v>6.8</v>
      </c>
      <c r="S6" s="9">
        <v>0.5</v>
      </c>
      <c r="T6" s="9">
        <v>0.7</v>
      </c>
      <c r="U6" s="9">
        <v>2.8</v>
      </c>
      <c r="V6" s="9">
        <v>2.5</v>
      </c>
      <c r="W6" s="9">
        <f t="shared" si="1"/>
        <v>7.0000000000000009</v>
      </c>
      <c r="X6" s="9">
        <f t="shared" si="2"/>
        <v>12.5</v>
      </c>
      <c r="Y6" s="9">
        <f t="shared" si="3"/>
        <v>56.000000000000007</v>
      </c>
      <c r="Z6" s="6">
        <f t="shared" si="4"/>
        <v>2.4285714285714288</v>
      </c>
      <c r="AA6" s="9">
        <f t="shared" si="5"/>
        <v>67.567567567567565</v>
      </c>
      <c r="AB6" s="6">
        <f t="shared" si="6"/>
        <v>1.3513513513513513</v>
      </c>
      <c r="AC6" s="6">
        <f t="shared" si="7"/>
        <v>1.1686304809735366</v>
      </c>
      <c r="AD6" s="9">
        <f t="shared" si="8"/>
        <v>58.787878787878796</v>
      </c>
      <c r="AE6" s="4">
        <f>100*(AA6/TOTAL_BASIC!$C$81)</f>
        <v>116.67034081389708</v>
      </c>
      <c r="AF6" s="4">
        <f>100*AC6/TOTAL_BASIC!$C$82</f>
        <v>113.50903413401579</v>
      </c>
      <c r="AG6" s="4">
        <f>100*N6/TOTAL_BASIC!$C$87</f>
        <v>116.14724919093852</v>
      </c>
      <c r="AH6" s="4">
        <f>100*AD6/TOTAL_BASIC!$C$86</f>
        <v>113.01592851592854</v>
      </c>
      <c r="AI6" s="3">
        <f t="shared" si="9"/>
        <v>0.27999999999999997</v>
      </c>
      <c r="AL6" s="4">
        <f>(PERCENTRANK(D$3:D$78,D6))*100</f>
        <v>93.4</v>
      </c>
      <c r="AM6" s="4">
        <f>(PERCENTRANK(E$3:E$78,E6))*100</f>
        <v>93.4</v>
      </c>
      <c r="AN6" s="4">
        <f>(PERCENTRANK(F$3:F$78,F6))*100</f>
        <v>93.4</v>
      </c>
      <c r="AO6" s="4">
        <f>(PERCENTRANK(G$3:G$78,G6))*100</f>
        <v>86.9</v>
      </c>
      <c r="AP6" s="4">
        <f>(PERCENTRANK(H$3:H$78,H6))*100</f>
        <v>84.7</v>
      </c>
      <c r="AQ6" s="4">
        <f>(PERCENTRANK(I$3:I$78,I6))*100</f>
        <v>78.2</v>
      </c>
      <c r="AR6" s="4">
        <f>(PERCENTRANK(J$3:J$78,J6))*100</f>
        <v>71.7</v>
      </c>
      <c r="AS6" s="4">
        <f>(PERCENTRANK(K$3:K$78,K6))*100</f>
        <v>93.4</v>
      </c>
      <c r="AT6" s="4">
        <f>(PERCENTRANK(L$3:L$78,L6))*100</f>
        <v>100</v>
      </c>
      <c r="AU6" s="4">
        <f>(PERCENTRANK(M$3:M$78,M6))*100</f>
        <v>100</v>
      </c>
      <c r="AV6" s="4">
        <f>(PERCENTRANK(N$3:N$78,N6))*100</f>
        <v>73.900000000000006</v>
      </c>
      <c r="AW6" s="4">
        <f>(PERCENTRANK(O$3:O$78,O6))*100</f>
        <v>36.9</v>
      </c>
      <c r="AX6" s="4">
        <f>(PERCENTRANK(P$3:P$78,P6))*100</f>
        <v>89.1</v>
      </c>
      <c r="AY6" s="4">
        <f>(PERCENTRANK(Q$3:Q$78,Q6))*100</f>
        <v>84.7</v>
      </c>
      <c r="AZ6" s="4">
        <f>(PERCENTRANK(R$3:R$78,R6))*100</f>
        <v>100</v>
      </c>
      <c r="BA6" s="4">
        <f>(PERCENTRANK(S$3:S$78,S6))*100</f>
        <v>45.6</v>
      </c>
      <c r="BB6" s="4">
        <f>(PERCENTRANK(T$3:T$78,T6))*100</f>
        <v>71.7</v>
      </c>
      <c r="BC6" s="4">
        <f>100-(PERCENTRANK(U$3:U$78,U6))*100</f>
        <v>6.5999999999999943</v>
      </c>
      <c r="BD6" s="4">
        <f>100-(PERCENTRANK(V$3:V$78,V6))*100</f>
        <v>39.200000000000003</v>
      </c>
      <c r="BE6" s="4">
        <f>(PERCENTRANK(W$3:W$78,W6))*100</f>
        <v>93.4</v>
      </c>
      <c r="BF6" s="4">
        <f>(PERCENTRANK(X$3:X$78,X6))*100</f>
        <v>95.6</v>
      </c>
      <c r="BG6" s="4">
        <f>(PERCENTRANK(Y$3:Y$78,Y6))*100</f>
        <v>56.499999999999993</v>
      </c>
      <c r="BH6" s="4">
        <f>(PERCENTRANK(Z$3:Z$78,Z6))*100</f>
        <v>71.099999999999994</v>
      </c>
      <c r="BI6" s="4">
        <f>(PERCENTRANK(AA$3:AA$78,AA6))*100</f>
        <v>91.3</v>
      </c>
      <c r="BJ6" s="4">
        <f>(PERCENTRANK(AB$3:AB$78,AB6))*100</f>
        <v>91.3</v>
      </c>
      <c r="BK6" s="4">
        <f>(PERCENTRANK(AC$3:AC$78,AC6))*100</f>
        <v>82.6</v>
      </c>
      <c r="BL6" s="4">
        <f>(PERCENTRANK(AD$3:AD$78,AD6))*100</f>
        <v>84.7</v>
      </c>
      <c r="BM6" s="4">
        <f t="shared" si="0"/>
        <v>76</v>
      </c>
    </row>
    <row r="7" spans="1:65" x14ac:dyDescent="0.25">
      <c r="A7" s="2">
        <v>5</v>
      </c>
      <c r="B7" s="5" t="s">
        <v>40</v>
      </c>
      <c r="C7" s="2">
        <v>6</v>
      </c>
      <c r="D7" s="9">
        <v>19.2</v>
      </c>
      <c r="E7" s="9">
        <v>22</v>
      </c>
      <c r="F7" s="9">
        <v>9.3000000000000007</v>
      </c>
      <c r="G7" s="9">
        <v>16.5</v>
      </c>
      <c r="H7" s="9">
        <v>56.6</v>
      </c>
      <c r="I7" s="9">
        <v>0.2</v>
      </c>
      <c r="J7" s="9">
        <v>0.3</v>
      </c>
      <c r="K7" s="9">
        <v>50</v>
      </c>
      <c r="L7" s="9">
        <v>2</v>
      </c>
      <c r="M7" s="9">
        <v>3</v>
      </c>
      <c r="N7" s="9">
        <v>66.7</v>
      </c>
      <c r="O7" s="9">
        <v>4.2</v>
      </c>
      <c r="P7" s="9">
        <v>8.6999999999999993</v>
      </c>
      <c r="Q7" s="9">
        <v>12.8</v>
      </c>
      <c r="R7" s="9">
        <v>2</v>
      </c>
      <c r="S7" s="9">
        <v>1</v>
      </c>
      <c r="T7" s="9">
        <v>0.5</v>
      </c>
      <c r="U7" s="9">
        <v>3.5</v>
      </c>
      <c r="V7" s="9">
        <v>3.7</v>
      </c>
      <c r="W7" s="9">
        <f t="shared" si="1"/>
        <v>9.1000000000000014</v>
      </c>
      <c r="X7" s="9">
        <f t="shared" si="2"/>
        <v>16.2</v>
      </c>
      <c r="Y7" s="9">
        <f t="shared" si="3"/>
        <v>56.172839506172856</v>
      </c>
      <c r="Z7" s="6">
        <f t="shared" si="4"/>
        <v>0.5714285714285714</v>
      </c>
      <c r="AA7" s="9">
        <f t="shared" si="5"/>
        <v>61.728395061728392</v>
      </c>
      <c r="AB7" s="6">
        <f t="shared" si="6"/>
        <v>1.2345679012345678</v>
      </c>
      <c r="AC7" s="6">
        <f t="shared" si="7"/>
        <v>1.0318949343339587</v>
      </c>
      <c r="AD7" s="9">
        <f t="shared" si="8"/>
        <v>56.969696969696969</v>
      </c>
      <c r="AE7" s="4">
        <f>100*(AA7/TOTAL_BASIC!$C$81)</f>
        <v>106.58771876825166</v>
      </c>
      <c r="AF7" s="4">
        <f>100*AC7/TOTAL_BASIC!$C$82</f>
        <v>100.22791569363805</v>
      </c>
      <c r="AG7" s="4">
        <f>100*N7/TOTAL_BASIC!$C$87</f>
        <v>86.558899676375404</v>
      </c>
      <c r="AH7" s="4">
        <f>100*AD7/TOTAL_BASIC!$C$86</f>
        <v>109.52059052059052</v>
      </c>
      <c r="AI7" s="3">
        <f t="shared" si="9"/>
        <v>0.13513513513513511</v>
      </c>
      <c r="AL7" s="4">
        <f>(PERCENTRANK(D$3:D$78,D7))*100</f>
        <v>89.1</v>
      </c>
      <c r="AM7" s="4">
        <f>(PERCENTRANK(E$3:E$78,E7))*100</f>
        <v>91.3</v>
      </c>
      <c r="AN7" s="4">
        <f>(PERCENTRANK(F$3:F$78,F7))*100</f>
        <v>97.8</v>
      </c>
      <c r="AO7" s="4">
        <f>(PERCENTRANK(G$3:G$78,G7))*100</f>
        <v>86.9</v>
      </c>
      <c r="AP7" s="4">
        <f>(PERCENTRANK(H$3:H$78,H7))*100</f>
        <v>93.4</v>
      </c>
      <c r="AQ7" s="4">
        <f>(PERCENTRANK(I$3:I$78,I7))*100</f>
        <v>17.299999999999997</v>
      </c>
      <c r="AR7" s="4">
        <f>(PERCENTRANK(J$3:J$78,J7))*100</f>
        <v>4.3</v>
      </c>
      <c r="AS7" s="4">
        <f>(PERCENTRANK(K$3:K$78,K7))*100</f>
        <v>97.8</v>
      </c>
      <c r="AT7" s="4">
        <f>(PERCENTRANK(L$3:L$78,L7))*100</f>
        <v>82.6</v>
      </c>
      <c r="AU7" s="4">
        <f>(PERCENTRANK(M$3:M$78,M7))*100</f>
        <v>91.3</v>
      </c>
      <c r="AV7" s="4">
        <f>(PERCENTRANK(N$3:N$78,N7))*100</f>
        <v>30.4</v>
      </c>
      <c r="AW7" s="4">
        <f>(PERCENTRANK(O$3:O$78,O7))*100</f>
        <v>100</v>
      </c>
      <c r="AX7" s="4">
        <f>(PERCENTRANK(P$3:P$78,P7))*100</f>
        <v>100</v>
      </c>
      <c r="AY7" s="4">
        <f>(PERCENTRANK(Q$3:Q$78,Q7))*100</f>
        <v>100</v>
      </c>
      <c r="AZ7" s="4">
        <f>(PERCENTRANK(R$3:R$78,R7))*100</f>
        <v>52.1</v>
      </c>
      <c r="BA7" s="4">
        <f>(PERCENTRANK(S$3:S$78,S7))*100</f>
        <v>69.5</v>
      </c>
      <c r="BB7" s="4">
        <f>(PERCENTRANK(T$3:T$78,T7))*100</f>
        <v>63</v>
      </c>
      <c r="BC7" s="4">
        <f>100-(PERCENTRANK(U$3:U$78,U7))*100</f>
        <v>2.2000000000000028</v>
      </c>
      <c r="BD7" s="4">
        <f>100-(PERCENTRANK(V$3:V$78,V7))*100</f>
        <v>8.7000000000000028</v>
      </c>
      <c r="BE7" s="4">
        <f>(PERCENTRANK(W$3:W$78,W7))*100</f>
        <v>100</v>
      </c>
      <c r="BF7" s="4">
        <f>(PERCENTRANK(X$3:X$78,X7))*100</f>
        <v>100</v>
      </c>
      <c r="BG7" s="4">
        <f>(PERCENTRANK(Y$3:Y$78,Y7))*100</f>
        <v>60.8</v>
      </c>
      <c r="BH7" s="4">
        <f>(PERCENTRANK(Z$3:Z$78,Z7))*100</f>
        <v>17.7</v>
      </c>
      <c r="BI7" s="4">
        <f>(PERCENTRANK(AA$3:AA$78,AA7))*100</f>
        <v>71.7</v>
      </c>
      <c r="BJ7" s="4">
        <f>(PERCENTRANK(AB$3:AB$78,AB7))*100</f>
        <v>71.7</v>
      </c>
      <c r="BK7" s="4">
        <f>(PERCENTRANK(AC$3:AC$78,AC7))*100</f>
        <v>54.300000000000004</v>
      </c>
      <c r="BL7" s="4">
        <f>(PERCENTRANK(AD$3:AD$78,AD7))*100</f>
        <v>78.2</v>
      </c>
      <c r="BM7" s="4">
        <f t="shared" si="0"/>
        <v>47.8</v>
      </c>
    </row>
    <row r="8" spans="1:65" x14ac:dyDescent="0.25">
      <c r="A8" s="2">
        <v>6</v>
      </c>
      <c r="B8" s="5" t="s">
        <v>41</v>
      </c>
      <c r="C8" s="2">
        <v>7</v>
      </c>
      <c r="D8" s="9">
        <v>17.7</v>
      </c>
      <c r="E8" s="9">
        <v>21.1</v>
      </c>
      <c r="F8" s="9">
        <v>8.6</v>
      </c>
      <c r="G8" s="9">
        <v>17.399999999999999</v>
      </c>
      <c r="H8" s="9">
        <v>49.2</v>
      </c>
      <c r="I8" s="9">
        <v>2.6</v>
      </c>
      <c r="J8" s="9">
        <v>7.3</v>
      </c>
      <c r="K8" s="9">
        <v>35.299999999999997</v>
      </c>
      <c r="L8" s="9">
        <v>1</v>
      </c>
      <c r="M8" s="9">
        <v>1</v>
      </c>
      <c r="N8" s="9">
        <v>100</v>
      </c>
      <c r="O8" s="9">
        <v>0.7</v>
      </c>
      <c r="P8" s="9">
        <v>4.4000000000000004</v>
      </c>
      <c r="Q8" s="9">
        <v>5.0999999999999996</v>
      </c>
      <c r="R8" s="9">
        <v>5.4</v>
      </c>
      <c r="S8" s="9">
        <v>0.4</v>
      </c>
      <c r="T8" s="9">
        <v>0</v>
      </c>
      <c r="U8" s="9">
        <v>1.1000000000000001</v>
      </c>
      <c r="V8" s="9">
        <v>2.9</v>
      </c>
      <c r="W8" s="9">
        <f t="shared" si="1"/>
        <v>6</v>
      </c>
      <c r="X8" s="9">
        <f t="shared" si="2"/>
        <v>10.099999999999998</v>
      </c>
      <c r="Y8" s="9">
        <f t="shared" si="3"/>
        <v>59.405940594059416</v>
      </c>
      <c r="Z8" s="6">
        <f t="shared" si="4"/>
        <v>4.9090909090909092</v>
      </c>
      <c r="AA8" s="9">
        <f t="shared" si="5"/>
        <v>59.13677130044843</v>
      </c>
      <c r="AB8" s="6">
        <f t="shared" si="6"/>
        <v>1.1827354260089686</v>
      </c>
      <c r="AC8" s="6">
        <f t="shared" si="7"/>
        <v>1.1140443505807813</v>
      </c>
      <c r="AD8" s="9">
        <f t="shared" si="8"/>
        <v>56.896551724137936</v>
      </c>
      <c r="AE8" s="4">
        <f>100*(AA8/TOTAL_BASIC!$C$81)</f>
        <v>102.11270748140076</v>
      </c>
      <c r="AF8" s="4">
        <f>100*AC8/TOTAL_BASIC!$C$82</f>
        <v>108.20708536674297</v>
      </c>
      <c r="AG8" s="4">
        <f>100*N8/TOTAL_BASIC!$C$87</f>
        <v>129.77346278317154</v>
      </c>
      <c r="AH8" s="4">
        <f>100*AD8/TOTAL_BASIC!$C$86</f>
        <v>109.37997347480108</v>
      </c>
      <c r="AI8" s="3">
        <f t="shared" si="9"/>
        <v>0</v>
      </c>
      <c r="AL8" s="4">
        <f>(PERCENTRANK(D$3:D$78,D8))*100</f>
        <v>84.7</v>
      </c>
      <c r="AM8" s="4">
        <f>(PERCENTRANK(E$3:E$78,E8))*100</f>
        <v>89.1</v>
      </c>
      <c r="AN8" s="4">
        <f>(PERCENTRANK(F$3:F$78,F8))*100</f>
        <v>89.1</v>
      </c>
      <c r="AO8" s="4">
        <f>(PERCENTRANK(G$3:G$78,G8))*100</f>
        <v>93.4</v>
      </c>
      <c r="AP8" s="4">
        <f>(PERCENTRANK(H$3:H$78,H8))*100</f>
        <v>63</v>
      </c>
      <c r="AQ8" s="4">
        <f>(PERCENTRANK(I$3:I$78,I8))*100</f>
        <v>91.3</v>
      </c>
      <c r="AR8" s="4">
        <f>(PERCENTRANK(J$3:J$78,J8))*100</f>
        <v>91.3</v>
      </c>
      <c r="AS8" s="4">
        <f>(PERCENTRANK(K$3:K$78,K8))*100</f>
        <v>65.2</v>
      </c>
      <c r="AT8" s="4">
        <f>(PERCENTRANK(L$3:L$78,L8))*100</f>
        <v>47.8</v>
      </c>
      <c r="AU8" s="4">
        <f>(PERCENTRANK(M$3:M$78,M8))*100</f>
        <v>41.3</v>
      </c>
      <c r="AV8" s="4">
        <f>(PERCENTRANK(N$3:N$78,N8))*100</f>
        <v>84.7</v>
      </c>
      <c r="AW8" s="4">
        <f>(PERCENTRANK(O$3:O$78,O8))*100</f>
        <v>21.7</v>
      </c>
      <c r="AX8" s="4">
        <f>(PERCENTRANK(P$3:P$78,P8))*100</f>
        <v>65.2</v>
      </c>
      <c r="AY8" s="4">
        <f>(PERCENTRANK(Q$3:Q$78,Q8))*100</f>
        <v>63</v>
      </c>
      <c r="AZ8" s="4">
        <f>(PERCENTRANK(R$3:R$78,R8))*100</f>
        <v>93.4</v>
      </c>
      <c r="BA8" s="4">
        <f>(PERCENTRANK(S$3:S$78,S8))*100</f>
        <v>34.699999999999996</v>
      </c>
      <c r="BB8" s="4">
        <f>(PERCENTRANK(T$3:T$78,T8))*100</f>
        <v>0</v>
      </c>
      <c r="BC8" s="4">
        <f>100-(PERCENTRANK(U$3:U$78,U8))*100</f>
        <v>56.6</v>
      </c>
      <c r="BD8" s="4">
        <f>100-(PERCENTRANK(V$3:V$78,V8))*100</f>
        <v>24</v>
      </c>
      <c r="BE8" s="4">
        <f>(PERCENTRANK(W$3:W$78,W8))*100</f>
        <v>82.6</v>
      </c>
      <c r="BF8" s="4">
        <f>(PERCENTRANK(X$3:X$78,X8))*100</f>
        <v>76</v>
      </c>
      <c r="BG8" s="4">
        <f>(PERCENTRANK(Y$3:Y$78,Y8))*100</f>
        <v>76</v>
      </c>
      <c r="BH8" s="4">
        <f>(PERCENTRANK(Z$3:Z$78,Z8))*100</f>
        <v>95.5</v>
      </c>
      <c r="BI8" s="4">
        <f>(PERCENTRANK(AA$3:AA$78,AA8))*100</f>
        <v>60.8</v>
      </c>
      <c r="BJ8" s="4">
        <f>(PERCENTRANK(AB$3:AB$78,AB8))*100</f>
        <v>60.8</v>
      </c>
      <c r="BK8" s="4">
        <f>(PERCENTRANK(AC$3:AC$78,AC8))*100</f>
        <v>71.7</v>
      </c>
      <c r="BL8" s="4">
        <f>(PERCENTRANK(AD$3:AD$78,AD8))*100</f>
        <v>76</v>
      </c>
      <c r="BM8" s="4">
        <f t="shared" si="0"/>
        <v>0</v>
      </c>
    </row>
    <row r="9" spans="1:65" x14ac:dyDescent="0.25">
      <c r="A9" s="2">
        <v>7</v>
      </c>
      <c r="B9" s="5" t="s">
        <v>42</v>
      </c>
      <c r="C9" s="2">
        <v>4</v>
      </c>
      <c r="D9" s="9">
        <v>17.8</v>
      </c>
      <c r="E9" s="9">
        <v>20.5</v>
      </c>
      <c r="F9" s="9">
        <v>8.5</v>
      </c>
      <c r="G9" s="9">
        <v>17</v>
      </c>
      <c r="H9" s="9">
        <v>50</v>
      </c>
      <c r="I9" s="9">
        <v>2.2999999999999998</v>
      </c>
      <c r="J9" s="9">
        <v>6</v>
      </c>
      <c r="K9" s="9">
        <v>37.5</v>
      </c>
      <c r="L9" s="9">
        <v>0.8</v>
      </c>
      <c r="M9" s="9">
        <v>1.3</v>
      </c>
      <c r="N9" s="9">
        <v>60</v>
      </c>
      <c r="O9" s="9">
        <v>1</v>
      </c>
      <c r="P9" s="9">
        <v>3.5</v>
      </c>
      <c r="Q9" s="9">
        <v>4.5</v>
      </c>
      <c r="R9" s="9">
        <v>0.8</v>
      </c>
      <c r="S9" s="9">
        <v>0</v>
      </c>
      <c r="T9" s="9">
        <v>0.5</v>
      </c>
      <c r="U9" s="9">
        <v>0.5</v>
      </c>
      <c r="V9" s="9">
        <v>3.8</v>
      </c>
      <c r="W9" s="9">
        <f t="shared" si="1"/>
        <v>6.2</v>
      </c>
      <c r="X9" s="9">
        <f t="shared" si="2"/>
        <v>11</v>
      </c>
      <c r="Y9" s="9">
        <f t="shared" si="3"/>
        <v>56.36363636363636</v>
      </c>
      <c r="Z9" s="6">
        <f t="shared" si="4"/>
        <v>1.6</v>
      </c>
      <c r="AA9" s="9">
        <f t="shared" si="5"/>
        <v>58.331436376052814</v>
      </c>
      <c r="AB9" s="6">
        <f t="shared" si="6"/>
        <v>1.1666287275210563</v>
      </c>
      <c r="AC9" s="6">
        <f t="shared" si="7"/>
        <v>1.1343514829570607</v>
      </c>
      <c r="AD9" s="9">
        <f t="shared" si="8"/>
        <v>56.764705882352942</v>
      </c>
      <c r="AE9" s="4">
        <f>100*(AA9/TOTAL_BASIC!$C$81)</f>
        <v>100.7221187199419</v>
      </c>
      <c r="AF9" s="4">
        <f>100*AC9/TOTAL_BASIC!$C$82</f>
        <v>110.17951636147694</v>
      </c>
      <c r="AG9" s="4">
        <f>100*N9/TOTAL_BASIC!$C$87</f>
        <v>77.864077669902912</v>
      </c>
      <c r="AH9" s="4">
        <f>100*AD9/TOTAL_BASIC!$C$86</f>
        <v>109.12650829562595</v>
      </c>
      <c r="AI9" s="3">
        <f t="shared" si="9"/>
        <v>0.13157894736842105</v>
      </c>
      <c r="AL9" s="4">
        <f>(PERCENTRANK(D$3:D$78,D9))*100</f>
        <v>86.9</v>
      </c>
      <c r="AM9" s="4">
        <f>(PERCENTRANK(E$3:E$78,E9))*100</f>
        <v>86.9</v>
      </c>
      <c r="AN9" s="4">
        <f>(PERCENTRANK(F$3:F$78,F9))*100</f>
        <v>86.9</v>
      </c>
      <c r="AO9" s="4">
        <f>(PERCENTRANK(G$3:G$78,G9))*100</f>
        <v>91.3</v>
      </c>
      <c r="AP9" s="4">
        <f>(PERCENTRANK(H$3:H$78,H9))*100</f>
        <v>65.2</v>
      </c>
      <c r="AQ9" s="4">
        <f>(PERCENTRANK(I$3:I$78,I9))*100</f>
        <v>86.9</v>
      </c>
      <c r="AR9" s="4">
        <f>(PERCENTRANK(J$3:J$78,J9))*100</f>
        <v>89.1</v>
      </c>
      <c r="AS9" s="4">
        <f>(PERCENTRANK(K$3:K$78,K9))*100</f>
        <v>80.400000000000006</v>
      </c>
      <c r="AT9" s="4">
        <f>(PERCENTRANK(L$3:L$78,L9))*100</f>
        <v>39.1</v>
      </c>
      <c r="AU9" s="4">
        <f>(PERCENTRANK(M$3:M$78,M9))*100</f>
        <v>50</v>
      </c>
      <c r="AV9" s="4">
        <f>(PERCENTRANK(N$3:N$78,N9))*100</f>
        <v>23.9</v>
      </c>
      <c r="AW9" s="4">
        <f>(PERCENTRANK(O$3:O$78,O9))*100</f>
        <v>50</v>
      </c>
      <c r="AX9" s="4">
        <f>(PERCENTRANK(P$3:P$78,P9))*100</f>
        <v>47.8</v>
      </c>
      <c r="AY9" s="4">
        <f>(PERCENTRANK(Q$3:Q$78,Q9))*100</f>
        <v>47.8</v>
      </c>
      <c r="AZ9" s="4">
        <f>(PERCENTRANK(R$3:R$78,R9))*100</f>
        <v>23.9</v>
      </c>
      <c r="BA9" s="4">
        <f>(PERCENTRANK(S$3:S$78,S9))*100</f>
        <v>0</v>
      </c>
      <c r="BB9" s="4">
        <f>(PERCENTRANK(T$3:T$78,T9))*100</f>
        <v>63</v>
      </c>
      <c r="BC9" s="4">
        <f>100-(PERCENTRANK(U$3:U$78,U9))*100</f>
        <v>93.5</v>
      </c>
      <c r="BD9" s="4">
        <f>100-(PERCENTRANK(V$3:V$78,V9))*100</f>
        <v>2.2000000000000028</v>
      </c>
      <c r="BE9" s="4">
        <f>(PERCENTRANK(W$3:W$78,W9))*100</f>
        <v>86.9</v>
      </c>
      <c r="BF9" s="4">
        <f>(PERCENTRANK(X$3:X$78,X9))*100</f>
        <v>86.9</v>
      </c>
      <c r="BG9" s="4">
        <f>(PERCENTRANK(Y$3:Y$78,Y9))*100</f>
        <v>63</v>
      </c>
      <c r="BH9" s="4">
        <f>(PERCENTRANK(Z$3:Z$78,Z9))*100</f>
        <v>55.500000000000007</v>
      </c>
      <c r="BI9" s="4">
        <f>(PERCENTRANK(AA$3:AA$78,AA9))*100</f>
        <v>54.300000000000004</v>
      </c>
      <c r="BJ9" s="4">
        <f>(PERCENTRANK(AB$3:AB$78,AB9))*100</f>
        <v>54.300000000000004</v>
      </c>
      <c r="BK9" s="4">
        <f>(PERCENTRANK(AC$3:AC$78,AC9))*100</f>
        <v>73.900000000000006</v>
      </c>
      <c r="BL9" s="4">
        <f>(PERCENTRANK(AD$3:AD$78,AD9))*100</f>
        <v>73.900000000000006</v>
      </c>
      <c r="BM9" s="4">
        <f t="shared" si="0"/>
        <v>45.6</v>
      </c>
    </row>
    <row r="10" spans="1:65" x14ac:dyDescent="0.25">
      <c r="A10" s="2">
        <v>8</v>
      </c>
      <c r="B10" s="5" t="s">
        <v>43</v>
      </c>
      <c r="C10" s="2">
        <v>7</v>
      </c>
      <c r="D10" s="9">
        <v>20.9</v>
      </c>
      <c r="E10" s="9">
        <v>20</v>
      </c>
      <c r="F10" s="9">
        <v>7.1</v>
      </c>
      <c r="G10" s="9">
        <v>16.100000000000001</v>
      </c>
      <c r="H10" s="9">
        <v>44.2</v>
      </c>
      <c r="I10" s="9">
        <v>3.9</v>
      </c>
      <c r="J10" s="9">
        <v>8.6999999999999993</v>
      </c>
      <c r="K10" s="9">
        <v>44.3</v>
      </c>
      <c r="L10" s="9">
        <v>1.3</v>
      </c>
      <c r="M10" s="9">
        <v>1.7</v>
      </c>
      <c r="N10" s="9">
        <v>75</v>
      </c>
      <c r="O10" s="9">
        <v>0.6</v>
      </c>
      <c r="P10" s="9">
        <v>4.4000000000000004</v>
      </c>
      <c r="Q10" s="9">
        <v>5</v>
      </c>
      <c r="R10" s="9">
        <v>2.2999999999999998</v>
      </c>
      <c r="S10" s="9">
        <v>1.6</v>
      </c>
      <c r="T10" s="9">
        <v>0.7</v>
      </c>
      <c r="U10" s="9">
        <v>1.4</v>
      </c>
      <c r="V10" s="9">
        <v>2.7</v>
      </c>
      <c r="W10" s="9">
        <f t="shared" si="1"/>
        <v>3.1999999999999997</v>
      </c>
      <c r="X10" s="9">
        <f t="shared" si="2"/>
        <v>7.4000000000000021</v>
      </c>
      <c r="Y10" s="9">
        <f t="shared" si="3"/>
        <v>43.243243243243228</v>
      </c>
      <c r="Z10" s="6">
        <f t="shared" si="4"/>
        <v>1.6428571428571428</v>
      </c>
      <c r="AA10" s="9">
        <f t="shared" si="5"/>
        <v>59.354226020892682</v>
      </c>
      <c r="AB10" s="6">
        <f t="shared" si="6"/>
        <v>1.1870845204178537</v>
      </c>
      <c r="AC10" s="6">
        <f t="shared" si="7"/>
        <v>1.0960105217010083</v>
      </c>
      <c r="AD10" s="9">
        <f t="shared" si="8"/>
        <v>56.211180124223588</v>
      </c>
      <c r="AE10" s="4">
        <f>100*(AA10/TOTAL_BASIC!$C$81)</f>
        <v>102.4881911233189</v>
      </c>
      <c r="AF10" s="4">
        <f>100*AC10/TOTAL_BASIC!$C$82</f>
        <v>106.45546025409327</v>
      </c>
      <c r="AG10" s="4">
        <f>100*N10/TOTAL_BASIC!$C$87</f>
        <v>97.330097087378647</v>
      </c>
      <c r="AH10" s="4">
        <f>100*AD10/TOTAL_BASIC!$C$86</f>
        <v>108.06239050804267</v>
      </c>
      <c r="AI10" s="3">
        <f t="shared" si="9"/>
        <v>0.25925925925925924</v>
      </c>
      <c r="AL10" s="4">
        <f>(PERCENTRANK(D$3:D$78,D10))*100</f>
        <v>95.6</v>
      </c>
      <c r="AM10" s="4">
        <f>(PERCENTRANK(E$3:E$78,E10))*100</f>
        <v>84.7</v>
      </c>
      <c r="AN10" s="4">
        <f>(PERCENTRANK(F$3:F$78,F10))*100</f>
        <v>78.2</v>
      </c>
      <c r="AO10" s="4">
        <f>(PERCENTRANK(G$3:G$78,G10))*100</f>
        <v>84.7</v>
      </c>
      <c r="AP10" s="4">
        <f>(PERCENTRANK(H$3:H$78,H10))*100</f>
        <v>41.3</v>
      </c>
      <c r="AQ10" s="4">
        <f>(PERCENTRANK(I$3:I$78,I10))*100</f>
        <v>97.8</v>
      </c>
      <c r="AR10" s="4">
        <f>(PERCENTRANK(J$3:J$78,J10))*100</f>
        <v>97.8</v>
      </c>
      <c r="AS10" s="4">
        <f>(PERCENTRANK(K$3:K$78,K10))*100</f>
        <v>89.1</v>
      </c>
      <c r="AT10" s="4">
        <f>(PERCENTRANK(L$3:L$78,L10))*100</f>
        <v>60.8</v>
      </c>
      <c r="AU10" s="4">
        <f>(PERCENTRANK(M$3:M$78,M10))*100</f>
        <v>63</v>
      </c>
      <c r="AV10" s="4">
        <f>(PERCENTRANK(N$3:N$78,N10))*100</f>
        <v>41.3</v>
      </c>
      <c r="AW10" s="4">
        <f>(PERCENTRANK(O$3:O$78,O10))*100</f>
        <v>19.5</v>
      </c>
      <c r="AX10" s="4">
        <f>(PERCENTRANK(P$3:P$78,P10))*100</f>
        <v>65.2</v>
      </c>
      <c r="AY10" s="4">
        <f>(PERCENTRANK(Q$3:Q$78,Q10))*100</f>
        <v>58.599999999999994</v>
      </c>
      <c r="AZ10" s="4">
        <f>(PERCENTRANK(R$3:R$78,R10))*100</f>
        <v>63</v>
      </c>
      <c r="BA10" s="4">
        <f>(PERCENTRANK(S$3:S$78,S10))*100</f>
        <v>91.3</v>
      </c>
      <c r="BB10" s="4">
        <f>(PERCENTRANK(T$3:T$78,T10))*100</f>
        <v>71.7</v>
      </c>
      <c r="BC10" s="4">
        <f>100-(PERCENTRANK(U$3:U$78,U10))*100</f>
        <v>41.400000000000006</v>
      </c>
      <c r="BD10" s="4">
        <f>100-(PERCENTRANK(V$3:V$78,V10))*100</f>
        <v>30.5</v>
      </c>
      <c r="BE10" s="4">
        <f>(PERCENTRANK(W$3:W$78,W10))*100</f>
        <v>50</v>
      </c>
      <c r="BF10" s="4">
        <f>(PERCENTRANK(X$3:X$78,X10))*100</f>
        <v>54.300000000000004</v>
      </c>
      <c r="BG10" s="4">
        <f>(PERCENTRANK(Y$3:Y$78,Y10))*100</f>
        <v>19.5</v>
      </c>
      <c r="BH10" s="4">
        <f>(PERCENTRANK(Z$3:Z$78,Z10))*100</f>
        <v>57.699999999999996</v>
      </c>
      <c r="BI10" s="4">
        <f>(PERCENTRANK(AA$3:AA$78,AA10))*100</f>
        <v>65.2</v>
      </c>
      <c r="BJ10" s="4">
        <f>(PERCENTRANK(AB$3:AB$78,AB10))*100</f>
        <v>65.2</v>
      </c>
      <c r="BK10" s="4">
        <f>(PERCENTRANK(AC$3:AC$78,AC10))*100</f>
        <v>69.5</v>
      </c>
      <c r="BL10" s="4">
        <f>(PERCENTRANK(AD$3:AD$78,AD10))*100</f>
        <v>71.7</v>
      </c>
      <c r="BM10" s="4">
        <f t="shared" si="0"/>
        <v>71.7</v>
      </c>
    </row>
    <row r="11" spans="1:65" x14ac:dyDescent="0.25">
      <c r="A11" s="2">
        <v>9</v>
      </c>
      <c r="B11" s="5" t="s">
        <v>44</v>
      </c>
      <c r="C11" s="2">
        <v>7</v>
      </c>
      <c r="D11" s="9">
        <v>16.399999999999999</v>
      </c>
      <c r="E11" s="9">
        <v>19.7</v>
      </c>
      <c r="F11" s="9">
        <v>7.7</v>
      </c>
      <c r="G11" s="9">
        <v>15.9</v>
      </c>
      <c r="H11" s="9">
        <v>48.6</v>
      </c>
      <c r="I11" s="9">
        <v>1</v>
      </c>
      <c r="J11" s="9">
        <v>3.6</v>
      </c>
      <c r="K11" s="9">
        <v>28</v>
      </c>
      <c r="L11" s="9">
        <v>2</v>
      </c>
      <c r="M11" s="9">
        <v>2.2999999999999998</v>
      </c>
      <c r="N11" s="9">
        <v>87.5</v>
      </c>
      <c r="O11" s="9">
        <v>1.7</v>
      </c>
      <c r="P11" s="9">
        <v>7.4</v>
      </c>
      <c r="Q11" s="9">
        <v>9.1</v>
      </c>
      <c r="R11" s="9">
        <v>2.4</v>
      </c>
      <c r="S11" s="9">
        <v>1.1000000000000001</v>
      </c>
      <c r="T11" s="9">
        <v>0.7</v>
      </c>
      <c r="U11" s="9">
        <v>1.7</v>
      </c>
      <c r="V11" s="9">
        <v>1.7</v>
      </c>
      <c r="W11" s="9">
        <f t="shared" si="1"/>
        <v>6.7</v>
      </c>
      <c r="X11" s="9">
        <f t="shared" si="2"/>
        <v>12.3</v>
      </c>
      <c r="Y11" s="9">
        <f t="shared" si="3"/>
        <v>54.471544715447152</v>
      </c>
      <c r="Z11" s="6">
        <f t="shared" si="4"/>
        <v>1.411764705882353</v>
      </c>
      <c r="AA11" s="9">
        <f t="shared" si="5"/>
        <v>58.242667928098392</v>
      </c>
      <c r="AB11" s="6">
        <f t="shared" si="6"/>
        <v>1.1648533585619678</v>
      </c>
      <c r="AC11" s="6">
        <f t="shared" si="7"/>
        <v>1.0584569095207395</v>
      </c>
      <c r="AD11" s="9">
        <f t="shared" si="8"/>
        <v>51.572327044025151</v>
      </c>
      <c r="AE11" s="4">
        <f>100*(AA11/TOTAL_BASIC!$C$81)</f>
        <v>100.56884037281174</v>
      </c>
      <c r="AF11" s="4">
        <f>100*AC11/TOTAL_BASIC!$C$82</f>
        <v>102.80787933247066</v>
      </c>
      <c r="AG11" s="4">
        <f>100*N11/TOTAL_BASIC!$C$87</f>
        <v>113.55177993527509</v>
      </c>
      <c r="AH11" s="4">
        <f>100*AD11/TOTAL_BASIC!$C$86</f>
        <v>99.144492823738091</v>
      </c>
      <c r="AI11" s="3">
        <f t="shared" si="9"/>
        <v>0.41176470588235292</v>
      </c>
      <c r="AL11" s="4">
        <f>(PERCENTRANK(D$3:D$78,D11))*100</f>
        <v>73.900000000000006</v>
      </c>
      <c r="AM11" s="4">
        <f>(PERCENTRANK(E$3:E$78,E11))*100</f>
        <v>80.400000000000006</v>
      </c>
      <c r="AN11" s="4">
        <f>(PERCENTRANK(F$3:F$78,F11))*100</f>
        <v>80.400000000000006</v>
      </c>
      <c r="AO11" s="4">
        <f>(PERCENTRANK(G$3:G$78,G11))*100</f>
        <v>82.6</v>
      </c>
      <c r="AP11" s="4">
        <f>(PERCENTRANK(H$3:H$78,H11))*100</f>
        <v>58.599999999999994</v>
      </c>
      <c r="AQ11" s="4">
        <f>(PERCENTRANK(I$3:I$78,I11))*100</f>
        <v>60.8</v>
      </c>
      <c r="AR11" s="4">
        <f>(PERCENTRANK(J$3:J$78,J11))*100</f>
        <v>65.2</v>
      </c>
      <c r="AS11" s="4">
        <f>(PERCENTRANK(K$3:K$78,K11))*100</f>
        <v>50</v>
      </c>
      <c r="AT11" s="4">
        <f>(PERCENTRANK(L$3:L$78,L11))*100</f>
        <v>82.6</v>
      </c>
      <c r="AU11" s="4">
        <f>(PERCENTRANK(M$3:M$78,M11))*100</f>
        <v>73.900000000000006</v>
      </c>
      <c r="AV11" s="4">
        <f>(PERCENTRANK(N$3:N$78,N11))*100</f>
        <v>67.300000000000011</v>
      </c>
      <c r="AW11" s="4">
        <f>(PERCENTRANK(O$3:O$78,O11))*100</f>
        <v>82.6</v>
      </c>
      <c r="AX11" s="4">
        <f>(PERCENTRANK(P$3:P$78,P11))*100</f>
        <v>93.4</v>
      </c>
      <c r="AY11" s="4">
        <f>(PERCENTRANK(Q$3:Q$78,Q11))*100</f>
        <v>93.4</v>
      </c>
      <c r="AZ11" s="4">
        <f>(PERCENTRANK(R$3:R$78,R11))*100</f>
        <v>67.300000000000011</v>
      </c>
      <c r="BA11" s="4">
        <f>(PERCENTRANK(S$3:S$78,S11))*100</f>
        <v>78.2</v>
      </c>
      <c r="BB11" s="4">
        <f>(PERCENTRANK(T$3:T$78,T11))*100</f>
        <v>71.7</v>
      </c>
      <c r="BC11" s="4">
        <f>100-(PERCENTRANK(U$3:U$78,U11))*100</f>
        <v>26.099999999999994</v>
      </c>
      <c r="BD11" s="4">
        <f>100-(PERCENTRANK(V$3:V$78,V11))*100</f>
        <v>89.2</v>
      </c>
      <c r="BE11" s="4">
        <f>(PERCENTRANK(W$3:W$78,W11))*100</f>
        <v>91.3</v>
      </c>
      <c r="BF11" s="4">
        <f>(PERCENTRANK(X$3:X$78,X11))*100</f>
        <v>91.3</v>
      </c>
      <c r="BG11" s="4">
        <f>(PERCENTRANK(Y$3:Y$78,Y11))*100</f>
        <v>45.6</v>
      </c>
      <c r="BH11" s="4">
        <f>(PERCENTRANK(Z$3:Z$78,Z11))*100</f>
        <v>48.8</v>
      </c>
      <c r="BI11" s="4">
        <f>(PERCENTRANK(AA$3:AA$78,AA11))*100</f>
        <v>52.1</v>
      </c>
      <c r="BJ11" s="4">
        <f>(PERCENTRANK(AB$3:AB$78,AB11))*100</f>
        <v>52.1</v>
      </c>
      <c r="BK11" s="4">
        <f>(PERCENTRANK(AC$3:AC$78,AC11))*100</f>
        <v>58.599999999999994</v>
      </c>
      <c r="BL11" s="4">
        <f>(PERCENTRANK(AD$3:AD$78,AD11))*100</f>
        <v>52.1</v>
      </c>
      <c r="BM11" s="4">
        <f t="shared" si="0"/>
        <v>91.3</v>
      </c>
    </row>
    <row r="12" spans="1:65" x14ac:dyDescent="0.25">
      <c r="A12" s="2">
        <v>10</v>
      </c>
      <c r="B12" s="5" t="s">
        <v>45</v>
      </c>
      <c r="C12" s="2">
        <v>7</v>
      </c>
      <c r="D12" s="9">
        <v>16.3</v>
      </c>
      <c r="E12" s="9">
        <v>19.7</v>
      </c>
      <c r="F12" s="9">
        <v>7.7</v>
      </c>
      <c r="G12" s="9">
        <v>14.3</v>
      </c>
      <c r="H12" s="9">
        <v>54</v>
      </c>
      <c r="I12" s="9">
        <v>0.3</v>
      </c>
      <c r="J12" s="9">
        <v>1.7</v>
      </c>
      <c r="K12" s="9">
        <v>16.7</v>
      </c>
      <c r="L12" s="9">
        <v>2.1</v>
      </c>
      <c r="M12" s="9">
        <v>3.1</v>
      </c>
      <c r="N12" s="9">
        <v>68.2</v>
      </c>
      <c r="O12" s="9">
        <v>1.7</v>
      </c>
      <c r="P12" s="9">
        <v>6.1</v>
      </c>
      <c r="Q12" s="9">
        <v>7.9</v>
      </c>
      <c r="R12" s="9">
        <v>0.9</v>
      </c>
      <c r="S12" s="9">
        <v>0.9</v>
      </c>
      <c r="T12" s="9">
        <v>0</v>
      </c>
      <c r="U12" s="9">
        <v>1</v>
      </c>
      <c r="V12" s="9">
        <v>3.3</v>
      </c>
      <c r="W12" s="9">
        <f t="shared" si="1"/>
        <v>7.4</v>
      </c>
      <c r="X12" s="9">
        <f t="shared" si="2"/>
        <v>12.600000000000001</v>
      </c>
      <c r="Y12" s="9">
        <f t="shared" si="3"/>
        <v>58.73015873015872</v>
      </c>
      <c r="Z12" s="6">
        <f t="shared" si="4"/>
        <v>0.9</v>
      </c>
      <c r="AA12" s="9">
        <f t="shared" si="5"/>
        <v>62.883043922369758</v>
      </c>
      <c r="AB12" s="6">
        <f t="shared" si="6"/>
        <v>1.2576608784473953</v>
      </c>
      <c r="AC12" s="6">
        <f t="shared" si="7"/>
        <v>1.182189150264042</v>
      </c>
      <c r="AD12" s="9">
        <f t="shared" si="8"/>
        <v>54.895104895104893</v>
      </c>
      <c r="AE12" s="4">
        <f>100*(AA12/TOTAL_BASIC!$C$81)</f>
        <v>108.58147525440447</v>
      </c>
      <c r="AF12" s="4">
        <f>100*AC12/TOTAL_BASIC!$C$82</f>
        <v>114.82598716610316</v>
      </c>
      <c r="AG12" s="4">
        <f>100*N12/TOTAL_BASIC!$C$87</f>
        <v>88.505501618122977</v>
      </c>
      <c r="AH12" s="4">
        <f>100*AD12/TOTAL_BASIC!$C$86</f>
        <v>105.53232024385871</v>
      </c>
      <c r="AI12" s="3">
        <f t="shared" si="9"/>
        <v>0</v>
      </c>
      <c r="AL12" s="4">
        <f>(PERCENTRANK(D$3:D$78,D12))*100</f>
        <v>71.7</v>
      </c>
      <c r="AM12" s="4">
        <f>(PERCENTRANK(E$3:E$78,E12))*100</f>
        <v>80.400000000000006</v>
      </c>
      <c r="AN12" s="4">
        <f>(PERCENTRANK(F$3:F$78,F12))*100</f>
        <v>80.400000000000006</v>
      </c>
      <c r="AO12" s="4">
        <f>(PERCENTRANK(G$3:G$78,G12))*100</f>
        <v>78.2</v>
      </c>
      <c r="AP12" s="4">
        <f>(PERCENTRANK(H$3:H$78,H12))*100</f>
        <v>89.1</v>
      </c>
      <c r="AQ12" s="4">
        <f>(PERCENTRANK(I$3:I$78,I12))*100</f>
        <v>21.7</v>
      </c>
      <c r="AR12" s="4">
        <f>(PERCENTRANK(J$3:J$78,J12))*100</f>
        <v>28.199999999999996</v>
      </c>
      <c r="AS12" s="4">
        <f>(PERCENTRANK(K$3:K$78,K12))*100</f>
        <v>21.7</v>
      </c>
      <c r="AT12" s="4">
        <f>(PERCENTRANK(L$3:L$78,L12))*100</f>
        <v>89.1</v>
      </c>
      <c r="AU12" s="4">
        <f>(PERCENTRANK(M$3:M$78,M12))*100</f>
        <v>97.8</v>
      </c>
      <c r="AV12" s="4">
        <f>(PERCENTRANK(N$3:N$78,N12))*100</f>
        <v>34.699999999999996</v>
      </c>
      <c r="AW12" s="4">
        <f>(PERCENTRANK(O$3:O$78,O12))*100</f>
        <v>82.6</v>
      </c>
      <c r="AX12" s="4">
        <f>(PERCENTRANK(P$3:P$78,P12))*100</f>
        <v>84.7</v>
      </c>
      <c r="AY12" s="4">
        <f>(PERCENTRANK(Q$3:Q$78,Q12))*100</f>
        <v>86.9</v>
      </c>
      <c r="AZ12" s="4">
        <f>(PERCENTRANK(R$3:R$78,R12))*100</f>
        <v>34.699999999999996</v>
      </c>
      <c r="BA12" s="4">
        <f>(PERCENTRANK(S$3:S$78,S12))*100</f>
        <v>67.300000000000011</v>
      </c>
      <c r="BB12" s="4">
        <f>(PERCENTRANK(T$3:T$78,T12))*100</f>
        <v>0</v>
      </c>
      <c r="BC12" s="4">
        <f>100-(PERCENTRANK(U$3:U$78,U12))*100</f>
        <v>65.300000000000011</v>
      </c>
      <c r="BD12" s="4">
        <f>100-(PERCENTRANK(V$3:V$78,V12))*100</f>
        <v>13.099999999999994</v>
      </c>
      <c r="BE12" s="4">
        <f>(PERCENTRANK(W$3:W$78,W12))*100</f>
        <v>97.8</v>
      </c>
      <c r="BF12" s="4">
        <f>(PERCENTRANK(X$3:X$78,X12))*100</f>
        <v>97.8</v>
      </c>
      <c r="BG12" s="4">
        <f>(PERCENTRANK(Y$3:Y$78,Y12))*100</f>
        <v>69.5</v>
      </c>
      <c r="BH12" s="4">
        <f>(PERCENTRANK(Z$3:Z$78,Z12))*100</f>
        <v>33.300000000000004</v>
      </c>
      <c r="BI12" s="4">
        <f>(PERCENTRANK(AA$3:AA$78,AA12))*100</f>
        <v>73.900000000000006</v>
      </c>
      <c r="BJ12" s="4">
        <f>(PERCENTRANK(AB$3:AB$78,AB12))*100</f>
        <v>73.900000000000006</v>
      </c>
      <c r="BK12" s="4">
        <f>(PERCENTRANK(AC$3:AC$78,AC12))*100</f>
        <v>91.3</v>
      </c>
      <c r="BL12" s="4">
        <f>(PERCENTRANK(AD$3:AD$78,AD12))*100</f>
        <v>63</v>
      </c>
      <c r="BM12" s="4">
        <f t="shared" si="0"/>
        <v>0</v>
      </c>
    </row>
    <row r="13" spans="1:65" x14ac:dyDescent="0.25">
      <c r="A13" s="2">
        <v>11</v>
      </c>
      <c r="B13" s="5" t="s">
        <v>46</v>
      </c>
      <c r="C13" s="2">
        <v>6</v>
      </c>
      <c r="D13" s="9">
        <v>14.3</v>
      </c>
      <c r="E13" s="9">
        <v>19.3</v>
      </c>
      <c r="F13" s="9">
        <v>6.8</v>
      </c>
      <c r="G13" s="9">
        <v>14</v>
      </c>
      <c r="H13" s="9">
        <v>48.8</v>
      </c>
      <c r="I13" s="9">
        <v>2.5</v>
      </c>
      <c r="J13" s="9">
        <v>5.5</v>
      </c>
      <c r="K13" s="9">
        <v>45.5</v>
      </c>
      <c r="L13" s="9">
        <v>1.8</v>
      </c>
      <c r="M13" s="9">
        <v>2.2999999999999998</v>
      </c>
      <c r="N13" s="9">
        <v>78.599999999999994</v>
      </c>
      <c r="O13" s="9">
        <v>0.7</v>
      </c>
      <c r="P13" s="9">
        <v>3.2</v>
      </c>
      <c r="Q13" s="9">
        <v>3.8</v>
      </c>
      <c r="R13" s="9">
        <v>1.2</v>
      </c>
      <c r="S13" s="9">
        <v>2</v>
      </c>
      <c r="T13" s="9">
        <v>0.3</v>
      </c>
      <c r="U13" s="9">
        <v>1.5</v>
      </c>
      <c r="V13" s="9">
        <v>2.5</v>
      </c>
      <c r="W13" s="9">
        <f t="shared" si="1"/>
        <v>4.3</v>
      </c>
      <c r="X13" s="9">
        <f t="shared" si="2"/>
        <v>8.5</v>
      </c>
      <c r="Y13" s="9">
        <f t="shared" si="3"/>
        <v>50.588235294117645</v>
      </c>
      <c r="Z13" s="6">
        <f t="shared" si="4"/>
        <v>0.79999999999999993</v>
      </c>
      <c r="AA13" s="9">
        <f t="shared" si="5"/>
        <v>64.281907807087663</v>
      </c>
      <c r="AB13" s="6">
        <f t="shared" si="6"/>
        <v>1.2856381561417534</v>
      </c>
      <c r="AC13" s="6">
        <f t="shared" si="7"/>
        <v>1.1688468992248062</v>
      </c>
      <c r="AD13" s="9">
        <f t="shared" si="8"/>
        <v>57.500000000000007</v>
      </c>
      <c r="AE13" s="4">
        <f>100*(AA13/TOTAL_BASIC!$C$81)</f>
        <v>110.99692296190238</v>
      </c>
      <c r="AF13" s="4">
        <f>100*AC13/TOTAL_BASIC!$C$82</f>
        <v>113.53005483052384</v>
      </c>
      <c r="AG13" s="4">
        <f>100*N13/TOTAL_BASIC!$C$87</f>
        <v>102.00194174757281</v>
      </c>
      <c r="AH13" s="4">
        <f>100*AD13/TOTAL_BASIC!$C$86</f>
        <v>110.54006410256412</v>
      </c>
      <c r="AI13" s="3">
        <f t="shared" si="9"/>
        <v>0.12</v>
      </c>
      <c r="AL13" s="4">
        <f>(PERCENTRANK(D$3:D$78,D13))*100</f>
        <v>58.599999999999994</v>
      </c>
      <c r="AM13" s="4">
        <f>(PERCENTRANK(E$3:E$78,E13))*100</f>
        <v>78.2</v>
      </c>
      <c r="AN13" s="4">
        <f>(PERCENTRANK(F$3:F$78,F13))*100</f>
        <v>73.900000000000006</v>
      </c>
      <c r="AO13" s="4">
        <f>(PERCENTRANK(G$3:G$78,G13))*100</f>
        <v>76</v>
      </c>
      <c r="AP13" s="4">
        <f>(PERCENTRANK(H$3:H$78,H13))*100</f>
        <v>60.8</v>
      </c>
      <c r="AQ13" s="4">
        <f>(PERCENTRANK(I$3:I$78,I13))*100</f>
        <v>89.1</v>
      </c>
      <c r="AR13" s="4">
        <f>(PERCENTRANK(J$3:J$78,J13))*100</f>
        <v>86.9</v>
      </c>
      <c r="AS13" s="4">
        <f>(PERCENTRANK(K$3:K$78,K13))*100</f>
        <v>91.3</v>
      </c>
      <c r="AT13" s="4">
        <f>(PERCENTRANK(L$3:L$78,L13))*100</f>
        <v>80.400000000000006</v>
      </c>
      <c r="AU13" s="4">
        <f>(PERCENTRANK(M$3:M$78,M13))*100</f>
        <v>73.900000000000006</v>
      </c>
      <c r="AV13" s="4">
        <f>(PERCENTRANK(N$3:N$78,N13))*100</f>
        <v>52.1</v>
      </c>
      <c r="AW13" s="4">
        <f>(PERCENTRANK(O$3:O$78,O13))*100</f>
        <v>21.7</v>
      </c>
      <c r="AX13" s="4">
        <f>(PERCENTRANK(P$3:P$78,P13))*100</f>
        <v>45.6</v>
      </c>
      <c r="AY13" s="4">
        <f>(PERCENTRANK(Q$3:Q$78,Q13))*100</f>
        <v>32.6</v>
      </c>
      <c r="AZ13" s="4">
        <f>(PERCENTRANK(R$3:R$78,R13))*100</f>
        <v>39.1</v>
      </c>
      <c r="BA13" s="4">
        <f>(PERCENTRANK(S$3:S$78,S13))*100</f>
        <v>97.8</v>
      </c>
      <c r="BB13" s="4">
        <f>(PERCENTRANK(T$3:T$78,T13))*100</f>
        <v>39.1</v>
      </c>
      <c r="BC13" s="4">
        <f>100-(PERCENTRANK(U$3:U$78,U13))*100</f>
        <v>39.200000000000003</v>
      </c>
      <c r="BD13" s="4">
        <f>100-(PERCENTRANK(V$3:V$78,V13))*100</f>
        <v>39.200000000000003</v>
      </c>
      <c r="BE13" s="4">
        <f>(PERCENTRANK(W$3:W$78,W13))*100</f>
        <v>60.8</v>
      </c>
      <c r="BF13" s="4">
        <f>(PERCENTRANK(X$3:X$78,X13))*100</f>
        <v>65.2</v>
      </c>
      <c r="BG13" s="4">
        <f>(PERCENTRANK(Y$3:Y$78,Y13))*100</f>
        <v>36.9</v>
      </c>
      <c r="BH13" s="4">
        <f>(PERCENTRANK(Z$3:Z$78,Z13))*100</f>
        <v>31.1</v>
      </c>
      <c r="BI13" s="4">
        <f>(PERCENTRANK(AA$3:AA$78,AA13))*100</f>
        <v>82.6</v>
      </c>
      <c r="BJ13" s="4">
        <f>(PERCENTRANK(AB$3:AB$78,AB13))*100</f>
        <v>82.6</v>
      </c>
      <c r="BK13" s="4">
        <f>(PERCENTRANK(AC$3:AC$78,AC13))*100</f>
        <v>84.7</v>
      </c>
      <c r="BL13" s="4">
        <f>(PERCENTRANK(AD$3:AD$78,AD13))*100</f>
        <v>80.400000000000006</v>
      </c>
      <c r="BM13" s="4">
        <f t="shared" si="0"/>
        <v>41.3</v>
      </c>
    </row>
    <row r="14" spans="1:65" x14ac:dyDescent="0.25">
      <c r="A14" s="2">
        <v>12</v>
      </c>
      <c r="B14" s="5" t="s">
        <v>47</v>
      </c>
      <c r="C14" s="2">
        <v>7</v>
      </c>
      <c r="D14" s="9">
        <v>17.100000000000001</v>
      </c>
      <c r="E14" s="9">
        <v>18.899999999999999</v>
      </c>
      <c r="F14" s="9">
        <v>8</v>
      </c>
      <c r="G14" s="9">
        <v>15.4</v>
      </c>
      <c r="H14" s="9">
        <v>51.9</v>
      </c>
      <c r="I14" s="9">
        <v>0.9</v>
      </c>
      <c r="J14" s="9">
        <v>3.1</v>
      </c>
      <c r="K14" s="9">
        <v>27.3</v>
      </c>
      <c r="L14" s="9">
        <v>1</v>
      </c>
      <c r="M14" s="9">
        <v>1.3</v>
      </c>
      <c r="N14" s="9">
        <v>77.8</v>
      </c>
      <c r="O14" s="9">
        <v>2.1</v>
      </c>
      <c r="P14" s="9">
        <v>7.6</v>
      </c>
      <c r="Q14" s="9">
        <v>9.6999999999999993</v>
      </c>
      <c r="R14" s="9">
        <v>2.1</v>
      </c>
      <c r="S14" s="9">
        <v>1.3</v>
      </c>
      <c r="T14" s="9">
        <v>1.9</v>
      </c>
      <c r="U14" s="9">
        <v>1.7</v>
      </c>
      <c r="V14" s="9">
        <v>3.1</v>
      </c>
      <c r="W14" s="9">
        <f t="shared" si="1"/>
        <v>7.1</v>
      </c>
      <c r="X14" s="9">
        <f t="shared" si="2"/>
        <v>12.3</v>
      </c>
      <c r="Y14" s="9">
        <f t="shared" si="3"/>
        <v>57.723577235772353</v>
      </c>
      <c r="Z14" s="6">
        <f t="shared" si="4"/>
        <v>1.2352941176470589</v>
      </c>
      <c r="AA14" s="9">
        <f t="shared" si="5"/>
        <v>59.166040570999236</v>
      </c>
      <c r="AB14" s="6">
        <f t="shared" si="6"/>
        <v>1.1833208114199847</v>
      </c>
      <c r="AC14" s="6">
        <f t="shared" si="7"/>
        <v>1.0694884563150746</v>
      </c>
      <c r="AD14" s="9">
        <f t="shared" si="8"/>
        <v>54.870129870129858</v>
      </c>
      <c r="AE14" s="4">
        <f>100*(AA14/TOTAL_BASIC!$C$81)</f>
        <v>102.16324734680468</v>
      </c>
      <c r="AF14" s="4">
        <f>100*AC14/TOTAL_BASIC!$C$82</f>
        <v>103.87937305269782</v>
      </c>
      <c r="AG14" s="4">
        <f>100*N14/TOTAL_BASIC!$C$87</f>
        <v>100.96375404530745</v>
      </c>
      <c r="AH14" s="4">
        <f>100*AD14/TOTAL_BASIC!$C$86</f>
        <v>105.48430735930734</v>
      </c>
      <c r="AI14" s="3">
        <f t="shared" si="9"/>
        <v>0.61290322580645151</v>
      </c>
      <c r="AL14" s="4">
        <f>(PERCENTRANK(D$3:D$78,D14))*100</f>
        <v>82.6</v>
      </c>
      <c r="AM14" s="4">
        <f>(PERCENTRANK(E$3:E$78,E14))*100</f>
        <v>76</v>
      </c>
      <c r="AN14" s="4">
        <f>(PERCENTRANK(F$3:F$78,F14))*100</f>
        <v>84.7</v>
      </c>
      <c r="AO14" s="4">
        <f>(PERCENTRANK(G$3:G$78,G14))*100</f>
        <v>80.400000000000006</v>
      </c>
      <c r="AP14" s="4">
        <f>(PERCENTRANK(H$3:H$78,H14))*100</f>
        <v>78.2</v>
      </c>
      <c r="AQ14" s="4">
        <f>(PERCENTRANK(I$3:I$78,I14))*100</f>
        <v>58.599999999999994</v>
      </c>
      <c r="AR14" s="4">
        <f>(PERCENTRANK(J$3:J$78,J14))*100</f>
        <v>54.300000000000004</v>
      </c>
      <c r="AS14" s="4">
        <f>(PERCENTRANK(K$3:K$78,K14))*100</f>
        <v>43.4</v>
      </c>
      <c r="AT14" s="4">
        <f>(PERCENTRANK(L$3:L$78,L14))*100</f>
        <v>47.8</v>
      </c>
      <c r="AU14" s="4">
        <f>(PERCENTRANK(M$3:M$78,M14))*100</f>
        <v>50</v>
      </c>
      <c r="AV14" s="4">
        <f>(PERCENTRANK(N$3:N$78,N14))*100</f>
        <v>43.4</v>
      </c>
      <c r="AW14" s="4">
        <f>(PERCENTRANK(O$3:O$78,O14))*100</f>
        <v>93.4</v>
      </c>
      <c r="AX14" s="4">
        <f>(PERCENTRANK(P$3:P$78,P14))*100</f>
        <v>95.6</v>
      </c>
      <c r="AY14" s="4">
        <f>(PERCENTRANK(Q$3:Q$78,Q14))*100</f>
        <v>95.6</v>
      </c>
      <c r="AZ14" s="4">
        <f>(PERCENTRANK(R$3:R$78,R14))*100</f>
        <v>58.599999999999994</v>
      </c>
      <c r="BA14" s="4">
        <f>(PERCENTRANK(S$3:S$78,S14))*100</f>
        <v>86.9</v>
      </c>
      <c r="BB14" s="4">
        <f>(PERCENTRANK(T$3:T$78,T14))*100</f>
        <v>100</v>
      </c>
      <c r="BC14" s="4">
        <f>100-(PERCENTRANK(U$3:U$78,U14))*100</f>
        <v>26.099999999999994</v>
      </c>
      <c r="BD14" s="4">
        <f>100-(PERCENTRANK(V$3:V$78,V14))*100</f>
        <v>15.299999999999997</v>
      </c>
      <c r="BE14" s="4">
        <f>(PERCENTRANK(W$3:W$78,W14))*100</f>
        <v>95.6</v>
      </c>
      <c r="BF14" s="4">
        <f>(PERCENTRANK(X$3:X$78,X14))*100</f>
        <v>91.3</v>
      </c>
      <c r="BG14" s="4">
        <f>(PERCENTRANK(Y$3:Y$78,Y14))*100</f>
        <v>65.2</v>
      </c>
      <c r="BH14" s="4">
        <f>(PERCENTRANK(Z$3:Z$78,Z14))*100</f>
        <v>42.199999999999996</v>
      </c>
      <c r="BI14" s="4">
        <f>(PERCENTRANK(AA$3:AA$78,AA14))*100</f>
        <v>63</v>
      </c>
      <c r="BJ14" s="4">
        <f>(PERCENTRANK(AB$3:AB$78,AB14))*100</f>
        <v>63</v>
      </c>
      <c r="BK14" s="4">
        <f>(PERCENTRANK(AC$3:AC$78,AC14))*100</f>
        <v>63</v>
      </c>
      <c r="BL14" s="4">
        <f>(PERCENTRANK(AD$3:AD$78,AD14))*100</f>
        <v>60.8</v>
      </c>
      <c r="BM14" s="4">
        <f t="shared" si="0"/>
        <v>95.6</v>
      </c>
    </row>
    <row r="15" spans="1:65" x14ac:dyDescent="0.25">
      <c r="A15" s="2">
        <v>13</v>
      </c>
      <c r="B15" s="5" t="s">
        <v>48</v>
      </c>
      <c r="C15" s="2">
        <v>6</v>
      </c>
      <c r="D15" s="9">
        <v>15.3</v>
      </c>
      <c r="E15" s="9">
        <v>18.8</v>
      </c>
      <c r="F15" s="9">
        <v>6.7</v>
      </c>
      <c r="G15" s="9">
        <v>13.2</v>
      </c>
      <c r="H15" s="9">
        <v>50.6</v>
      </c>
      <c r="I15" s="9">
        <v>1.8</v>
      </c>
      <c r="J15" s="9">
        <v>5</v>
      </c>
      <c r="K15" s="9">
        <v>36.700000000000003</v>
      </c>
      <c r="L15" s="9">
        <v>2.2000000000000002</v>
      </c>
      <c r="M15" s="9">
        <v>2.2999999999999998</v>
      </c>
      <c r="N15" s="9">
        <v>92.9</v>
      </c>
      <c r="O15" s="9">
        <v>1.3</v>
      </c>
      <c r="P15" s="9">
        <v>2.5</v>
      </c>
      <c r="Q15" s="9">
        <v>3.8</v>
      </c>
      <c r="R15" s="9">
        <v>4.3</v>
      </c>
      <c r="S15" s="9">
        <v>0.7</v>
      </c>
      <c r="T15" s="9">
        <v>0.2</v>
      </c>
      <c r="U15" s="9">
        <v>1.8</v>
      </c>
      <c r="V15" s="9">
        <v>2.2999999999999998</v>
      </c>
      <c r="W15" s="9">
        <f t="shared" si="1"/>
        <v>4.9000000000000004</v>
      </c>
      <c r="X15" s="9">
        <f t="shared" si="2"/>
        <v>8.1999999999999993</v>
      </c>
      <c r="Y15" s="9">
        <f t="shared" si="3"/>
        <v>59.756097560975618</v>
      </c>
      <c r="Z15" s="6">
        <f t="shared" si="4"/>
        <v>2.3888888888888888</v>
      </c>
      <c r="AA15" s="9">
        <f t="shared" si="5"/>
        <v>66.141289051505765</v>
      </c>
      <c r="AB15" s="6">
        <f t="shared" si="6"/>
        <v>1.3228257810301154</v>
      </c>
      <c r="AC15" s="6">
        <f t="shared" si="7"/>
        <v>1.1741194104421684</v>
      </c>
      <c r="AD15" s="9">
        <f t="shared" si="8"/>
        <v>57.575757575757578</v>
      </c>
      <c r="AE15" s="4">
        <f>100*(AA15/TOTAL_BASIC!$C$81)</f>
        <v>114.20755568554296</v>
      </c>
      <c r="AF15" s="4">
        <f>100*AC15/TOTAL_BASIC!$C$82</f>
        <v>114.04217364437248</v>
      </c>
      <c r="AG15" s="4">
        <f>100*N15/TOTAL_BASIC!$C$87</f>
        <v>120.55954692556635</v>
      </c>
      <c r="AH15" s="4">
        <f>100*AD15/TOTAL_BASIC!$C$86</f>
        <v>110.68570318570319</v>
      </c>
      <c r="AI15" s="3">
        <f t="shared" si="9"/>
        <v>8.6956521739130446E-2</v>
      </c>
      <c r="AL15" s="4">
        <f>(PERCENTRANK(D$3:D$78,D15))*100</f>
        <v>67.300000000000011</v>
      </c>
      <c r="AM15" s="4">
        <f>(PERCENTRANK(E$3:E$78,E15))*100</f>
        <v>73.900000000000006</v>
      </c>
      <c r="AN15" s="4">
        <f>(PERCENTRANK(F$3:F$78,F15))*100</f>
        <v>69.5</v>
      </c>
      <c r="AO15" s="4">
        <f>(PERCENTRANK(G$3:G$78,G15))*100</f>
        <v>69.5</v>
      </c>
      <c r="AP15" s="4">
        <f>(PERCENTRANK(H$3:H$78,H15))*100</f>
        <v>69.5</v>
      </c>
      <c r="AQ15" s="4">
        <f>(PERCENTRANK(I$3:I$78,I15))*100</f>
        <v>78.2</v>
      </c>
      <c r="AR15" s="4">
        <f>(PERCENTRANK(J$3:J$78,J15))*100</f>
        <v>82.6</v>
      </c>
      <c r="AS15" s="4">
        <f>(PERCENTRANK(K$3:K$78,K15))*100</f>
        <v>76</v>
      </c>
      <c r="AT15" s="4">
        <f>(PERCENTRANK(L$3:L$78,L15))*100</f>
        <v>91.3</v>
      </c>
      <c r="AU15" s="4">
        <f>(PERCENTRANK(M$3:M$78,M15))*100</f>
        <v>73.900000000000006</v>
      </c>
      <c r="AV15" s="4">
        <f>(PERCENTRANK(N$3:N$78,N15))*100</f>
        <v>80.400000000000006</v>
      </c>
      <c r="AW15" s="4">
        <f>(PERCENTRANK(O$3:O$78,O15))*100</f>
        <v>69.5</v>
      </c>
      <c r="AX15" s="4">
        <f>(PERCENTRANK(P$3:P$78,P15))*100</f>
        <v>28.199999999999996</v>
      </c>
      <c r="AY15" s="4">
        <f>(PERCENTRANK(Q$3:Q$78,Q15))*100</f>
        <v>32.6</v>
      </c>
      <c r="AZ15" s="4">
        <f>(PERCENTRANK(R$3:R$78,R15))*100</f>
        <v>86.9</v>
      </c>
      <c r="BA15" s="4">
        <f>(PERCENTRANK(S$3:S$78,S15))*100</f>
        <v>54.300000000000004</v>
      </c>
      <c r="BB15" s="4">
        <f>(PERCENTRANK(T$3:T$78,T15))*100</f>
        <v>32.6</v>
      </c>
      <c r="BC15" s="4">
        <f>100-(PERCENTRANK(U$3:U$78,U15))*100</f>
        <v>19.599999999999994</v>
      </c>
      <c r="BD15" s="4">
        <f>100-(PERCENTRANK(V$3:V$78,V15))*100</f>
        <v>56.6</v>
      </c>
      <c r="BE15" s="4">
        <f>(PERCENTRANK(W$3:W$78,W15))*100</f>
        <v>71.7</v>
      </c>
      <c r="BF15" s="4">
        <f>(PERCENTRANK(X$3:X$78,X15))*100</f>
        <v>60.8</v>
      </c>
      <c r="BG15" s="4">
        <f>(PERCENTRANK(Y$3:Y$78,Y15))*100</f>
        <v>80.400000000000006</v>
      </c>
      <c r="BH15" s="4">
        <f>(PERCENTRANK(Z$3:Z$78,Z15))*100</f>
        <v>68.8</v>
      </c>
      <c r="BI15" s="4">
        <f>(PERCENTRANK(AA$3:AA$78,AA15))*100</f>
        <v>86.9</v>
      </c>
      <c r="BJ15" s="4">
        <f>(PERCENTRANK(AB$3:AB$78,AB15))*100</f>
        <v>86.9</v>
      </c>
      <c r="BK15" s="4">
        <f>(PERCENTRANK(AC$3:AC$78,AC15))*100</f>
        <v>86.9</v>
      </c>
      <c r="BL15" s="4">
        <f>(PERCENTRANK(AD$3:AD$78,AD15))*100</f>
        <v>82.6</v>
      </c>
      <c r="BM15" s="4">
        <f t="shared" si="0"/>
        <v>30.4</v>
      </c>
    </row>
    <row r="16" spans="1:65" x14ac:dyDescent="0.25">
      <c r="A16" s="2">
        <v>14</v>
      </c>
      <c r="B16" s="5" t="s">
        <v>49</v>
      </c>
      <c r="C16" s="2">
        <v>6</v>
      </c>
      <c r="D16" s="9">
        <v>14.3</v>
      </c>
      <c r="E16" s="9">
        <v>16.7</v>
      </c>
      <c r="F16" s="9">
        <v>6.7</v>
      </c>
      <c r="G16" s="9">
        <v>13</v>
      </c>
      <c r="H16" s="9">
        <v>51.3</v>
      </c>
      <c r="I16" s="9">
        <v>0.5</v>
      </c>
      <c r="J16" s="9">
        <v>1.7</v>
      </c>
      <c r="K16" s="9">
        <v>30</v>
      </c>
      <c r="L16" s="9">
        <v>1.5</v>
      </c>
      <c r="M16" s="9">
        <v>1.7</v>
      </c>
      <c r="N16" s="9">
        <v>90</v>
      </c>
      <c r="O16" s="9">
        <v>3.2</v>
      </c>
      <c r="P16" s="9">
        <v>7.7</v>
      </c>
      <c r="Q16" s="9">
        <v>10.8</v>
      </c>
      <c r="R16" s="9">
        <v>0.5</v>
      </c>
      <c r="S16" s="9">
        <v>0.3</v>
      </c>
      <c r="T16" s="9">
        <v>1.2</v>
      </c>
      <c r="U16" s="9">
        <v>3.2</v>
      </c>
      <c r="V16" s="9">
        <v>1.7</v>
      </c>
      <c r="W16" s="9">
        <f t="shared" si="1"/>
        <v>6.2</v>
      </c>
      <c r="X16" s="9">
        <f t="shared" si="2"/>
        <v>11.3</v>
      </c>
      <c r="Y16" s="9">
        <f t="shared" si="3"/>
        <v>54.86725663716814</v>
      </c>
      <c r="Z16" s="6">
        <f t="shared" si="4"/>
        <v>0.15625</v>
      </c>
      <c r="AA16" s="9">
        <f t="shared" si="5"/>
        <v>60.736107070119296</v>
      </c>
      <c r="AB16" s="6">
        <f t="shared" si="6"/>
        <v>1.2147221414023859</v>
      </c>
      <c r="AC16" s="6">
        <f t="shared" si="7"/>
        <v>0.985367004956337</v>
      </c>
      <c r="AD16" s="9">
        <f t="shared" si="8"/>
        <v>53.46153846153846</v>
      </c>
      <c r="AE16" s="4">
        <f>100*(AA16/TOTAL_BASIC!$C$81)</f>
        <v>104.87431421138642</v>
      </c>
      <c r="AF16" s="4">
        <f>100*AC16/TOTAL_BASIC!$C$82</f>
        <v>95.708659684236451</v>
      </c>
      <c r="AG16" s="4">
        <f>100*N16/TOTAL_BASIC!$C$87</f>
        <v>116.79611650485438</v>
      </c>
      <c r="AH16" s="4">
        <f>100*AD16/TOTAL_BASIC!$C$86</f>
        <v>102.77638067061143</v>
      </c>
      <c r="AI16" s="3">
        <f t="shared" si="9"/>
        <v>0.70588235294117652</v>
      </c>
      <c r="AL16" s="4">
        <f>(PERCENTRANK(D$3:D$78,D16))*100</f>
        <v>58.599999999999994</v>
      </c>
      <c r="AM16" s="4">
        <f>(PERCENTRANK(E$3:E$78,E16))*100</f>
        <v>71.7</v>
      </c>
      <c r="AN16" s="4">
        <f>(PERCENTRANK(F$3:F$78,F16))*100</f>
        <v>69.5</v>
      </c>
      <c r="AO16" s="4">
        <f>(PERCENTRANK(G$3:G$78,G16))*100</f>
        <v>65.2</v>
      </c>
      <c r="AP16" s="4">
        <f>(PERCENTRANK(H$3:H$78,H16))*100</f>
        <v>73.900000000000006</v>
      </c>
      <c r="AQ16" s="4">
        <f>(PERCENTRANK(I$3:I$78,I16))*100</f>
        <v>34.699999999999996</v>
      </c>
      <c r="AR16" s="4">
        <f>(PERCENTRANK(J$3:J$78,J16))*100</f>
        <v>28.199999999999996</v>
      </c>
      <c r="AS16" s="4">
        <f>(PERCENTRANK(K$3:K$78,K16))*100</f>
        <v>54.300000000000004</v>
      </c>
      <c r="AT16" s="4">
        <f>(PERCENTRANK(L$3:L$78,L16))*100</f>
        <v>71.7</v>
      </c>
      <c r="AU16" s="4">
        <f>(PERCENTRANK(M$3:M$78,M16))*100</f>
        <v>63</v>
      </c>
      <c r="AV16" s="4">
        <f>(PERCENTRANK(N$3:N$78,N16))*100</f>
        <v>76</v>
      </c>
      <c r="AW16" s="4">
        <f>(PERCENTRANK(O$3:O$78,O16))*100</f>
        <v>97.8</v>
      </c>
      <c r="AX16" s="4">
        <f>(PERCENTRANK(P$3:P$78,P16))*100</f>
        <v>97.8</v>
      </c>
      <c r="AY16" s="4">
        <f>(PERCENTRANK(Q$3:Q$78,Q16))*100</f>
        <v>97.8</v>
      </c>
      <c r="AZ16" s="4">
        <f>(PERCENTRANK(R$3:R$78,R16))*100</f>
        <v>15.2</v>
      </c>
      <c r="BA16" s="4">
        <f>(PERCENTRANK(S$3:S$78,S16))*100</f>
        <v>19.5</v>
      </c>
      <c r="BB16" s="4">
        <f>(PERCENTRANK(T$3:T$78,T16))*100</f>
        <v>89.1</v>
      </c>
      <c r="BC16" s="4">
        <f>100-(PERCENTRANK(U$3:U$78,U16))*100</f>
        <v>4.4000000000000057</v>
      </c>
      <c r="BD16" s="4">
        <f>100-(PERCENTRANK(V$3:V$78,V16))*100</f>
        <v>89.2</v>
      </c>
      <c r="BE16" s="4">
        <f>(PERCENTRANK(W$3:W$78,W16))*100</f>
        <v>86.9</v>
      </c>
      <c r="BF16" s="4">
        <f>(PERCENTRANK(X$3:X$78,X16))*100</f>
        <v>89.1</v>
      </c>
      <c r="BG16" s="4">
        <f>(PERCENTRANK(Y$3:Y$78,Y16))*100</f>
        <v>47.8</v>
      </c>
      <c r="BH16" s="4">
        <f>(PERCENTRANK(Z$3:Z$78,Z16))*100</f>
        <v>2.1999999999999997</v>
      </c>
      <c r="BI16" s="4">
        <f>(PERCENTRANK(AA$3:AA$78,AA16))*100</f>
        <v>67.300000000000011</v>
      </c>
      <c r="BJ16" s="4">
        <f>(PERCENTRANK(AB$3:AB$78,AB16))*100</f>
        <v>67.300000000000011</v>
      </c>
      <c r="BK16" s="4">
        <f>(PERCENTRANK(AC$3:AC$78,AC16))*100</f>
        <v>52.1</v>
      </c>
      <c r="BL16" s="4">
        <f>(PERCENTRANK(AD$3:AD$78,AD16))*100</f>
        <v>56.499999999999993</v>
      </c>
      <c r="BM16" s="4">
        <f t="shared" si="0"/>
        <v>97.8</v>
      </c>
    </row>
    <row r="17" spans="1:65" x14ac:dyDescent="0.25">
      <c r="A17" s="2">
        <v>15</v>
      </c>
      <c r="B17" s="5" t="s">
        <v>50</v>
      </c>
      <c r="C17" s="2">
        <v>6</v>
      </c>
      <c r="D17" s="9">
        <v>16.8</v>
      </c>
      <c r="E17" s="9">
        <v>15.7</v>
      </c>
      <c r="F17" s="9">
        <v>6.8</v>
      </c>
      <c r="G17" s="9">
        <v>13.2</v>
      </c>
      <c r="H17" s="9">
        <v>51.9</v>
      </c>
      <c r="I17" s="9">
        <v>0.8</v>
      </c>
      <c r="J17" s="9">
        <v>3.8</v>
      </c>
      <c r="K17" s="9">
        <v>21.7</v>
      </c>
      <c r="L17" s="9">
        <v>0.7</v>
      </c>
      <c r="M17" s="9">
        <v>0.8</v>
      </c>
      <c r="N17" s="9">
        <v>80</v>
      </c>
      <c r="O17" s="9">
        <v>0.5</v>
      </c>
      <c r="P17" s="9">
        <v>2.2999999999999998</v>
      </c>
      <c r="Q17" s="9">
        <v>2.8</v>
      </c>
      <c r="R17" s="9">
        <v>2</v>
      </c>
      <c r="S17" s="9">
        <v>1.2</v>
      </c>
      <c r="T17" s="9">
        <v>0</v>
      </c>
      <c r="U17" s="9">
        <v>1</v>
      </c>
      <c r="V17" s="9">
        <v>2.5</v>
      </c>
      <c r="W17" s="9">
        <f t="shared" si="1"/>
        <v>6</v>
      </c>
      <c r="X17" s="9">
        <f t="shared" si="2"/>
        <v>9.3999999999999986</v>
      </c>
      <c r="Y17" s="9">
        <f t="shared" si="3"/>
        <v>63.82978723404257</v>
      </c>
      <c r="Z17" s="6">
        <f t="shared" si="4"/>
        <v>2</v>
      </c>
      <c r="AA17" s="9">
        <f t="shared" si="5"/>
        <v>57.925029515938611</v>
      </c>
      <c r="AB17" s="6">
        <f t="shared" si="6"/>
        <v>1.1585005903187722</v>
      </c>
      <c r="AC17" s="6">
        <f t="shared" si="7"/>
        <v>1.0788894997251237</v>
      </c>
      <c r="AD17" s="9">
        <f t="shared" si="8"/>
        <v>54.545454545454547</v>
      </c>
      <c r="AE17" s="4">
        <f>100*(AA17/TOTAL_BASIC!$C$81)</f>
        <v>100.02036744213818</v>
      </c>
      <c r="AF17" s="4">
        <f>100*AC17/TOTAL_BASIC!$C$82</f>
        <v>104.792496041273</v>
      </c>
      <c r="AG17" s="4">
        <f>100*N17/TOTAL_BASIC!$C$87</f>
        <v>103.81877022653723</v>
      </c>
      <c r="AH17" s="4">
        <f>100*AD17/TOTAL_BASIC!$C$86</f>
        <v>104.86013986013987</v>
      </c>
      <c r="AI17" s="3">
        <f t="shared" si="9"/>
        <v>0</v>
      </c>
      <c r="AL17" s="4">
        <f>(PERCENTRANK(D$3:D$78,D17))*100</f>
        <v>78.2</v>
      </c>
      <c r="AM17" s="4">
        <f>(PERCENTRANK(E$3:E$78,E17))*100</f>
        <v>69.5</v>
      </c>
      <c r="AN17" s="4">
        <f>(PERCENTRANK(F$3:F$78,F17))*100</f>
        <v>73.900000000000006</v>
      </c>
      <c r="AO17" s="4">
        <f>(PERCENTRANK(G$3:G$78,G17))*100</f>
        <v>69.5</v>
      </c>
      <c r="AP17" s="4">
        <f>(PERCENTRANK(H$3:H$78,H17))*100</f>
        <v>78.2</v>
      </c>
      <c r="AQ17" s="4">
        <f>(PERCENTRANK(I$3:I$78,I17))*100</f>
        <v>52.1</v>
      </c>
      <c r="AR17" s="4">
        <f>(PERCENTRANK(J$3:J$78,J17))*100</f>
        <v>69.5</v>
      </c>
      <c r="AS17" s="4">
        <f>(PERCENTRANK(K$3:K$78,K17))*100</f>
        <v>34.699999999999996</v>
      </c>
      <c r="AT17" s="4">
        <f>(PERCENTRANK(L$3:L$78,L17))*100</f>
        <v>34.699999999999996</v>
      </c>
      <c r="AU17" s="4">
        <f>(PERCENTRANK(M$3:M$78,M17))*100</f>
        <v>28.199999999999996</v>
      </c>
      <c r="AV17" s="4">
        <f>(PERCENTRANK(N$3:N$78,N17))*100</f>
        <v>54.300000000000004</v>
      </c>
      <c r="AW17" s="4">
        <f>(PERCENTRANK(O$3:O$78,O17))*100</f>
        <v>13</v>
      </c>
      <c r="AX17" s="4">
        <f>(PERCENTRANK(P$3:P$78,P17))*100</f>
        <v>19.5</v>
      </c>
      <c r="AY17" s="4">
        <f>(PERCENTRANK(Q$3:Q$78,Q17))*100</f>
        <v>13</v>
      </c>
      <c r="AZ17" s="4">
        <f>(PERCENTRANK(R$3:R$78,R17))*100</f>
        <v>52.1</v>
      </c>
      <c r="BA17" s="4">
        <f>(PERCENTRANK(S$3:S$78,S17))*100</f>
        <v>84.7</v>
      </c>
      <c r="BB17" s="4">
        <f>(PERCENTRANK(T$3:T$78,T17))*100</f>
        <v>0</v>
      </c>
      <c r="BC17" s="4">
        <f>100-(PERCENTRANK(U$3:U$78,U17))*100</f>
        <v>65.300000000000011</v>
      </c>
      <c r="BD17" s="4">
        <f>100-(PERCENTRANK(V$3:V$78,V17))*100</f>
        <v>39.200000000000003</v>
      </c>
      <c r="BE17" s="4">
        <f>(PERCENTRANK(W$3:W$78,W17))*100</f>
        <v>82.6</v>
      </c>
      <c r="BF17" s="4">
        <f>(PERCENTRANK(X$3:X$78,X17))*100</f>
        <v>71.7</v>
      </c>
      <c r="BG17" s="4">
        <f>(PERCENTRANK(Y$3:Y$78,Y17))*100</f>
        <v>86.9</v>
      </c>
      <c r="BH17" s="4">
        <f>(PERCENTRANK(Z$3:Z$78,Z17))*100</f>
        <v>62.2</v>
      </c>
      <c r="BI17" s="4">
        <f>(PERCENTRANK(AA$3:AA$78,AA17))*100</f>
        <v>50</v>
      </c>
      <c r="BJ17" s="4">
        <f>(PERCENTRANK(AB$3:AB$78,AB17))*100</f>
        <v>50</v>
      </c>
      <c r="BK17" s="4">
        <f>(PERCENTRANK(AC$3:AC$78,AC17))*100</f>
        <v>67.300000000000011</v>
      </c>
      <c r="BL17" s="4">
        <f>(PERCENTRANK(AD$3:AD$78,AD17))*100</f>
        <v>58.599999999999994</v>
      </c>
      <c r="BM17" s="4">
        <f t="shared" si="0"/>
        <v>0</v>
      </c>
    </row>
    <row r="18" spans="1:65" x14ac:dyDescent="0.25">
      <c r="A18" s="2">
        <v>16</v>
      </c>
      <c r="B18" s="5" t="s">
        <v>51</v>
      </c>
      <c r="C18" s="2">
        <v>6</v>
      </c>
      <c r="D18" s="9">
        <v>16</v>
      </c>
      <c r="E18" s="9">
        <v>14.3</v>
      </c>
      <c r="F18" s="9">
        <v>5.5</v>
      </c>
      <c r="G18" s="9">
        <v>13</v>
      </c>
      <c r="H18" s="9">
        <v>42.3</v>
      </c>
      <c r="I18" s="9">
        <v>0.8</v>
      </c>
      <c r="J18" s="9">
        <v>4.5</v>
      </c>
      <c r="K18" s="9">
        <v>18.5</v>
      </c>
      <c r="L18" s="9">
        <v>1.3</v>
      </c>
      <c r="M18" s="9">
        <v>1.5</v>
      </c>
      <c r="N18" s="9">
        <v>88.9</v>
      </c>
      <c r="O18" s="9">
        <v>0.2</v>
      </c>
      <c r="P18" s="9">
        <v>4.3</v>
      </c>
      <c r="Q18" s="9">
        <v>4.5</v>
      </c>
      <c r="R18" s="9">
        <v>2.5</v>
      </c>
      <c r="S18" s="9">
        <v>1</v>
      </c>
      <c r="T18" s="9">
        <v>0.8</v>
      </c>
      <c r="U18" s="9">
        <v>1.5</v>
      </c>
      <c r="V18" s="9">
        <v>2.8</v>
      </c>
      <c r="W18" s="9">
        <f t="shared" si="1"/>
        <v>4.7</v>
      </c>
      <c r="X18" s="9">
        <f t="shared" si="2"/>
        <v>8.5</v>
      </c>
      <c r="Y18" s="9">
        <f t="shared" si="3"/>
        <v>55.294117647058826</v>
      </c>
      <c r="Z18" s="6">
        <f t="shared" si="4"/>
        <v>1.6666666666666667</v>
      </c>
      <c r="AA18" s="9">
        <f t="shared" si="5"/>
        <v>52.342606149341144</v>
      </c>
      <c r="AB18" s="6">
        <f t="shared" si="6"/>
        <v>1.0468521229868228</v>
      </c>
      <c r="AC18" s="6">
        <f t="shared" si="7"/>
        <v>0.94327176781002642</v>
      </c>
      <c r="AD18" s="9">
        <f t="shared" si="8"/>
        <v>45.384615384615387</v>
      </c>
      <c r="AE18" s="4">
        <f>100*(AA18/TOTAL_BASIC!$C$81)</f>
        <v>90.381079538262014</v>
      </c>
      <c r="AF18" s="4">
        <f>100*AC18/TOTAL_BASIC!$C$82</f>
        <v>91.619950902535365</v>
      </c>
      <c r="AG18" s="4">
        <f>100*N18/TOTAL_BASIC!$C$87</f>
        <v>115.36860841423949</v>
      </c>
      <c r="AH18" s="4">
        <f>100*AD18/TOTAL_BASIC!$C$86</f>
        <v>87.249013806706131</v>
      </c>
      <c r="AI18" s="3">
        <f t="shared" si="9"/>
        <v>0.28571428571428575</v>
      </c>
      <c r="AL18" s="4">
        <f>(PERCENTRANK(D$3:D$78,D18))*100</f>
        <v>69.5</v>
      </c>
      <c r="AM18" s="4">
        <f>(PERCENTRANK(E$3:E$78,E18))*100</f>
        <v>67.300000000000011</v>
      </c>
      <c r="AN18" s="4">
        <f>(PERCENTRANK(F$3:F$78,F18))*100</f>
        <v>67.300000000000011</v>
      </c>
      <c r="AO18" s="4">
        <f>(PERCENTRANK(G$3:G$78,G18))*100</f>
        <v>65.2</v>
      </c>
      <c r="AP18" s="4">
        <f>(PERCENTRANK(H$3:H$78,H18))*100</f>
        <v>32.6</v>
      </c>
      <c r="AQ18" s="4">
        <f>(PERCENTRANK(I$3:I$78,I18))*100</f>
        <v>52.1</v>
      </c>
      <c r="AR18" s="4">
        <f>(PERCENTRANK(J$3:J$78,J18))*100</f>
        <v>76</v>
      </c>
      <c r="AS18" s="4">
        <f>(PERCENTRANK(K$3:K$78,K18))*100</f>
        <v>26</v>
      </c>
      <c r="AT18" s="4">
        <f>(PERCENTRANK(L$3:L$78,L18))*100</f>
        <v>60.8</v>
      </c>
      <c r="AU18" s="4">
        <f>(PERCENTRANK(M$3:M$78,M18))*100</f>
        <v>58.599999999999994</v>
      </c>
      <c r="AV18" s="4">
        <f>(PERCENTRANK(N$3:N$78,N18))*100</f>
        <v>71.7</v>
      </c>
      <c r="AW18" s="4">
        <f>(PERCENTRANK(O$3:O$78,O18))*100</f>
        <v>6.5</v>
      </c>
      <c r="AX18" s="4">
        <f>(PERCENTRANK(P$3:P$78,P18))*100</f>
        <v>58.599999999999994</v>
      </c>
      <c r="AY18" s="4">
        <f>(PERCENTRANK(Q$3:Q$78,Q18))*100</f>
        <v>47.8</v>
      </c>
      <c r="AZ18" s="4">
        <f>(PERCENTRANK(R$3:R$78,R18))*100</f>
        <v>69.5</v>
      </c>
      <c r="BA18" s="4">
        <f t="shared" ref="BA18:BA49" si="10">(PERCENTRANK(S$3:S$78,S18))*100</f>
        <v>69.5</v>
      </c>
      <c r="BB18" s="4">
        <f>(PERCENTRANK(T$3:T$78,T18))*100</f>
        <v>82.6</v>
      </c>
      <c r="BC18" s="4">
        <f>100-(PERCENTRANK(U$3:U$78,U18))*100</f>
        <v>39.200000000000003</v>
      </c>
      <c r="BD18" s="4">
        <f>100-(PERCENTRANK(V$3:V$78,V18))*100</f>
        <v>26.099999999999994</v>
      </c>
      <c r="BE18" s="4">
        <f>(PERCENTRANK(W$3:W$78,W18))*100</f>
        <v>65.2</v>
      </c>
      <c r="BF18" s="4">
        <f>(PERCENTRANK(X$3:X$78,X18))*100</f>
        <v>65.2</v>
      </c>
      <c r="BG18" s="4">
        <f>(PERCENTRANK(Y$3:Y$78,Y18))*100</f>
        <v>52.1</v>
      </c>
      <c r="BH18" s="4">
        <f>(PERCENTRANK(Z$3:Z$78,Z18))*100</f>
        <v>60</v>
      </c>
      <c r="BI18" s="4">
        <f>(PERCENTRANK(AA$3:AA$78,AA18))*100</f>
        <v>39.1</v>
      </c>
      <c r="BJ18" s="4">
        <f>(PERCENTRANK(AB$3:AB$78,AB18))*100</f>
        <v>39.1</v>
      </c>
      <c r="BK18" s="4">
        <f>(PERCENTRANK(AC$3:AC$78,AC18))*100</f>
        <v>36.9</v>
      </c>
      <c r="BL18" s="4">
        <f>(PERCENTRANK(AD$3:AD$78,AD18))*100</f>
        <v>30.4</v>
      </c>
      <c r="BM18" s="4">
        <f t="shared" si="0"/>
        <v>78.2</v>
      </c>
    </row>
    <row r="19" spans="1:65" x14ac:dyDescent="0.25">
      <c r="A19" s="2">
        <v>17</v>
      </c>
      <c r="B19" s="5" t="s">
        <v>52</v>
      </c>
      <c r="C19" s="2">
        <v>6</v>
      </c>
      <c r="D19" s="9">
        <v>19.3</v>
      </c>
      <c r="E19" s="9">
        <v>14.2</v>
      </c>
      <c r="F19" s="9">
        <v>5.2</v>
      </c>
      <c r="G19" s="9">
        <v>13.5</v>
      </c>
      <c r="H19" s="9">
        <v>38.299999999999997</v>
      </c>
      <c r="I19" s="9">
        <v>1</v>
      </c>
      <c r="J19" s="9">
        <v>3</v>
      </c>
      <c r="K19" s="9">
        <v>33.299999999999997</v>
      </c>
      <c r="L19" s="9">
        <v>1.5</v>
      </c>
      <c r="M19" s="9">
        <v>1.8</v>
      </c>
      <c r="N19" s="9">
        <v>81.8</v>
      </c>
      <c r="O19" s="9">
        <v>1.3</v>
      </c>
      <c r="P19" s="9">
        <v>4.3</v>
      </c>
      <c r="Q19" s="9">
        <v>5.7</v>
      </c>
      <c r="R19" s="9">
        <v>3.3</v>
      </c>
      <c r="S19" s="9">
        <v>0.7</v>
      </c>
      <c r="T19" s="9">
        <v>0.3</v>
      </c>
      <c r="U19" s="9">
        <v>2.2000000000000002</v>
      </c>
      <c r="V19" s="9">
        <v>2</v>
      </c>
      <c r="W19" s="9">
        <f t="shared" si="1"/>
        <v>4.2</v>
      </c>
      <c r="X19" s="9">
        <f t="shared" si="2"/>
        <v>10.5</v>
      </c>
      <c r="Y19" s="9">
        <f t="shared" si="3"/>
        <v>40</v>
      </c>
      <c r="Z19" s="6">
        <f t="shared" si="4"/>
        <v>1.4999999999999998</v>
      </c>
      <c r="AA19" s="9">
        <f t="shared" si="5"/>
        <v>49.678141617688219</v>
      </c>
      <c r="AB19" s="6">
        <f t="shared" si="6"/>
        <v>0.99356283235376441</v>
      </c>
      <c r="AC19" s="6">
        <f t="shared" si="7"/>
        <v>0.86102352655833125</v>
      </c>
      <c r="AD19" s="9">
        <f t="shared" si="8"/>
        <v>42.222222222222221</v>
      </c>
      <c r="AE19" s="4">
        <f>100*(AA19/TOTAL_BASIC!$C$81)</f>
        <v>85.780292560343611</v>
      </c>
      <c r="AF19" s="4">
        <f>100*AC19/TOTAL_BASIC!$C$82</f>
        <v>83.63118236046887</v>
      </c>
      <c r="AG19" s="4">
        <f>100*N19/TOTAL_BASIC!$C$87</f>
        <v>106.15469255663432</v>
      </c>
      <c r="AH19" s="4">
        <f>100*AD19/TOTAL_BASIC!$C$86</f>
        <v>81.169515669515661</v>
      </c>
      <c r="AI19" s="3">
        <f t="shared" si="9"/>
        <v>0.15</v>
      </c>
      <c r="AL19" s="4">
        <f>(PERCENTRANK(D$3:D$78,D19))*100</f>
        <v>91.3</v>
      </c>
      <c r="AM19" s="4">
        <f>(PERCENTRANK(E$3:E$78,E19))*100</f>
        <v>65.2</v>
      </c>
      <c r="AN19" s="4">
        <f>(PERCENTRANK(F$3:F$78,F19))*100</f>
        <v>65.2</v>
      </c>
      <c r="AO19" s="4">
        <f>(PERCENTRANK(G$3:G$78,G19))*100</f>
        <v>73.900000000000006</v>
      </c>
      <c r="AP19" s="4">
        <f>(PERCENTRANK(H$3:H$78,H19))*100</f>
        <v>17.299999999999997</v>
      </c>
      <c r="AQ19" s="4">
        <f>(PERCENTRANK(I$3:I$78,I19))*100</f>
        <v>60.8</v>
      </c>
      <c r="AR19" s="4">
        <f>(PERCENTRANK(J$3:J$78,J19))*100</f>
        <v>47.8</v>
      </c>
      <c r="AS19" s="4">
        <f>(PERCENTRANK(K$3:K$78,K19))*100</f>
        <v>63</v>
      </c>
      <c r="AT19" s="4">
        <f t="shared" ref="AT19:AZ49" si="11">(PERCENTRANK(L$3:L$78,L19))*100</f>
        <v>71.7</v>
      </c>
      <c r="AU19" s="4">
        <f t="shared" si="11"/>
        <v>69.5</v>
      </c>
      <c r="AV19" s="4">
        <f t="shared" si="11"/>
        <v>60.8</v>
      </c>
      <c r="AW19" s="4">
        <f t="shared" si="11"/>
        <v>69.5</v>
      </c>
      <c r="AX19" s="4">
        <f t="shared" si="11"/>
        <v>58.599999999999994</v>
      </c>
      <c r="AY19" s="4">
        <f t="shared" si="11"/>
        <v>71.7</v>
      </c>
      <c r="AZ19" s="4">
        <f t="shared" si="11"/>
        <v>78.2</v>
      </c>
      <c r="BA19" s="4">
        <f t="shared" si="10"/>
        <v>54.300000000000004</v>
      </c>
      <c r="BB19" s="4">
        <f>(PERCENTRANK(T$3:T$78,T19))*100</f>
        <v>39.1</v>
      </c>
      <c r="BC19" s="4">
        <f>100-(PERCENTRANK(U$3:U$78,U19))*100</f>
        <v>10.900000000000006</v>
      </c>
      <c r="BD19" s="4">
        <f>100-(PERCENTRANK(V$3:V$78,V19))*100</f>
        <v>74</v>
      </c>
      <c r="BE19" s="4">
        <f>(PERCENTRANK(W$3:W$78,W19))*100</f>
        <v>58.599999999999994</v>
      </c>
      <c r="BF19" s="4">
        <f>(PERCENTRANK(X$3:X$78,X19))*100</f>
        <v>82.6</v>
      </c>
      <c r="BG19" s="4">
        <f>(PERCENTRANK(Y$3:Y$78,Y19))*100</f>
        <v>13</v>
      </c>
      <c r="BH19" s="4">
        <f>(PERCENTRANK(Z$3:Z$78,Z19))*100</f>
        <v>53.300000000000004</v>
      </c>
      <c r="BI19" s="4">
        <f>(PERCENTRANK(AA$3:AA$78,AA19))*100</f>
        <v>23.9</v>
      </c>
      <c r="BJ19" s="4">
        <f>(PERCENTRANK(AB$3:AB$78,AB19))*100</f>
        <v>23.9</v>
      </c>
      <c r="BK19" s="4">
        <f>(PERCENTRANK(AC$3:AC$78,AC19))*100</f>
        <v>21.7</v>
      </c>
      <c r="BL19" s="4">
        <f>(PERCENTRANK(AD$3:AD$78,AD19))*100</f>
        <v>13</v>
      </c>
      <c r="BM19" s="4">
        <f t="shared" si="0"/>
        <v>52.1</v>
      </c>
    </row>
    <row r="20" spans="1:65" x14ac:dyDescent="0.25">
      <c r="A20" s="2">
        <v>18</v>
      </c>
      <c r="B20" s="5" t="s">
        <v>53</v>
      </c>
      <c r="C20" s="2">
        <v>6</v>
      </c>
      <c r="D20" s="9">
        <v>11.5</v>
      </c>
      <c r="E20" s="9">
        <v>12.8</v>
      </c>
      <c r="F20" s="9">
        <v>5</v>
      </c>
      <c r="G20" s="9">
        <v>11</v>
      </c>
      <c r="H20" s="9">
        <v>45.5</v>
      </c>
      <c r="I20" s="9">
        <v>0.3</v>
      </c>
      <c r="J20" s="9">
        <v>1.3</v>
      </c>
      <c r="K20" s="9">
        <v>25</v>
      </c>
      <c r="L20" s="9">
        <v>1.3</v>
      </c>
      <c r="M20" s="9">
        <v>1.7</v>
      </c>
      <c r="N20" s="9">
        <v>80</v>
      </c>
      <c r="O20" s="9">
        <v>2.2000000000000002</v>
      </c>
      <c r="P20" s="9">
        <v>6</v>
      </c>
      <c r="Q20" s="9">
        <v>8.1999999999999993</v>
      </c>
      <c r="R20" s="9">
        <v>0.3</v>
      </c>
      <c r="S20" s="9">
        <v>0.8</v>
      </c>
      <c r="T20" s="9">
        <v>0.3</v>
      </c>
      <c r="U20" s="9">
        <v>1.5</v>
      </c>
      <c r="V20" s="9">
        <v>2.7</v>
      </c>
      <c r="W20" s="9">
        <f t="shared" si="1"/>
        <v>4.7</v>
      </c>
      <c r="X20" s="9">
        <f t="shared" si="2"/>
        <v>9.6999999999999993</v>
      </c>
      <c r="Y20" s="9">
        <f t="shared" si="3"/>
        <v>48.453608247422686</v>
      </c>
      <c r="Z20" s="6">
        <f t="shared" si="4"/>
        <v>0.19999999999999998</v>
      </c>
      <c r="AA20" s="9">
        <f t="shared" si="5"/>
        <v>54.477357848144365</v>
      </c>
      <c r="AB20" s="6">
        <f t="shared" si="6"/>
        <v>1.0895471569628874</v>
      </c>
      <c r="AC20" s="6">
        <f t="shared" si="7"/>
        <v>0.96618357487922713</v>
      </c>
      <c r="AD20" s="9">
        <f t="shared" si="8"/>
        <v>46.81818181818182</v>
      </c>
      <c r="AE20" s="4">
        <f>100*(AA20/TOTAL_BASIC!$C$81)</f>
        <v>94.067200220397794</v>
      </c>
      <c r="AF20" s="4">
        <f>100*AC20/TOTAL_BASIC!$C$82</f>
        <v>93.845373851048024</v>
      </c>
      <c r="AG20" s="4">
        <f>100*N20/TOTAL_BASIC!$C$87</f>
        <v>103.81877022653723</v>
      </c>
      <c r="AH20" s="4">
        <f>100*AD20/TOTAL_BASIC!$C$86</f>
        <v>90.004953379953378</v>
      </c>
      <c r="AI20" s="3">
        <f t="shared" si="9"/>
        <v>0.1111111111111111</v>
      </c>
      <c r="AL20" s="4">
        <f>(PERCENTRANK(D$3:D$78,D20))*100</f>
        <v>39.1</v>
      </c>
      <c r="AM20" s="4">
        <f>(PERCENTRANK(E$3:E$78,E20))*100</f>
        <v>63</v>
      </c>
      <c r="AN20" s="4">
        <f>(PERCENTRANK(F$3:F$78,F20))*100</f>
        <v>58.599999999999994</v>
      </c>
      <c r="AO20" s="4">
        <f>(PERCENTRANK(G$3:G$78,G20))*100</f>
        <v>58.599999999999994</v>
      </c>
      <c r="AP20" s="4">
        <f>(PERCENTRANK(H$3:H$78,H20))*100</f>
        <v>47.8</v>
      </c>
      <c r="AQ20" s="4">
        <f>(PERCENTRANK(I$3:I$78,I20))*100</f>
        <v>21.7</v>
      </c>
      <c r="AR20" s="4">
        <f>(PERCENTRANK(J$3:J$78,J20))*100</f>
        <v>17.299999999999997</v>
      </c>
      <c r="AS20" s="4">
        <f>(PERCENTRANK(K$3:K$78,K20))*100</f>
        <v>41.3</v>
      </c>
      <c r="AT20" s="4">
        <f t="shared" si="11"/>
        <v>60.8</v>
      </c>
      <c r="AU20" s="4">
        <f t="shared" si="11"/>
        <v>63</v>
      </c>
      <c r="AV20" s="4">
        <f t="shared" si="11"/>
        <v>54.300000000000004</v>
      </c>
      <c r="AW20" s="4">
        <f t="shared" si="11"/>
        <v>95.6</v>
      </c>
      <c r="AX20" s="4">
        <f t="shared" si="11"/>
        <v>82.6</v>
      </c>
      <c r="AY20" s="4">
        <f t="shared" si="11"/>
        <v>91.3</v>
      </c>
      <c r="AZ20" s="4">
        <f t="shared" si="11"/>
        <v>6.5</v>
      </c>
      <c r="BA20" s="4">
        <f t="shared" si="10"/>
        <v>63</v>
      </c>
      <c r="BB20" s="4">
        <f>(PERCENTRANK(T$3:T$78,T20))*100</f>
        <v>39.1</v>
      </c>
      <c r="BC20" s="4">
        <f>100-(PERCENTRANK(U$3:U$78,U20))*100</f>
        <v>39.200000000000003</v>
      </c>
      <c r="BD20" s="4">
        <f>100-(PERCENTRANK(V$3:V$78,V20))*100</f>
        <v>30.5</v>
      </c>
      <c r="BE20" s="4">
        <f>(PERCENTRANK(W$3:W$78,W20))*100</f>
        <v>65.2</v>
      </c>
      <c r="BF20" s="4">
        <f>(PERCENTRANK(X$3:X$78,X20))*100</f>
        <v>73.900000000000006</v>
      </c>
      <c r="BG20" s="4">
        <f>(PERCENTRANK(Y$3:Y$78,Y20))*100</f>
        <v>34.699999999999996</v>
      </c>
      <c r="BH20" s="4">
        <f>(PERCENTRANK(Z$3:Z$78,Z20))*100</f>
        <v>6.6000000000000005</v>
      </c>
      <c r="BI20" s="4">
        <f>(PERCENTRANK(AA$3:AA$78,AA20))*100</f>
        <v>43.4</v>
      </c>
      <c r="BJ20" s="4">
        <f>(PERCENTRANK(AB$3:AB$78,AB20))*100</f>
        <v>43.4</v>
      </c>
      <c r="BK20" s="4">
        <f>(PERCENTRANK(AC$3:AC$78,AC20))*100</f>
        <v>47.8</v>
      </c>
      <c r="BL20" s="4">
        <f>(PERCENTRANK(AD$3:AD$78,AD20))*100</f>
        <v>39.1</v>
      </c>
      <c r="BM20" s="4">
        <f t="shared" si="0"/>
        <v>36.9</v>
      </c>
    </row>
    <row r="21" spans="1:65" x14ac:dyDescent="0.25">
      <c r="A21" s="2">
        <v>19</v>
      </c>
      <c r="B21" s="5" t="s">
        <v>54</v>
      </c>
      <c r="C21" s="2">
        <v>7</v>
      </c>
      <c r="D21" s="9">
        <v>13.4</v>
      </c>
      <c r="E21" s="9">
        <v>12.7</v>
      </c>
      <c r="F21" s="9">
        <v>5</v>
      </c>
      <c r="G21" s="9">
        <v>11.9</v>
      </c>
      <c r="H21" s="9">
        <v>42.2</v>
      </c>
      <c r="I21" s="9">
        <v>1.9</v>
      </c>
      <c r="J21" s="9">
        <v>5.0999999999999996</v>
      </c>
      <c r="K21" s="9">
        <v>36.1</v>
      </c>
      <c r="L21" s="9">
        <v>0.4</v>
      </c>
      <c r="M21" s="9">
        <v>0.9</v>
      </c>
      <c r="N21" s="9">
        <v>50</v>
      </c>
      <c r="O21" s="9">
        <v>0.7</v>
      </c>
      <c r="P21" s="9">
        <v>1.7</v>
      </c>
      <c r="Q21" s="9">
        <v>2.4</v>
      </c>
      <c r="R21" s="9">
        <v>2.1</v>
      </c>
      <c r="S21" s="9">
        <v>1.1000000000000001</v>
      </c>
      <c r="T21" s="9">
        <v>0.1</v>
      </c>
      <c r="U21" s="9">
        <v>1.6</v>
      </c>
      <c r="V21" s="9">
        <v>2.2999999999999998</v>
      </c>
      <c r="W21" s="9">
        <f t="shared" si="1"/>
        <v>3.1</v>
      </c>
      <c r="X21" s="9">
        <f t="shared" si="2"/>
        <v>6.8000000000000007</v>
      </c>
      <c r="Y21" s="9">
        <f t="shared" si="3"/>
        <v>45.588235294117645</v>
      </c>
      <c r="Z21" s="6">
        <f t="shared" si="4"/>
        <v>1.3125</v>
      </c>
      <c r="AA21" s="9">
        <f t="shared" si="5"/>
        <v>51.642810670136626</v>
      </c>
      <c r="AB21" s="6">
        <f t="shared" si="6"/>
        <v>1.0328562134027326</v>
      </c>
      <c r="AC21" s="6">
        <f t="shared" si="7"/>
        <v>0.91393206678180761</v>
      </c>
      <c r="AD21" s="9">
        <f t="shared" si="8"/>
        <v>50</v>
      </c>
      <c r="AE21" s="4">
        <f>100*(AA21/TOTAL_BASIC!$C$81)</f>
        <v>89.172727957791551</v>
      </c>
      <c r="AF21" s="4">
        <f>100*AC21/TOTAL_BASIC!$C$82</f>
        <v>88.770186858455702</v>
      </c>
      <c r="AG21" s="4">
        <f>100*N21/TOTAL_BASIC!$C$87</f>
        <v>64.886731391585769</v>
      </c>
      <c r="AH21" s="4">
        <f>100*AD21/TOTAL_BASIC!$C$86</f>
        <v>96.121794871794876</v>
      </c>
      <c r="AI21" s="3">
        <f t="shared" si="9"/>
        <v>4.3478260869565223E-2</v>
      </c>
      <c r="AL21" s="4">
        <f>(PERCENTRANK(D$3:D$78,D21))*100</f>
        <v>56.499999999999993</v>
      </c>
      <c r="AM21" s="4">
        <f>(PERCENTRANK(E$3:E$78,E21))*100</f>
        <v>60.8</v>
      </c>
      <c r="AN21" s="4">
        <f>(PERCENTRANK(F$3:F$78,F21))*100</f>
        <v>58.599999999999994</v>
      </c>
      <c r="AO21" s="4">
        <f>(PERCENTRANK(G$3:G$78,G21))*100</f>
        <v>63</v>
      </c>
      <c r="AP21" s="4">
        <f>(PERCENTRANK(H$3:H$78,H21))*100</f>
        <v>30.4</v>
      </c>
      <c r="AQ21" s="4">
        <f>(PERCENTRANK(I$3:I$78,I21))*100</f>
        <v>82.6</v>
      </c>
      <c r="AR21" s="4">
        <f>(PERCENTRANK(J$3:J$78,J21))*100</f>
        <v>84.7</v>
      </c>
      <c r="AS21" s="4">
        <f>(PERCENTRANK(K$3:K$78,K21))*100</f>
        <v>67.300000000000011</v>
      </c>
      <c r="AT21" s="4">
        <f t="shared" si="11"/>
        <v>23.9</v>
      </c>
      <c r="AU21" s="4">
        <f t="shared" si="11"/>
        <v>32.6</v>
      </c>
      <c r="AV21" s="4">
        <f t="shared" si="11"/>
        <v>15.2</v>
      </c>
      <c r="AW21" s="4">
        <f t="shared" si="11"/>
        <v>21.7</v>
      </c>
      <c r="AX21" s="4">
        <f t="shared" si="11"/>
        <v>6.5</v>
      </c>
      <c r="AY21" s="4">
        <f t="shared" si="11"/>
        <v>8.6</v>
      </c>
      <c r="AZ21" s="4">
        <f t="shared" si="11"/>
        <v>58.599999999999994</v>
      </c>
      <c r="BA21" s="4">
        <f t="shared" si="10"/>
        <v>78.2</v>
      </c>
      <c r="BB21" s="4">
        <f>(PERCENTRANK(T$3:T$78,T21))*100</f>
        <v>21.7</v>
      </c>
      <c r="BC21" s="4">
        <f>100-(PERCENTRANK(U$3:U$78,U21))*100</f>
        <v>32.699999999999989</v>
      </c>
      <c r="BD21" s="4">
        <f>100-(PERCENTRANK(V$3:V$78,V21))*100</f>
        <v>56.6</v>
      </c>
      <c r="BE21" s="4">
        <f>(PERCENTRANK(W$3:W$78,W21))*100</f>
        <v>47.8</v>
      </c>
      <c r="BF21" s="4">
        <f>(PERCENTRANK(X$3:X$78,X21))*100</f>
        <v>45.6</v>
      </c>
      <c r="BG21" s="4">
        <f>(PERCENTRANK(Y$3:Y$78,Y21))*100</f>
        <v>23.9</v>
      </c>
      <c r="BH21" s="4">
        <f>(PERCENTRANK(Z$3:Z$78,Z21))*100</f>
        <v>44.4</v>
      </c>
      <c r="BI21" s="4">
        <f>(PERCENTRANK(AA$3:AA$78,AA21))*100</f>
        <v>34.699999999999996</v>
      </c>
      <c r="BJ21" s="4">
        <f>(PERCENTRANK(AB$3:AB$78,AB21))*100</f>
        <v>34.699999999999996</v>
      </c>
      <c r="BK21" s="4">
        <f>(PERCENTRANK(AC$3:AC$78,AC21))*100</f>
        <v>28.199999999999996</v>
      </c>
      <c r="BL21" s="4">
        <f>(PERCENTRANK(AD$3:AD$78,AD21))*100</f>
        <v>43.4</v>
      </c>
      <c r="BM21" s="4">
        <f t="shared" si="0"/>
        <v>26</v>
      </c>
    </row>
    <row r="22" spans="1:65" x14ac:dyDescent="0.25">
      <c r="A22" s="2">
        <v>20</v>
      </c>
      <c r="B22" s="5" t="s">
        <v>55</v>
      </c>
      <c r="C22" s="2">
        <v>7</v>
      </c>
      <c r="D22" s="9">
        <v>13.3</v>
      </c>
      <c r="E22" s="9">
        <v>12.6</v>
      </c>
      <c r="F22" s="9">
        <v>5</v>
      </c>
      <c r="G22" s="9">
        <v>9.6</v>
      </c>
      <c r="H22" s="9">
        <v>52.2</v>
      </c>
      <c r="I22" s="9">
        <v>0</v>
      </c>
      <c r="J22" s="9">
        <v>0.4</v>
      </c>
      <c r="K22" s="9">
        <v>0</v>
      </c>
      <c r="L22" s="9">
        <v>1.6</v>
      </c>
      <c r="M22" s="9">
        <v>2.6</v>
      </c>
      <c r="N22" s="9">
        <v>61.1</v>
      </c>
      <c r="O22" s="9">
        <v>1.3</v>
      </c>
      <c r="P22" s="9">
        <v>5.7</v>
      </c>
      <c r="Q22" s="9">
        <v>7</v>
      </c>
      <c r="R22" s="9">
        <v>1</v>
      </c>
      <c r="S22" s="9">
        <v>0.4</v>
      </c>
      <c r="T22" s="9">
        <v>0.3</v>
      </c>
      <c r="U22" s="9">
        <v>1.3</v>
      </c>
      <c r="V22" s="9">
        <v>2.2999999999999998</v>
      </c>
      <c r="W22" s="9">
        <f t="shared" si="1"/>
        <v>5</v>
      </c>
      <c r="X22" s="9">
        <f t="shared" si="2"/>
        <v>9.1999999999999993</v>
      </c>
      <c r="Y22" s="9">
        <f t="shared" si="3"/>
        <v>54.34782608695653</v>
      </c>
      <c r="Z22" s="6">
        <f t="shared" si="4"/>
        <v>0.76923076923076916</v>
      </c>
      <c r="AA22" s="9">
        <f t="shared" si="5"/>
        <v>58.637379002233807</v>
      </c>
      <c r="AB22" s="6">
        <f t="shared" si="6"/>
        <v>1.1727475800446761</v>
      </c>
      <c r="AC22" s="6">
        <f t="shared" si="7"/>
        <v>1.0461640650946529</v>
      </c>
      <c r="AD22" s="9">
        <f t="shared" si="8"/>
        <v>52.083333333333336</v>
      </c>
      <c r="AE22" s="4">
        <f>100*(AA22/TOTAL_BASIC!$C$81)</f>
        <v>101.25039629083923</v>
      </c>
      <c r="AF22" s="4">
        <f>100*AC22/TOTAL_BASIC!$C$82</f>
        <v>101.61387582128172</v>
      </c>
      <c r="AG22" s="4">
        <f>100*N22/TOTAL_BASIC!$C$87</f>
        <v>79.291585760517805</v>
      </c>
      <c r="AH22" s="4">
        <f>100*AD22/TOTAL_BASIC!$C$86</f>
        <v>100.12686965811967</v>
      </c>
      <c r="AI22" s="3">
        <f t="shared" si="9"/>
        <v>0.13043478260869565</v>
      </c>
      <c r="AL22" s="4">
        <f>(PERCENTRANK(D$3:D$78,D22))*100</f>
        <v>54.300000000000004</v>
      </c>
      <c r="AM22" s="4">
        <f>(PERCENTRANK(E$3:E$78,E22))*100</f>
        <v>58.599999999999994</v>
      </c>
      <c r="AN22" s="4">
        <f>(PERCENTRANK(F$3:F$78,F22))*100</f>
        <v>58.599999999999994</v>
      </c>
      <c r="AO22" s="4">
        <f>(PERCENTRANK(G$3:G$78,G22))*100</f>
        <v>52.1</v>
      </c>
      <c r="AP22" s="4">
        <f>(PERCENTRANK(H$3:H$78,H22))*100</f>
        <v>82.6</v>
      </c>
      <c r="AQ22" s="4">
        <f>(PERCENTRANK(I$3:I$78,I22))*100</f>
        <v>0</v>
      </c>
      <c r="AR22" s="4">
        <f>(PERCENTRANK(J$3:J$78,J22))*100</f>
        <v>8.6</v>
      </c>
      <c r="AS22" s="4">
        <f>(PERCENTRANK(K$3:K$78,K22))*100</f>
        <v>0</v>
      </c>
      <c r="AT22" s="4">
        <f t="shared" si="11"/>
        <v>76</v>
      </c>
      <c r="AU22" s="4">
        <f t="shared" si="11"/>
        <v>82.6</v>
      </c>
      <c r="AV22" s="4">
        <f t="shared" si="11"/>
        <v>28.199999999999996</v>
      </c>
      <c r="AW22" s="4">
        <f t="shared" si="11"/>
        <v>69.5</v>
      </c>
      <c r="AX22" s="4">
        <f t="shared" si="11"/>
        <v>80.400000000000006</v>
      </c>
      <c r="AY22" s="4">
        <f t="shared" si="11"/>
        <v>80.400000000000006</v>
      </c>
      <c r="AZ22" s="4">
        <f t="shared" si="11"/>
        <v>36.9</v>
      </c>
      <c r="BA22" s="4">
        <f t="shared" si="10"/>
        <v>34.699999999999996</v>
      </c>
      <c r="BB22" s="4">
        <f>(PERCENTRANK(T$3:T$78,T22))*100</f>
        <v>39.1</v>
      </c>
      <c r="BC22" s="4">
        <f>100-(PERCENTRANK(U$3:U$78,U22))*100</f>
        <v>47.9</v>
      </c>
      <c r="BD22" s="4">
        <f>100-(PERCENTRANK(V$3:V$78,V22))*100</f>
        <v>56.6</v>
      </c>
      <c r="BE22" s="4">
        <f>(PERCENTRANK(W$3:W$78,W22))*100</f>
        <v>73.900000000000006</v>
      </c>
      <c r="BF22" s="4">
        <f>(PERCENTRANK(X$3:X$78,X22))*100</f>
        <v>69.5</v>
      </c>
      <c r="BG22" s="4">
        <f>(PERCENTRANK(Y$3:Y$78,Y22))*100</f>
        <v>43.4</v>
      </c>
      <c r="BH22" s="4">
        <f>(PERCENTRANK(Z$3:Z$78,Z22))*100</f>
        <v>28.799999999999997</v>
      </c>
      <c r="BI22" s="4">
        <f>(PERCENTRANK(AA$3:AA$78,AA22))*100</f>
        <v>56.499999999999993</v>
      </c>
      <c r="BJ22" s="4">
        <f>(PERCENTRANK(AB$3:AB$78,AB22))*100</f>
        <v>56.499999999999993</v>
      </c>
      <c r="BK22" s="4">
        <f>(PERCENTRANK(AC$3:AC$78,AC22))*100</f>
        <v>56.499999999999993</v>
      </c>
      <c r="BL22" s="4">
        <f>(PERCENTRANK(AD$3:AD$78,AD22))*100</f>
        <v>54.300000000000004</v>
      </c>
      <c r="BM22" s="4">
        <f t="shared" si="0"/>
        <v>43.4</v>
      </c>
    </row>
    <row r="23" spans="1:65" x14ac:dyDescent="0.25">
      <c r="A23" s="2">
        <v>21</v>
      </c>
      <c r="B23" s="5" t="s">
        <v>56</v>
      </c>
      <c r="C23" s="2">
        <v>7</v>
      </c>
      <c r="D23" s="9">
        <v>11.9</v>
      </c>
      <c r="E23" s="9">
        <v>12</v>
      </c>
      <c r="F23" s="9">
        <v>4</v>
      </c>
      <c r="G23" s="9">
        <v>8.6999999999999993</v>
      </c>
      <c r="H23" s="9">
        <v>45.9</v>
      </c>
      <c r="I23" s="9">
        <v>1.7</v>
      </c>
      <c r="J23" s="9">
        <v>4.5999999999999996</v>
      </c>
      <c r="K23" s="9">
        <v>37.5</v>
      </c>
      <c r="L23" s="9">
        <v>1.3</v>
      </c>
      <c r="M23" s="9">
        <v>1.3</v>
      </c>
      <c r="N23" s="9">
        <v>100</v>
      </c>
      <c r="O23" s="9">
        <v>0.9</v>
      </c>
      <c r="P23" s="9">
        <v>2.1</v>
      </c>
      <c r="Q23" s="9">
        <v>3</v>
      </c>
      <c r="R23" s="9">
        <v>3</v>
      </c>
      <c r="S23" s="9">
        <v>1</v>
      </c>
      <c r="T23" s="9">
        <v>0.4</v>
      </c>
      <c r="U23" s="9">
        <v>0.7</v>
      </c>
      <c r="V23" s="9">
        <v>2.4</v>
      </c>
      <c r="W23" s="9">
        <f t="shared" si="1"/>
        <v>2.2999999999999998</v>
      </c>
      <c r="X23" s="9">
        <f t="shared" si="2"/>
        <v>4.0999999999999996</v>
      </c>
      <c r="Y23" s="9">
        <f t="shared" si="3"/>
        <v>56.09756097560976</v>
      </c>
      <c r="Z23" s="6">
        <f t="shared" si="4"/>
        <v>4.2857142857142856</v>
      </c>
      <c r="AA23" s="9">
        <f t="shared" si="5"/>
        <v>64.7109577221743</v>
      </c>
      <c r="AB23" s="6">
        <f t="shared" si="6"/>
        <v>1.294219154443486</v>
      </c>
      <c r="AC23" s="6">
        <f t="shared" si="7"/>
        <v>1.2033694344163661</v>
      </c>
      <c r="AD23" s="9">
        <f t="shared" si="8"/>
        <v>55.747126436781606</v>
      </c>
      <c r="AE23" s="4">
        <f>100*(AA23/TOTAL_BASIC!$C$81)</f>
        <v>111.73777247922847</v>
      </c>
      <c r="AF23" s="4">
        <f>100*AC23/TOTAL_BASIC!$C$82</f>
        <v>116.88322735960857</v>
      </c>
      <c r="AG23" s="4">
        <f>100*N23/TOTAL_BASIC!$C$87</f>
        <v>129.77346278317154</v>
      </c>
      <c r="AH23" s="4">
        <f>100*AD23/TOTAL_BASIC!$C$86</f>
        <v>107.1702770409667</v>
      </c>
      <c r="AI23" s="3">
        <f t="shared" si="9"/>
        <v>0.16666666666666669</v>
      </c>
      <c r="AL23" s="4">
        <f>(PERCENTRANK(D$3:D$78,D23))*100</f>
        <v>43.4</v>
      </c>
      <c r="AM23" s="4">
        <f>(PERCENTRANK(E$3:E$78,E23))*100</f>
        <v>56.499999999999993</v>
      </c>
      <c r="AN23" s="4">
        <f>(PERCENTRANK(F$3:F$78,F23))*100</f>
        <v>45.6</v>
      </c>
      <c r="AO23" s="4">
        <f>(PERCENTRANK(G$3:G$78,G23))*100</f>
        <v>47.8</v>
      </c>
      <c r="AP23" s="4">
        <f>(PERCENTRANK(H$3:H$78,H23))*100</f>
        <v>50</v>
      </c>
      <c r="AQ23" s="4">
        <f>(PERCENTRANK(I$3:I$78,I23))*100</f>
        <v>76</v>
      </c>
      <c r="AR23" s="4">
        <f>(PERCENTRANK(J$3:J$78,J23))*100</f>
        <v>78.2</v>
      </c>
      <c r="AS23" s="4">
        <f>(PERCENTRANK(K$3:K$78,K23))*100</f>
        <v>80.400000000000006</v>
      </c>
      <c r="AT23" s="4">
        <f t="shared" si="11"/>
        <v>60.8</v>
      </c>
      <c r="AU23" s="4">
        <f t="shared" si="11"/>
        <v>50</v>
      </c>
      <c r="AV23" s="4">
        <f t="shared" si="11"/>
        <v>84.7</v>
      </c>
      <c r="AW23" s="4">
        <f t="shared" si="11"/>
        <v>43.4</v>
      </c>
      <c r="AX23" s="4">
        <f t="shared" si="11"/>
        <v>13</v>
      </c>
      <c r="AY23" s="4">
        <f t="shared" si="11"/>
        <v>15.2</v>
      </c>
      <c r="AZ23" s="4">
        <f t="shared" si="11"/>
        <v>71.7</v>
      </c>
      <c r="BA23" s="4">
        <f t="shared" si="10"/>
        <v>69.5</v>
      </c>
      <c r="BB23" s="4">
        <f>(PERCENTRANK(T$3:T$78,T23))*100</f>
        <v>58.599999999999994</v>
      </c>
      <c r="BC23" s="4">
        <f>100-(PERCENTRANK(U$3:U$78,U23))*100</f>
        <v>84.8</v>
      </c>
      <c r="BD23" s="4">
        <f>100-(PERCENTRANK(V$3:V$78,V23))*100</f>
        <v>45.699999999999996</v>
      </c>
      <c r="BE23" s="4">
        <f>(PERCENTRANK(W$3:W$78,W23))*100</f>
        <v>28.199999999999996</v>
      </c>
      <c r="BF23" s="4">
        <f>(PERCENTRANK(X$3:X$78,X23))*100</f>
        <v>30.4</v>
      </c>
      <c r="BG23" s="4">
        <f>(PERCENTRANK(Y$3:Y$78,Y23))*100</f>
        <v>58.599999999999994</v>
      </c>
      <c r="BH23" s="4">
        <f>(PERCENTRANK(Z$3:Z$78,Z23))*100</f>
        <v>88.8</v>
      </c>
      <c r="BI23" s="4">
        <f>(PERCENTRANK(AA$3:AA$78,AA23))*100</f>
        <v>84.7</v>
      </c>
      <c r="BJ23" s="4">
        <f>(PERCENTRANK(AB$3:AB$78,AB23))*100</f>
        <v>84.7</v>
      </c>
      <c r="BK23" s="4">
        <f>(PERCENTRANK(AC$3:AC$78,AC23))*100</f>
        <v>93.4</v>
      </c>
      <c r="BL23" s="4">
        <f>(PERCENTRANK(AD$3:AD$78,AD23))*100</f>
        <v>67.300000000000011</v>
      </c>
      <c r="BM23" s="4">
        <f t="shared" si="0"/>
        <v>58.599999999999994</v>
      </c>
    </row>
    <row r="24" spans="1:65" x14ac:dyDescent="0.25">
      <c r="A24" s="2">
        <v>22</v>
      </c>
      <c r="B24" s="5" t="s">
        <v>57</v>
      </c>
      <c r="C24" s="2">
        <v>6</v>
      </c>
      <c r="D24" s="9">
        <v>10.3</v>
      </c>
      <c r="E24" s="9">
        <v>11.2</v>
      </c>
      <c r="F24" s="9">
        <v>3.5</v>
      </c>
      <c r="G24" s="9">
        <v>7</v>
      </c>
      <c r="H24" s="9">
        <v>50</v>
      </c>
      <c r="I24" s="9">
        <v>0.7</v>
      </c>
      <c r="J24" s="9">
        <v>1.8</v>
      </c>
      <c r="K24" s="9">
        <v>36.4</v>
      </c>
      <c r="L24" s="9">
        <v>1.7</v>
      </c>
      <c r="M24" s="9">
        <v>1.8</v>
      </c>
      <c r="N24" s="9">
        <v>90.9</v>
      </c>
      <c r="O24" s="9">
        <v>1.7</v>
      </c>
      <c r="P24" s="9">
        <v>3.8</v>
      </c>
      <c r="Q24" s="9">
        <v>5.5</v>
      </c>
      <c r="R24" s="9">
        <v>0.8</v>
      </c>
      <c r="S24" s="9">
        <v>0.2</v>
      </c>
      <c r="T24" s="9">
        <v>1.2</v>
      </c>
      <c r="U24" s="9">
        <v>1.8</v>
      </c>
      <c r="V24" s="9">
        <v>4</v>
      </c>
      <c r="W24" s="9">
        <f t="shared" si="1"/>
        <v>2.8</v>
      </c>
      <c r="X24" s="9">
        <f t="shared" si="2"/>
        <v>5.2</v>
      </c>
      <c r="Y24" s="9">
        <f t="shared" si="3"/>
        <v>53.846153846153847</v>
      </c>
      <c r="Z24" s="6">
        <f t="shared" si="4"/>
        <v>0.44444444444444448</v>
      </c>
      <c r="AA24" s="9">
        <f t="shared" si="5"/>
        <v>71.868583162217661</v>
      </c>
      <c r="AB24" s="6">
        <f t="shared" si="6"/>
        <v>1.4373716632443532</v>
      </c>
      <c r="AC24" s="6">
        <f t="shared" si="7"/>
        <v>1.1676396997497913</v>
      </c>
      <c r="AD24" s="9">
        <f t="shared" si="8"/>
        <v>55</v>
      </c>
      <c r="AE24" s="4">
        <f>100*(AA24/TOTAL_BASIC!$C$81)</f>
        <v>124.09699495194806</v>
      </c>
      <c r="AF24" s="4">
        <f>100*AC24/TOTAL_BASIC!$C$82</f>
        <v>113.41279959146668</v>
      </c>
      <c r="AG24" s="4">
        <f>100*N24/TOTAL_BASIC!$C$87</f>
        <v>117.96407766990292</v>
      </c>
      <c r="AH24" s="4">
        <f>100*AD24/TOTAL_BASIC!$C$86</f>
        <v>105.73397435897436</v>
      </c>
      <c r="AI24" s="3">
        <f t="shared" si="9"/>
        <v>0.3</v>
      </c>
      <c r="AL24" s="4">
        <f>(PERCENTRANK(D$3:D$78,D24))*100</f>
        <v>32.6</v>
      </c>
      <c r="AM24" s="4">
        <f>(PERCENTRANK(E$3:E$78,E24))*100</f>
        <v>52.1</v>
      </c>
      <c r="AN24" s="4">
        <f>(PERCENTRANK(F$3:F$78,F24))*100</f>
        <v>39.1</v>
      </c>
      <c r="AO24" s="4">
        <f>(PERCENTRANK(G$3:G$78,G24))*100</f>
        <v>30.4</v>
      </c>
      <c r="AP24" s="4">
        <f>(PERCENTRANK(H$3:H$78,H24))*100</f>
        <v>65.2</v>
      </c>
      <c r="AQ24" s="4">
        <f>(PERCENTRANK(I$3:I$78,I24))*100</f>
        <v>41.3</v>
      </c>
      <c r="AR24" s="4">
        <f>(PERCENTRANK(J$3:J$78,J24))*100</f>
        <v>32.6</v>
      </c>
      <c r="AS24" s="4">
        <f>(PERCENTRANK(K$3:K$78,K24))*100</f>
        <v>69.5</v>
      </c>
      <c r="AT24" s="4">
        <f t="shared" si="11"/>
        <v>78.2</v>
      </c>
      <c r="AU24" s="4">
        <f t="shared" si="11"/>
        <v>69.5</v>
      </c>
      <c r="AV24" s="4">
        <f t="shared" si="11"/>
        <v>78.2</v>
      </c>
      <c r="AW24" s="4">
        <f t="shared" si="11"/>
        <v>82.6</v>
      </c>
      <c r="AX24" s="4">
        <f t="shared" si="11"/>
        <v>52.1</v>
      </c>
      <c r="AY24" s="4">
        <f t="shared" si="11"/>
        <v>67.300000000000011</v>
      </c>
      <c r="AZ24" s="4">
        <f t="shared" si="11"/>
        <v>23.9</v>
      </c>
      <c r="BA24" s="4">
        <f t="shared" si="10"/>
        <v>10.8</v>
      </c>
      <c r="BB24" s="4">
        <f>(PERCENTRANK(T$3:T$78,T24))*100</f>
        <v>89.1</v>
      </c>
      <c r="BC24" s="4">
        <f>100-(PERCENTRANK(U$3:U$78,U24))*100</f>
        <v>19.599999999999994</v>
      </c>
      <c r="BD24" s="4">
        <f>100-(PERCENTRANK(V$3:V$78,V24))*100</f>
        <v>0</v>
      </c>
      <c r="BE24" s="4">
        <f>(PERCENTRANK(W$3:W$78,W24))*100</f>
        <v>43.4</v>
      </c>
      <c r="BF24" s="4">
        <f>(PERCENTRANK(X$3:X$78,X24))*100</f>
        <v>41.3</v>
      </c>
      <c r="BG24" s="4">
        <f>(PERCENTRANK(Y$3:Y$78,Y24))*100</f>
        <v>41.3</v>
      </c>
      <c r="BH24" s="4">
        <f>(PERCENTRANK(Z$3:Z$78,Z24))*100</f>
        <v>13.3</v>
      </c>
      <c r="BI24" s="4">
        <f>(PERCENTRANK(AA$3:AA$78,AA24))*100</f>
        <v>95.6</v>
      </c>
      <c r="BJ24" s="4">
        <f>(PERCENTRANK(AB$3:AB$78,AB24))*100</f>
        <v>95.6</v>
      </c>
      <c r="BK24" s="4">
        <f>(PERCENTRANK(AC$3:AC$78,AC24))*100</f>
        <v>80.400000000000006</v>
      </c>
      <c r="BL24" s="4">
        <f>(PERCENTRANK(AD$3:AD$78,AD24))*100</f>
        <v>65.2</v>
      </c>
      <c r="BM24" s="4">
        <f t="shared" si="0"/>
        <v>80.400000000000006</v>
      </c>
    </row>
    <row r="25" spans="1:65" x14ac:dyDescent="0.25">
      <c r="A25" s="2">
        <v>23</v>
      </c>
      <c r="B25" s="5" t="s">
        <v>58</v>
      </c>
      <c r="C25" s="2">
        <v>6</v>
      </c>
      <c r="D25" s="9">
        <v>14.3</v>
      </c>
      <c r="E25" s="9">
        <v>11.2</v>
      </c>
      <c r="F25" s="9">
        <v>4.8</v>
      </c>
      <c r="G25" s="9">
        <v>7.5</v>
      </c>
      <c r="H25" s="9">
        <v>64.400000000000006</v>
      </c>
      <c r="I25" s="9">
        <v>0</v>
      </c>
      <c r="J25" s="9">
        <v>0</v>
      </c>
      <c r="K25" s="9">
        <v>0</v>
      </c>
      <c r="L25" s="9">
        <v>0.8</v>
      </c>
      <c r="M25" s="9">
        <v>1</v>
      </c>
      <c r="N25" s="9">
        <v>83.3</v>
      </c>
      <c r="O25" s="9">
        <v>1</v>
      </c>
      <c r="P25" s="9">
        <v>7</v>
      </c>
      <c r="Q25" s="9">
        <v>8</v>
      </c>
      <c r="R25" s="9">
        <v>3.7</v>
      </c>
      <c r="S25" s="9">
        <v>0.3</v>
      </c>
      <c r="T25" s="9">
        <v>0.3</v>
      </c>
      <c r="U25" s="9">
        <v>1</v>
      </c>
      <c r="V25" s="9">
        <v>1.3</v>
      </c>
      <c r="W25" s="9">
        <f t="shared" si="1"/>
        <v>4.8</v>
      </c>
      <c r="X25" s="9">
        <f t="shared" si="2"/>
        <v>7.5</v>
      </c>
      <c r="Y25" s="9">
        <f t="shared" si="3"/>
        <v>64</v>
      </c>
      <c r="Z25" s="6">
        <f t="shared" si="4"/>
        <v>3.7</v>
      </c>
      <c r="AA25" s="9">
        <f t="shared" si="5"/>
        <v>70.528967254408059</v>
      </c>
      <c r="AB25" s="6">
        <f t="shared" si="6"/>
        <v>1.4105793450881612</v>
      </c>
      <c r="AC25" s="6">
        <f t="shared" si="7"/>
        <v>1.2527964205816553</v>
      </c>
      <c r="AD25" s="9">
        <f t="shared" si="8"/>
        <v>64</v>
      </c>
      <c r="AE25" s="4">
        <f>100*(AA25/TOTAL_BASIC!$C$81)</f>
        <v>121.78385197299487</v>
      </c>
      <c r="AF25" s="4">
        <f>100*AC25/TOTAL_BASIC!$C$82</f>
        <v>121.68406864444614</v>
      </c>
      <c r="AG25" s="4">
        <f>100*N25/TOTAL_BASIC!$C$87</f>
        <v>108.10129449838189</v>
      </c>
      <c r="AH25" s="4">
        <f>100*AD25/TOTAL_BASIC!$C$86</f>
        <v>123.03589743589744</v>
      </c>
      <c r="AI25" s="3">
        <f t="shared" si="9"/>
        <v>0.23076923076923075</v>
      </c>
      <c r="AL25" s="4">
        <f>(PERCENTRANK(D$3:D$78,D25))*100</f>
        <v>58.599999999999994</v>
      </c>
      <c r="AM25" s="4">
        <f>(PERCENTRANK(E$3:E$78,E25))*100</f>
        <v>52.1</v>
      </c>
      <c r="AN25" s="4">
        <f>(PERCENTRANK(F$3:F$78,F25))*100</f>
        <v>56.499999999999993</v>
      </c>
      <c r="AO25" s="4">
        <f>(PERCENTRANK(G$3:G$78,G25))*100</f>
        <v>36.9</v>
      </c>
      <c r="AP25" s="4">
        <f>(PERCENTRANK(H$3:H$78,H25))*100</f>
        <v>100</v>
      </c>
      <c r="AQ25" s="4">
        <f>(PERCENTRANK(I$3:I$78,I25))*100</f>
        <v>0</v>
      </c>
      <c r="AR25" s="4">
        <f>(PERCENTRANK(J$3:J$78,J25))*100</f>
        <v>0</v>
      </c>
      <c r="AS25" s="4">
        <f>(PERCENTRANK(K$3:K$78,K25))*100</f>
        <v>0</v>
      </c>
      <c r="AT25" s="4">
        <f t="shared" si="11"/>
        <v>39.1</v>
      </c>
      <c r="AU25" s="4">
        <f t="shared" si="11"/>
        <v>41.3</v>
      </c>
      <c r="AV25" s="4">
        <f t="shared" si="11"/>
        <v>63</v>
      </c>
      <c r="AW25" s="4">
        <f t="shared" si="11"/>
        <v>50</v>
      </c>
      <c r="AX25" s="4">
        <f t="shared" si="11"/>
        <v>91.3</v>
      </c>
      <c r="AY25" s="4">
        <f t="shared" si="11"/>
        <v>89.1</v>
      </c>
      <c r="AZ25" s="4">
        <f t="shared" si="11"/>
        <v>84.7</v>
      </c>
      <c r="BA25" s="4">
        <f t="shared" si="10"/>
        <v>19.5</v>
      </c>
      <c r="BB25" s="4">
        <f>(PERCENTRANK(T$3:T$78,T25))*100</f>
        <v>39.1</v>
      </c>
      <c r="BC25" s="4">
        <f>100-(PERCENTRANK(U$3:U$78,U25))*100</f>
        <v>65.300000000000011</v>
      </c>
      <c r="BD25" s="4">
        <f>100-(PERCENTRANK(V$3:V$78,V25))*100</f>
        <v>95.7</v>
      </c>
      <c r="BE25" s="4">
        <f>(PERCENTRANK(W$3:W$78,W25))*100</f>
        <v>69.5</v>
      </c>
      <c r="BF25" s="4">
        <f>(PERCENTRANK(X$3:X$78,X25))*100</f>
        <v>56.499999999999993</v>
      </c>
      <c r="BG25" s="4">
        <f>(PERCENTRANK(Y$3:Y$78,Y25))*100</f>
        <v>91.3</v>
      </c>
      <c r="BH25" s="4">
        <f>(PERCENTRANK(Z$3:Z$78,Z25))*100</f>
        <v>86.6</v>
      </c>
      <c r="BI25" s="4">
        <f>(PERCENTRANK(AA$3:AA$78,AA25))*100</f>
        <v>93.4</v>
      </c>
      <c r="BJ25" s="4">
        <f>(PERCENTRANK(AB$3:AB$78,AB25))*100</f>
        <v>93.4</v>
      </c>
      <c r="BK25" s="4">
        <f>(PERCENTRANK(AC$3:AC$78,AC25))*100</f>
        <v>97.8</v>
      </c>
      <c r="BL25" s="4">
        <f>(PERCENTRANK(AD$3:AD$78,AD25))*100</f>
        <v>91.3</v>
      </c>
      <c r="BM25" s="4">
        <f t="shared" si="0"/>
        <v>63</v>
      </c>
    </row>
    <row r="26" spans="1:65" x14ac:dyDescent="0.25">
      <c r="A26" s="2">
        <v>24</v>
      </c>
      <c r="B26" s="5" t="s">
        <v>59</v>
      </c>
      <c r="C26" s="2">
        <v>7</v>
      </c>
      <c r="D26" s="9">
        <v>11.6</v>
      </c>
      <c r="E26" s="9">
        <v>11.1</v>
      </c>
      <c r="F26" s="9">
        <v>4.3</v>
      </c>
      <c r="G26" s="9">
        <v>10.6</v>
      </c>
      <c r="H26" s="9">
        <v>40.5</v>
      </c>
      <c r="I26" s="9">
        <v>1</v>
      </c>
      <c r="J26" s="9">
        <v>3.6</v>
      </c>
      <c r="K26" s="9">
        <v>28</v>
      </c>
      <c r="L26" s="9">
        <v>0.9</v>
      </c>
      <c r="M26" s="9">
        <v>0.9</v>
      </c>
      <c r="N26" s="9">
        <v>100</v>
      </c>
      <c r="O26" s="9">
        <v>2</v>
      </c>
      <c r="P26" s="9">
        <v>4.9000000000000004</v>
      </c>
      <c r="Q26" s="9">
        <v>6.9</v>
      </c>
      <c r="R26" s="9">
        <v>1.7</v>
      </c>
      <c r="S26" s="9">
        <v>0.3</v>
      </c>
      <c r="T26" s="9">
        <v>0.4</v>
      </c>
      <c r="U26" s="9">
        <v>0.6</v>
      </c>
      <c r="V26" s="9">
        <v>1.7</v>
      </c>
      <c r="W26" s="9">
        <f t="shared" si="1"/>
        <v>3.3</v>
      </c>
      <c r="X26" s="9">
        <f t="shared" si="2"/>
        <v>7</v>
      </c>
      <c r="Y26" s="9">
        <f t="shared" si="3"/>
        <v>47.142857142857139</v>
      </c>
      <c r="Z26" s="6">
        <f t="shared" si="4"/>
        <v>2.8333333333333335</v>
      </c>
      <c r="AA26" s="9">
        <f t="shared" si="5"/>
        <v>50.472899236085844</v>
      </c>
      <c r="AB26" s="6">
        <f t="shared" si="6"/>
        <v>1.0094579847217169</v>
      </c>
      <c r="AC26" s="6">
        <f t="shared" si="7"/>
        <v>0.95722662987236973</v>
      </c>
      <c r="AD26" s="9">
        <f t="shared" si="8"/>
        <v>45.283018867924532</v>
      </c>
      <c r="AE26" s="4">
        <f>100*(AA26/TOTAL_BASIC!$C$81)</f>
        <v>87.152617264946414</v>
      </c>
      <c r="AF26" s="4">
        <f>100*AC26/TOTAL_BASIC!$C$82</f>
        <v>92.975386123470599</v>
      </c>
      <c r="AG26" s="4">
        <f>100*N26/TOTAL_BASIC!$C$87</f>
        <v>129.77346278317154</v>
      </c>
      <c r="AH26" s="4">
        <f>100*AD26/TOTAL_BASIC!$C$86</f>
        <v>87.053701015965174</v>
      </c>
      <c r="AI26" s="3">
        <f t="shared" si="9"/>
        <v>0.23529411764705885</v>
      </c>
      <c r="AL26" s="4">
        <f>(PERCENTRANK(D$3:D$78,D26))*100</f>
        <v>41.3</v>
      </c>
      <c r="AM26" s="4">
        <f>(PERCENTRANK(E$3:E$78,E26))*100</f>
        <v>50</v>
      </c>
      <c r="AN26" s="4">
        <f>(PERCENTRANK(F$3:F$78,F26))*100</f>
        <v>52.1</v>
      </c>
      <c r="AO26" s="4">
        <f>(PERCENTRANK(G$3:G$78,G26))*100</f>
        <v>56.499999999999993</v>
      </c>
      <c r="AP26" s="4">
        <f>(PERCENTRANK(H$3:H$78,H26))*100</f>
        <v>21.7</v>
      </c>
      <c r="AQ26" s="4">
        <f>(PERCENTRANK(I$3:I$78,I26))*100</f>
        <v>60.8</v>
      </c>
      <c r="AR26" s="4">
        <f>(PERCENTRANK(J$3:J$78,J26))*100</f>
        <v>65.2</v>
      </c>
      <c r="AS26" s="4">
        <f>(PERCENTRANK(K$3:K$78,K26))*100</f>
        <v>50</v>
      </c>
      <c r="AT26" s="4">
        <f t="shared" si="11"/>
        <v>45.6</v>
      </c>
      <c r="AU26" s="4">
        <f t="shared" si="11"/>
        <v>32.6</v>
      </c>
      <c r="AV26" s="4">
        <f t="shared" si="11"/>
        <v>84.7</v>
      </c>
      <c r="AW26" s="4">
        <f t="shared" si="11"/>
        <v>91.3</v>
      </c>
      <c r="AX26" s="4">
        <f t="shared" si="11"/>
        <v>71.7</v>
      </c>
      <c r="AY26" s="4">
        <f t="shared" si="11"/>
        <v>78.2</v>
      </c>
      <c r="AZ26" s="4">
        <f t="shared" si="11"/>
        <v>45.6</v>
      </c>
      <c r="BA26" s="4">
        <f t="shared" si="10"/>
        <v>19.5</v>
      </c>
      <c r="BB26" s="4">
        <f>(PERCENTRANK(T$3:T$78,T26))*100</f>
        <v>58.599999999999994</v>
      </c>
      <c r="BC26" s="4">
        <f>100-(PERCENTRANK(U$3:U$78,U26))*100</f>
        <v>87</v>
      </c>
      <c r="BD26" s="4">
        <f>100-(PERCENTRANK(V$3:V$78,V26))*100</f>
        <v>89.2</v>
      </c>
      <c r="BE26" s="4">
        <f>(PERCENTRANK(W$3:W$78,W26))*100</f>
        <v>52.1</v>
      </c>
      <c r="BF26" s="4">
        <f>(PERCENTRANK(X$3:X$78,X26))*100</f>
        <v>47.8</v>
      </c>
      <c r="BG26" s="4">
        <f>(PERCENTRANK(Y$3:Y$78,Y26))*100</f>
        <v>30.4</v>
      </c>
      <c r="BH26" s="4">
        <f>(PERCENTRANK(Z$3:Z$78,Z26))*100</f>
        <v>77.7</v>
      </c>
      <c r="BI26" s="4">
        <f>(PERCENTRANK(AA$3:AA$78,AA26))*100</f>
        <v>26</v>
      </c>
      <c r="BJ26" s="4">
        <f>(PERCENTRANK(AB$3:AB$78,AB26))*100</f>
        <v>26</v>
      </c>
      <c r="BK26" s="4">
        <f>(PERCENTRANK(AC$3:AC$78,AC26))*100</f>
        <v>45.6</v>
      </c>
      <c r="BL26" s="4">
        <f>(PERCENTRANK(AD$3:AD$78,AD26))*100</f>
        <v>28.199999999999996</v>
      </c>
      <c r="BM26" s="4">
        <f t="shared" si="0"/>
        <v>67.300000000000011</v>
      </c>
    </row>
    <row r="27" spans="1:65" x14ac:dyDescent="0.25">
      <c r="A27" s="2">
        <v>25</v>
      </c>
      <c r="B27" s="5" t="s">
        <v>60</v>
      </c>
      <c r="C27" s="2">
        <v>7</v>
      </c>
      <c r="D27" s="9">
        <v>17</v>
      </c>
      <c r="E27" s="9">
        <v>11</v>
      </c>
      <c r="F27" s="9">
        <v>4.0999999999999996</v>
      </c>
      <c r="G27" s="9">
        <v>8</v>
      </c>
      <c r="H27" s="9">
        <v>51.8</v>
      </c>
      <c r="I27" s="9">
        <v>2.1</v>
      </c>
      <c r="J27" s="9">
        <v>4.5999999999999996</v>
      </c>
      <c r="K27" s="9">
        <v>46.9</v>
      </c>
      <c r="L27" s="9">
        <v>0.3</v>
      </c>
      <c r="M27" s="9">
        <v>0.4</v>
      </c>
      <c r="N27" s="9">
        <v>66.7</v>
      </c>
      <c r="O27" s="9">
        <v>0.1</v>
      </c>
      <c r="P27" s="9">
        <v>4.5999999999999996</v>
      </c>
      <c r="Q27" s="9">
        <v>4.7</v>
      </c>
      <c r="R27" s="9">
        <v>4.3</v>
      </c>
      <c r="S27" s="9">
        <v>0.4</v>
      </c>
      <c r="T27" s="9">
        <v>0.1</v>
      </c>
      <c r="U27" s="9">
        <v>1.3</v>
      </c>
      <c r="V27" s="9">
        <v>3.3</v>
      </c>
      <c r="W27" s="9">
        <f t="shared" si="1"/>
        <v>1.9999999999999996</v>
      </c>
      <c r="X27" s="9">
        <f t="shared" si="2"/>
        <v>3.4000000000000004</v>
      </c>
      <c r="Y27" s="9">
        <f t="shared" si="3"/>
        <v>58.823529411764689</v>
      </c>
      <c r="Z27" s="6">
        <f t="shared" si="4"/>
        <v>3.3076923076923075</v>
      </c>
      <c r="AA27" s="9">
        <f t="shared" si="5"/>
        <v>67.270058708414865</v>
      </c>
      <c r="AB27" s="6">
        <f t="shared" si="6"/>
        <v>1.3454011741682974</v>
      </c>
      <c r="AC27" s="6">
        <f t="shared" si="7"/>
        <v>1.1608273533136344</v>
      </c>
      <c r="AD27" s="9">
        <f t="shared" si="8"/>
        <v>64.375</v>
      </c>
      <c r="AE27" s="4">
        <f>100*(AA27/TOTAL_BASIC!$C$81)</f>
        <v>116.15662600600811</v>
      </c>
      <c r="AF27" s="4">
        <f>100*AC27/TOTAL_BASIC!$C$82</f>
        <v>112.75111664142904</v>
      </c>
      <c r="AG27" s="4">
        <f>100*N27/TOTAL_BASIC!$C$87</f>
        <v>86.558899676375404</v>
      </c>
      <c r="AH27" s="4">
        <f>100*AD27/TOTAL_BASIC!$C$86</f>
        <v>123.7568108974359</v>
      </c>
      <c r="AI27" s="3">
        <f t="shared" si="9"/>
        <v>3.0303030303030307E-2</v>
      </c>
      <c r="AL27" s="4">
        <f>(PERCENTRANK(D$3:D$78,D27))*100</f>
        <v>80.400000000000006</v>
      </c>
      <c r="AM27" s="4">
        <f>(PERCENTRANK(E$3:E$78,E27))*100</f>
        <v>45.6</v>
      </c>
      <c r="AN27" s="4">
        <f>(PERCENTRANK(F$3:F$78,F27))*100</f>
        <v>47.8</v>
      </c>
      <c r="AO27" s="4">
        <f>(PERCENTRANK(G$3:G$78,G27))*100</f>
        <v>41.3</v>
      </c>
      <c r="AP27" s="4">
        <f>(PERCENTRANK(H$3:H$78,H27))*100</f>
        <v>76</v>
      </c>
      <c r="AQ27" s="4">
        <f>(PERCENTRANK(I$3:I$78,I27))*100</f>
        <v>84.7</v>
      </c>
      <c r="AR27" s="4">
        <f>(PERCENTRANK(J$3:J$78,J27))*100</f>
        <v>78.2</v>
      </c>
      <c r="AS27" s="4">
        <f>(PERCENTRANK(K$3:K$78,K27))*100</f>
        <v>95.6</v>
      </c>
      <c r="AT27" s="4">
        <f t="shared" si="11"/>
        <v>15.2</v>
      </c>
      <c r="AU27" s="4">
        <f t="shared" si="11"/>
        <v>13</v>
      </c>
      <c r="AV27" s="4">
        <f t="shared" si="11"/>
        <v>30.4</v>
      </c>
      <c r="AW27" s="4">
        <f t="shared" si="11"/>
        <v>4.3</v>
      </c>
      <c r="AX27" s="4">
        <f t="shared" si="11"/>
        <v>69.5</v>
      </c>
      <c r="AY27" s="4">
        <f t="shared" si="11"/>
        <v>54.300000000000004</v>
      </c>
      <c r="AZ27" s="4">
        <f t="shared" si="11"/>
        <v>86.9</v>
      </c>
      <c r="BA27" s="4">
        <f t="shared" si="10"/>
        <v>34.699999999999996</v>
      </c>
      <c r="BB27" s="4">
        <f>(PERCENTRANK(T$3:T$78,T27))*100</f>
        <v>21.7</v>
      </c>
      <c r="BC27" s="4">
        <f>100-(PERCENTRANK(U$3:U$78,U27))*100</f>
        <v>47.9</v>
      </c>
      <c r="BD27" s="4">
        <f>100-(PERCENTRANK(V$3:V$78,V27))*100</f>
        <v>13.099999999999994</v>
      </c>
      <c r="BE27" s="4">
        <f>(PERCENTRANK(W$3:W$78,W27))*100</f>
        <v>21.7</v>
      </c>
      <c r="BF27" s="4">
        <f>(PERCENTRANK(X$3:X$78,X27))*100</f>
        <v>17.299999999999997</v>
      </c>
      <c r="BG27" s="4">
        <f>(PERCENTRANK(Y$3:Y$78,Y27))*100</f>
        <v>71.7</v>
      </c>
      <c r="BH27" s="4">
        <f>(PERCENTRANK(Z$3:Z$78,Z27))*100</f>
        <v>84.399999999999991</v>
      </c>
      <c r="BI27" s="4">
        <f>(PERCENTRANK(AA$3:AA$78,AA27))*100</f>
        <v>89.1</v>
      </c>
      <c r="BJ27" s="4">
        <f>(PERCENTRANK(AB$3:AB$78,AB27))*100</f>
        <v>89.1</v>
      </c>
      <c r="BK27" s="4">
        <f>(PERCENTRANK(AC$3:AC$78,AC27))*100</f>
        <v>78.2</v>
      </c>
      <c r="BL27" s="4">
        <f>(PERCENTRANK(AD$3:AD$78,AD27))*100</f>
        <v>95.6</v>
      </c>
      <c r="BM27" s="4">
        <f t="shared" si="0"/>
        <v>21.7</v>
      </c>
    </row>
    <row r="28" spans="1:65" x14ac:dyDescent="0.25">
      <c r="A28" s="2">
        <v>26</v>
      </c>
      <c r="B28" s="5" t="s">
        <v>61</v>
      </c>
      <c r="C28" s="2">
        <v>7</v>
      </c>
      <c r="D28" s="9">
        <v>10.1</v>
      </c>
      <c r="E28" s="9">
        <v>11</v>
      </c>
      <c r="F28" s="9">
        <v>4.0999999999999996</v>
      </c>
      <c r="G28" s="9">
        <v>9.6</v>
      </c>
      <c r="H28" s="9">
        <v>43.3</v>
      </c>
      <c r="I28" s="9">
        <v>0.3</v>
      </c>
      <c r="J28" s="9">
        <v>1.3</v>
      </c>
      <c r="K28" s="9">
        <v>22.2</v>
      </c>
      <c r="L28" s="9">
        <v>1.3</v>
      </c>
      <c r="M28" s="9">
        <v>2.4</v>
      </c>
      <c r="N28" s="9">
        <v>52.9</v>
      </c>
      <c r="O28" s="9">
        <v>1.9</v>
      </c>
      <c r="P28" s="9">
        <v>2.4</v>
      </c>
      <c r="Q28" s="9">
        <v>4.3</v>
      </c>
      <c r="R28" s="9">
        <v>0.6</v>
      </c>
      <c r="S28" s="9">
        <v>0.4</v>
      </c>
      <c r="T28" s="9">
        <v>0.1</v>
      </c>
      <c r="U28" s="9">
        <v>0.9</v>
      </c>
      <c r="V28" s="9">
        <v>3</v>
      </c>
      <c r="W28" s="9">
        <f t="shared" si="1"/>
        <v>3.8</v>
      </c>
      <c r="X28" s="9">
        <f t="shared" si="2"/>
        <v>8.2999999999999989</v>
      </c>
      <c r="Y28" s="9">
        <f t="shared" si="3"/>
        <v>45.783132530120483</v>
      </c>
      <c r="Z28" s="6">
        <f t="shared" si="4"/>
        <v>0.66666666666666663</v>
      </c>
      <c r="AA28" s="9">
        <f t="shared" si="5"/>
        <v>51.614114114114123</v>
      </c>
      <c r="AB28" s="6">
        <f t="shared" si="6"/>
        <v>1.0322822822822824</v>
      </c>
      <c r="AC28" s="6">
        <f t="shared" si="7"/>
        <v>0.95188646590515757</v>
      </c>
      <c r="AD28" s="9">
        <f t="shared" si="8"/>
        <v>44.270833333333336</v>
      </c>
      <c r="AE28" s="4">
        <f>100*(AA28/TOTAL_BASIC!$C$81)</f>
        <v>89.123177010615862</v>
      </c>
      <c r="AF28" s="4">
        <f>100*AC28/TOTAL_BASIC!$C$82</f>
        <v>92.456696200604171</v>
      </c>
      <c r="AG28" s="4">
        <f>100*N28/TOTAL_BASIC!$C$87</f>
        <v>68.650161812297739</v>
      </c>
      <c r="AH28" s="4">
        <f>100*AD28/TOTAL_BASIC!$C$86</f>
        <v>85.107839209401718</v>
      </c>
      <c r="AI28" s="3">
        <f t="shared" si="9"/>
        <v>3.3333333333333333E-2</v>
      </c>
      <c r="AL28" s="4">
        <f>(PERCENTRANK(D$3:D$78,D28))*100</f>
        <v>30.4</v>
      </c>
      <c r="AM28" s="4">
        <f>(PERCENTRANK(E$3:E$78,E28))*100</f>
        <v>45.6</v>
      </c>
      <c r="AN28" s="4">
        <f>(PERCENTRANK(F$3:F$78,F28))*100</f>
        <v>47.8</v>
      </c>
      <c r="AO28" s="4">
        <f>(PERCENTRANK(G$3:G$78,G28))*100</f>
        <v>52.1</v>
      </c>
      <c r="AP28" s="4">
        <f>(PERCENTRANK(H$3:H$78,H28))*100</f>
        <v>36.9</v>
      </c>
      <c r="AQ28" s="4">
        <f>(PERCENTRANK(I$3:I$78,I28))*100</f>
        <v>21.7</v>
      </c>
      <c r="AR28" s="4">
        <f>(PERCENTRANK(J$3:J$78,J28))*100</f>
        <v>17.299999999999997</v>
      </c>
      <c r="AS28" s="4">
        <f>(PERCENTRANK(K$3:K$78,K28))*100</f>
        <v>36.9</v>
      </c>
      <c r="AT28" s="4">
        <f t="shared" si="11"/>
        <v>60.8</v>
      </c>
      <c r="AU28" s="4">
        <f t="shared" si="11"/>
        <v>80.400000000000006</v>
      </c>
      <c r="AV28" s="4">
        <f t="shared" si="11"/>
        <v>21.7</v>
      </c>
      <c r="AW28" s="4">
        <f t="shared" si="11"/>
        <v>89.1</v>
      </c>
      <c r="AX28" s="4">
        <f t="shared" si="11"/>
        <v>26</v>
      </c>
      <c r="AY28" s="4">
        <f t="shared" si="11"/>
        <v>45.6</v>
      </c>
      <c r="AZ28" s="4">
        <f t="shared" si="11"/>
        <v>19.5</v>
      </c>
      <c r="BA28" s="4">
        <f t="shared" si="10"/>
        <v>34.699999999999996</v>
      </c>
      <c r="BB28" s="4">
        <f>(PERCENTRANK(T$3:T$78,T28))*100</f>
        <v>21.7</v>
      </c>
      <c r="BC28" s="4">
        <f>100-(PERCENTRANK(U$3:U$78,U28))*100</f>
        <v>67.400000000000006</v>
      </c>
      <c r="BD28" s="4">
        <f>100-(PERCENTRANK(V$3:V$78,V28))*100</f>
        <v>21.799999999999997</v>
      </c>
      <c r="BE28" s="4">
        <f>(PERCENTRANK(W$3:W$78,W28))*100</f>
        <v>56.499999999999993</v>
      </c>
      <c r="BF28" s="4">
        <f>(PERCENTRANK(X$3:X$78,X28))*100</f>
        <v>63</v>
      </c>
      <c r="BG28" s="4">
        <f>(PERCENTRANK(Y$3:Y$78,Y28))*100</f>
        <v>26</v>
      </c>
      <c r="BH28" s="4">
        <f>(PERCENTRANK(Z$3:Z$78,Z28))*100</f>
        <v>22.2</v>
      </c>
      <c r="BI28" s="4">
        <f>(PERCENTRANK(AA$3:AA$78,AA28))*100</f>
        <v>32.6</v>
      </c>
      <c r="BJ28" s="4">
        <f>(PERCENTRANK(AB$3:AB$78,AB28))*100</f>
        <v>32.6</v>
      </c>
      <c r="BK28" s="4">
        <f>(PERCENTRANK(AC$3:AC$78,AC28))*100</f>
        <v>41.3</v>
      </c>
      <c r="BL28" s="4">
        <f>(PERCENTRANK(AD$3:AD$78,AD28))*100</f>
        <v>19.5</v>
      </c>
      <c r="BM28" s="4">
        <f t="shared" si="0"/>
        <v>23.9</v>
      </c>
    </row>
    <row r="29" spans="1:65" x14ac:dyDescent="0.25">
      <c r="A29" s="2">
        <v>27</v>
      </c>
      <c r="B29" s="5" t="s">
        <v>62</v>
      </c>
      <c r="C29" s="2">
        <v>3</v>
      </c>
      <c r="D29" s="9">
        <v>12.3</v>
      </c>
      <c r="E29" s="9">
        <v>10.3</v>
      </c>
      <c r="F29" s="9">
        <v>3</v>
      </c>
      <c r="G29" s="9">
        <v>11.3</v>
      </c>
      <c r="H29" s="9">
        <v>26.5</v>
      </c>
      <c r="I29" s="9">
        <v>0.7</v>
      </c>
      <c r="J29" s="9">
        <v>4.3</v>
      </c>
      <c r="K29" s="9">
        <v>15.4</v>
      </c>
      <c r="L29" s="9">
        <v>2.2999999999999998</v>
      </c>
      <c r="M29" s="9">
        <v>3</v>
      </c>
      <c r="N29" s="9">
        <v>77.8</v>
      </c>
      <c r="O29" s="9">
        <v>1</v>
      </c>
      <c r="P29" s="9">
        <v>1.7</v>
      </c>
      <c r="Q29" s="9">
        <v>2.7</v>
      </c>
      <c r="R29" s="9">
        <v>2.2999999999999998</v>
      </c>
      <c r="S29" s="9">
        <v>1.3</v>
      </c>
      <c r="T29" s="9">
        <v>0.7</v>
      </c>
      <c r="U29" s="9">
        <v>1.7</v>
      </c>
      <c r="V29" s="9">
        <v>3</v>
      </c>
      <c r="W29" s="9">
        <f t="shared" si="1"/>
        <v>2.2999999999999998</v>
      </c>
      <c r="X29" s="9">
        <f t="shared" si="2"/>
        <v>7.0000000000000009</v>
      </c>
      <c r="Y29" s="9">
        <f t="shared" si="3"/>
        <v>32.857142857142854</v>
      </c>
      <c r="Z29" s="6">
        <f t="shared" si="4"/>
        <v>1.3529411764705881</v>
      </c>
      <c r="AA29" s="9">
        <f t="shared" si="5"/>
        <v>40.808240887480189</v>
      </c>
      <c r="AB29" s="6">
        <f t="shared" si="6"/>
        <v>0.81616481774960381</v>
      </c>
      <c r="AC29" s="6">
        <f t="shared" si="7"/>
        <v>0.71927374301675984</v>
      </c>
      <c r="AD29" s="9">
        <f t="shared" si="8"/>
        <v>29.646017699115042</v>
      </c>
      <c r="AE29" s="4">
        <f>100*(AA29/TOTAL_BASIC!$C$81)</f>
        <v>70.464448310897282</v>
      </c>
      <c r="AF29" s="4">
        <f>100*AC29/TOTAL_BASIC!$C$82</f>
        <v>69.863031280663222</v>
      </c>
      <c r="AG29" s="4">
        <f>100*N29/TOTAL_BASIC!$C$87</f>
        <v>100.96375404530745</v>
      </c>
      <c r="AH29" s="4">
        <f>100*AD29/TOTAL_BASIC!$C$86</f>
        <v>56.992568640798723</v>
      </c>
      <c r="AI29" s="3">
        <f t="shared" si="9"/>
        <v>0.23333333333333331</v>
      </c>
      <c r="AL29" s="4">
        <f>(PERCENTRANK(D$3:D$78,D29))*100</f>
        <v>47.8</v>
      </c>
      <c r="AM29" s="4">
        <f>(PERCENTRANK(E$3:E$78,E29))*100</f>
        <v>43.4</v>
      </c>
      <c r="AN29" s="4">
        <f>(PERCENTRANK(F$3:F$78,F29))*100</f>
        <v>34.699999999999996</v>
      </c>
      <c r="AO29" s="4">
        <f>(PERCENTRANK(G$3:G$78,G29))*100</f>
        <v>60.8</v>
      </c>
      <c r="AP29" s="4">
        <f>(PERCENTRANK(H$3:H$78,H29))*100</f>
        <v>2.1</v>
      </c>
      <c r="AQ29" s="4">
        <f>(PERCENTRANK(I$3:I$78,I29))*100</f>
        <v>41.3</v>
      </c>
      <c r="AR29" s="4">
        <f>(PERCENTRANK(J$3:J$78,J29))*100</f>
        <v>73.900000000000006</v>
      </c>
      <c r="AS29" s="4">
        <f>(PERCENTRANK(K$3:K$78,K29))*100</f>
        <v>19.5</v>
      </c>
      <c r="AT29" s="4">
        <f t="shared" si="11"/>
        <v>93.4</v>
      </c>
      <c r="AU29" s="4">
        <f t="shared" si="11"/>
        <v>91.3</v>
      </c>
      <c r="AV29" s="4">
        <f t="shared" si="11"/>
        <v>43.4</v>
      </c>
      <c r="AW29" s="4">
        <f t="shared" si="11"/>
        <v>50</v>
      </c>
      <c r="AX29" s="4">
        <f t="shared" si="11"/>
        <v>6.5</v>
      </c>
      <c r="AY29" s="4">
        <f t="shared" si="11"/>
        <v>10.8</v>
      </c>
      <c r="AZ29" s="4">
        <f t="shared" si="11"/>
        <v>63</v>
      </c>
      <c r="BA29" s="4">
        <f t="shared" si="10"/>
        <v>86.9</v>
      </c>
      <c r="BB29" s="4">
        <f>(PERCENTRANK(T$3:T$78,T29))*100</f>
        <v>71.7</v>
      </c>
      <c r="BC29" s="4">
        <f>100-(PERCENTRANK(U$3:U$78,U29))*100</f>
        <v>26.099999999999994</v>
      </c>
      <c r="BD29" s="4">
        <f>100-(PERCENTRANK(V$3:V$78,V29))*100</f>
        <v>21.799999999999997</v>
      </c>
      <c r="BE29" s="4">
        <f>(PERCENTRANK(W$3:W$78,W29))*100</f>
        <v>28.199999999999996</v>
      </c>
      <c r="BF29" s="4">
        <f>(PERCENTRANK(X$3:X$78,X29))*100</f>
        <v>52.1</v>
      </c>
      <c r="BG29" s="4">
        <f t="shared" ref="BG29:BG49" si="12">(PERCENTRANK(Y$3:Y$78,Y29))*100</f>
        <v>4.3</v>
      </c>
      <c r="BH29" s="4">
        <f>(PERCENTRANK(Z$3:Z$78,Z29))*100</f>
        <v>46.6</v>
      </c>
      <c r="BI29" s="4">
        <f>(PERCENTRANK(AA$3:AA$78,AA29))*100</f>
        <v>6.5</v>
      </c>
      <c r="BJ29" s="4">
        <f>(PERCENTRANK(AB$3:AB$78,AB29))*100</f>
        <v>6.5</v>
      </c>
      <c r="BK29" s="4">
        <f>(PERCENTRANK(AC$3:AC$78,AC29))*100</f>
        <v>8.6</v>
      </c>
      <c r="BL29" s="4">
        <f>(PERCENTRANK(AD$3:AD$78,AD29))*100</f>
        <v>2.1</v>
      </c>
      <c r="BM29" s="4">
        <f t="shared" si="0"/>
        <v>65.2</v>
      </c>
    </row>
    <row r="30" spans="1:65" x14ac:dyDescent="0.25">
      <c r="A30" s="2">
        <v>28</v>
      </c>
      <c r="B30" s="5" t="s">
        <v>63</v>
      </c>
      <c r="C30" s="2">
        <v>6</v>
      </c>
      <c r="D30" s="9">
        <v>12.2</v>
      </c>
      <c r="E30" s="9">
        <v>9.5</v>
      </c>
      <c r="F30" s="9">
        <v>4.5</v>
      </c>
      <c r="G30" s="9">
        <v>8.8000000000000007</v>
      </c>
      <c r="H30" s="9">
        <v>50.9</v>
      </c>
      <c r="I30" s="9">
        <v>0</v>
      </c>
      <c r="J30" s="9">
        <v>1.2</v>
      </c>
      <c r="K30" s="9">
        <v>0</v>
      </c>
      <c r="L30" s="9">
        <v>0.3</v>
      </c>
      <c r="M30" s="9">
        <v>0.3</v>
      </c>
      <c r="N30" s="9">
        <v>100</v>
      </c>
      <c r="O30" s="9">
        <v>0.8</v>
      </c>
      <c r="P30" s="9">
        <v>5.5</v>
      </c>
      <c r="Q30" s="9">
        <v>6.3</v>
      </c>
      <c r="R30" s="9">
        <v>1.2</v>
      </c>
      <c r="S30" s="9">
        <v>0.5</v>
      </c>
      <c r="T30" s="9">
        <v>1.2</v>
      </c>
      <c r="U30" s="9">
        <v>1.3</v>
      </c>
      <c r="V30" s="9">
        <v>3</v>
      </c>
      <c r="W30" s="9">
        <f t="shared" si="1"/>
        <v>4.5</v>
      </c>
      <c r="X30" s="9">
        <f t="shared" si="2"/>
        <v>7.6000000000000005</v>
      </c>
      <c r="Y30" s="9">
        <f t="shared" si="3"/>
        <v>59.210526315789465</v>
      </c>
      <c r="Z30" s="6">
        <f t="shared" si="4"/>
        <v>0.92307692307692302</v>
      </c>
      <c r="AA30" s="9">
        <f t="shared" si="5"/>
        <v>53.179579041648005</v>
      </c>
      <c r="AB30" s="6">
        <f t="shared" si="6"/>
        <v>1.0635915808329601</v>
      </c>
      <c r="AC30" s="6">
        <f t="shared" si="7"/>
        <v>0.92845973416731808</v>
      </c>
      <c r="AD30" s="9">
        <f t="shared" si="8"/>
        <v>51.136363636363633</v>
      </c>
      <c r="AE30" s="4">
        <f>100*(AA30/TOTAL_BASIC!$C$81)</f>
        <v>91.826298244704049</v>
      </c>
      <c r="AF30" s="4">
        <f>100*AC30/TOTAL_BASIC!$C$82</f>
        <v>90.181258638626801</v>
      </c>
      <c r="AG30" s="4">
        <f>100*N30/TOTAL_BASIC!$C$87</f>
        <v>129.77346278317154</v>
      </c>
      <c r="AH30" s="4">
        <f>100*AD30/TOTAL_BASIC!$C$86</f>
        <v>98.306381118881106</v>
      </c>
      <c r="AI30" s="3">
        <f t="shared" si="9"/>
        <v>0.39999999999999997</v>
      </c>
      <c r="AL30" s="4">
        <f>(PERCENTRANK(D$3:D$78,D30))*100</f>
        <v>45.6</v>
      </c>
      <c r="AM30" s="4">
        <f>(PERCENTRANK(E$3:E$78,E30))*100</f>
        <v>41.3</v>
      </c>
      <c r="AN30" s="4">
        <f>(PERCENTRANK(F$3:F$78,F30))*100</f>
        <v>54.300000000000004</v>
      </c>
      <c r="AO30" s="4">
        <f>(PERCENTRANK(G$3:G$78,G30))*100</f>
        <v>50</v>
      </c>
      <c r="AP30" s="4">
        <f>(PERCENTRANK(H$3:H$78,H30))*100</f>
        <v>71.7</v>
      </c>
      <c r="AQ30" s="4">
        <f>(PERCENTRANK(I$3:I$78,I30))*100</f>
        <v>0</v>
      </c>
      <c r="AR30" s="4">
        <f>(PERCENTRANK(J$3:J$78,J30))*100</f>
        <v>15.2</v>
      </c>
      <c r="AS30" s="4">
        <f>(PERCENTRANK(K$3:K$78,K30))*100</f>
        <v>0</v>
      </c>
      <c r="AT30" s="4">
        <f t="shared" si="11"/>
        <v>15.2</v>
      </c>
      <c r="AU30" s="4">
        <f t="shared" si="11"/>
        <v>8.6</v>
      </c>
      <c r="AV30" s="4">
        <f t="shared" si="11"/>
        <v>84.7</v>
      </c>
      <c r="AW30" s="4">
        <f t="shared" si="11"/>
        <v>36.9</v>
      </c>
      <c r="AX30" s="4">
        <f t="shared" si="11"/>
        <v>78.2</v>
      </c>
      <c r="AY30" s="4">
        <f t="shared" si="11"/>
        <v>76</v>
      </c>
      <c r="AZ30" s="4">
        <f t="shared" si="11"/>
        <v>39.1</v>
      </c>
      <c r="BA30" s="4">
        <f t="shared" si="10"/>
        <v>45.6</v>
      </c>
      <c r="BB30" s="4">
        <f>(PERCENTRANK(T$3:T$78,T30))*100</f>
        <v>89.1</v>
      </c>
      <c r="BC30" s="4">
        <f>100-(PERCENTRANK(U$3:U$78,U30))*100</f>
        <v>47.9</v>
      </c>
      <c r="BD30" s="4">
        <f>100-(PERCENTRANK(V$3:V$78,V30))*100</f>
        <v>21.799999999999997</v>
      </c>
      <c r="BE30" s="4">
        <f>(PERCENTRANK(W$3:W$78,W30))*100</f>
        <v>63</v>
      </c>
      <c r="BF30" s="4">
        <f>(PERCENTRANK(X$3:X$78,X30))*100</f>
        <v>58.599999999999994</v>
      </c>
      <c r="BG30" s="4">
        <f t="shared" si="12"/>
        <v>73.900000000000006</v>
      </c>
      <c r="BH30" s="4">
        <f>(PERCENTRANK(Z$3:Z$78,Z30))*100</f>
        <v>35.5</v>
      </c>
      <c r="BI30" s="4">
        <f>(PERCENTRANK(AA$3:AA$78,AA30))*100</f>
        <v>41.3</v>
      </c>
      <c r="BJ30" s="4">
        <f>(PERCENTRANK(AB$3:AB$78,AB30))*100</f>
        <v>41.3</v>
      </c>
      <c r="BK30" s="4">
        <f>(PERCENTRANK(AC$3:AC$78,AC30))*100</f>
        <v>32.6</v>
      </c>
      <c r="BL30" s="4">
        <f>(PERCENTRANK(AD$3:AD$78,AD30))*100</f>
        <v>50</v>
      </c>
      <c r="BM30" s="4">
        <f t="shared" si="0"/>
        <v>89.1</v>
      </c>
    </row>
    <row r="31" spans="1:65" x14ac:dyDescent="0.25">
      <c r="A31" s="2">
        <v>29</v>
      </c>
      <c r="B31" s="5" t="s">
        <v>64</v>
      </c>
      <c r="C31" s="2">
        <v>6</v>
      </c>
      <c r="D31" s="9">
        <v>8.6999999999999993</v>
      </c>
      <c r="E31" s="9">
        <v>8.6999999999999993</v>
      </c>
      <c r="F31" s="9">
        <v>3.5</v>
      </c>
      <c r="G31" s="9">
        <v>6.5</v>
      </c>
      <c r="H31" s="9">
        <v>53.8</v>
      </c>
      <c r="I31" s="9">
        <v>0.7</v>
      </c>
      <c r="J31" s="9">
        <v>1.8</v>
      </c>
      <c r="K31" s="9">
        <v>36.4</v>
      </c>
      <c r="L31" s="9">
        <v>0.5</v>
      </c>
      <c r="M31" s="9">
        <v>0.8</v>
      </c>
      <c r="N31" s="9">
        <v>60</v>
      </c>
      <c r="O31" s="9">
        <v>1</v>
      </c>
      <c r="P31" s="9">
        <v>2.8</v>
      </c>
      <c r="Q31" s="9">
        <v>3.8</v>
      </c>
      <c r="R31" s="9">
        <v>0.3</v>
      </c>
      <c r="S31" s="9">
        <v>0.5</v>
      </c>
      <c r="T31" s="9">
        <v>0</v>
      </c>
      <c r="U31" s="9">
        <v>0.8</v>
      </c>
      <c r="V31" s="9">
        <v>2.2000000000000002</v>
      </c>
      <c r="W31" s="9">
        <f t="shared" si="1"/>
        <v>2.8</v>
      </c>
      <c r="X31" s="9">
        <f t="shared" si="2"/>
        <v>4.7</v>
      </c>
      <c r="Y31" s="9">
        <f t="shared" si="3"/>
        <v>59.574468085106382</v>
      </c>
      <c r="Z31" s="6">
        <f t="shared" si="4"/>
        <v>0.37499999999999994</v>
      </c>
      <c r="AA31" s="9">
        <f t="shared" si="5"/>
        <v>63.485113835376524</v>
      </c>
      <c r="AB31" s="6">
        <f t="shared" si="6"/>
        <v>1.2697022767075306</v>
      </c>
      <c r="AC31" s="6">
        <f t="shared" si="7"/>
        <v>1.1369576581285936</v>
      </c>
      <c r="AD31" s="9">
        <f t="shared" si="8"/>
        <v>59.230769230769234</v>
      </c>
      <c r="AE31" s="4">
        <f>100*(AA31/TOTAL_BASIC!$C$81)</f>
        <v>109.62108204318002</v>
      </c>
      <c r="AF31" s="4">
        <f>100*AC31/TOTAL_BASIC!$C$82</f>
        <v>110.43265405668606</v>
      </c>
      <c r="AG31" s="4">
        <f>100*N31/TOTAL_BASIC!$C$87</f>
        <v>77.864077669902912</v>
      </c>
      <c r="AH31" s="4">
        <f>100*AD31/TOTAL_BASIC!$C$86</f>
        <v>113.86735700197241</v>
      </c>
      <c r="AI31" s="3">
        <f t="shared" si="9"/>
        <v>0</v>
      </c>
      <c r="AL31" s="4">
        <f>(PERCENTRANK(D$3:D$78,D31))*100</f>
        <v>19.5</v>
      </c>
      <c r="AM31" s="4">
        <f>(PERCENTRANK(E$3:E$78,E31))*100</f>
        <v>39.1</v>
      </c>
      <c r="AN31" s="4">
        <f>(PERCENTRANK(F$3:F$78,F31))*100</f>
        <v>39.1</v>
      </c>
      <c r="AO31" s="4">
        <f>(PERCENTRANK(G$3:G$78,G31))*100</f>
        <v>26</v>
      </c>
      <c r="AP31" s="4">
        <f>(PERCENTRANK(H$3:H$78,H31))*100</f>
        <v>86.9</v>
      </c>
      <c r="AQ31" s="4">
        <f>(PERCENTRANK(I$3:I$78,I31))*100</f>
        <v>41.3</v>
      </c>
      <c r="AR31" s="4">
        <f>(PERCENTRANK(J$3:J$78,J31))*100</f>
        <v>32.6</v>
      </c>
      <c r="AS31" s="4">
        <f>(PERCENTRANK(K$3:K$78,K31))*100</f>
        <v>69.5</v>
      </c>
      <c r="AT31" s="4">
        <f t="shared" si="11"/>
        <v>26</v>
      </c>
      <c r="AU31" s="4">
        <f t="shared" si="11"/>
        <v>28.199999999999996</v>
      </c>
      <c r="AV31" s="4">
        <f t="shared" si="11"/>
        <v>23.9</v>
      </c>
      <c r="AW31" s="4">
        <f t="shared" si="11"/>
        <v>50</v>
      </c>
      <c r="AX31" s="4">
        <f t="shared" si="11"/>
        <v>36.9</v>
      </c>
      <c r="AY31" s="4">
        <f t="shared" si="11"/>
        <v>32.6</v>
      </c>
      <c r="AZ31" s="4">
        <f t="shared" si="11"/>
        <v>6.5</v>
      </c>
      <c r="BA31" s="4">
        <f t="shared" si="10"/>
        <v>45.6</v>
      </c>
      <c r="BB31" s="4">
        <f>(PERCENTRANK(T$3:T$78,T31))*100</f>
        <v>0</v>
      </c>
      <c r="BC31" s="4">
        <f>100-(PERCENTRANK(U$3:U$78,U31))*100</f>
        <v>69.599999999999994</v>
      </c>
      <c r="BD31" s="4">
        <f>100-(PERCENTRANK(V$3:V$78,V31))*100</f>
        <v>63.1</v>
      </c>
      <c r="BE31" s="4">
        <f>(PERCENTRANK(W$3:W$78,W31))*100</f>
        <v>43.4</v>
      </c>
      <c r="BF31" s="4">
        <f>(PERCENTRANK(X$3:X$78,X31))*100</f>
        <v>34.699999999999996</v>
      </c>
      <c r="BG31" s="4">
        <f t="shared" si="12"/>
        <v>78.2</v>
      </c>
      <c r="BH31" s="4">
        <f>(PERCENTRANK(Z$3:Z$78,Z31))*100</f>
        <v>8.7999999999999989</v>
      </c>
      <c r="BI31" s="4">
        <f>(PERCENTRANK(AA$3:AA$78,AA31))*100</f>
        <v>76</v>
      </c>
      <c r="BJ31" s="4">
        <f>(PERCENTRANK(AB$3:AB$78,AB31))*100</f>
        <v>76</v>
      </c>
      <c r="BK31" s="4">
        <f>(PERCENTRANK(AC$3:AC$78,AC31))*100</f>
        <v>76</v>
      </c>
      <c r="BL31" s="4">
        <f>(PERCENTRANK(AD$3:AD$78,AD31))*100</f>
        <v>86.9</v>
      </c>
      <c r="BM31" s="4">
        <f t="shared" si="0"/>
        <v>0</v>
      </c>
    </row>
    <row r="32" spans="1:65" x14ac:dyDescent="0.25">
      <c r="A32" s="2">
        <v>30</v>
      </c>
      <c r="B32" s="5" t="s">
        <v>65</v>
      </c>
      <c r="C32" s="2">
        <v>7</v>
      </c>
      <c r="D32" s="9">
        <v>14.6</v>
      </c>
      <c r="E32" s="9">
        <v>8.4</v>
      </c>
      <c r="F32" s="9">
        <v>3</v>
      </c>
      <c r="G32" s="9">
        <v>7.9</v>
      </c>
      <c r="H32" s="9">
        <v>38.200000000000003</v>
      </c>
      <c r="I32" s="9">
        <v>0.7</v>
      </c>
      <c r="J32" s="9">
        <v>3</v>
      </c>
      <c r="K32" s="9">
        <v>23.8</v>
      </c>
      <c r="L32" s="9">
        <v>1</v>
      </c>
      <c r="M32" s="9">
        <v>1.4</v>
      </c>
      <c r="N32" s="9">
        <v>70</v>
      </c>
      <c r="O32" s="9">
        <v>1.6</v>
      </c>
      <c r="P32" s="9">
        <v>3.9</v>
      </c>
      <c r="Q32" s="9">
        <v>5.4</v>
      </c>
      <c r="R32" s="9">
        <v>3.4</v>
      </c>
      <c r="S32" s="9">
        <v>2.1</v>
      </c>
      <c r="T32" s="9">
        <v>0.6</v>
      </c>
      <c r="U32" s="9">
        <v>0.7</v>
      </c>
      <c r="V32" s="9">
        <v>2.4</v>
      </c>
      <c r="W32" s="9">
        <f t="shared" si="1"/>
        <v>2.2999999999999998</v>
      </c>
      <c r="X32" s="9">
        <f t="shared" si="2"/>
        <v>4.9000000000000004</v>
      </c>
      <c r="Y32" s="9">
        <f t="shared" si="3"/>
        <v>46.938775510204074</v>
      </c>
      <c r="Z32" s="6">
        <f t="shared" si="4"/>
        <v>4.8571428571428577</v>
      </c>
      <c r="AA32" s="9">
        <f t="shared" si="5"/>
        <v>49.318929074682949</v>
      </c>
      <c r="AB32" s="6">
        <f t="shared" si="6"/>
        <v>0.98637858149365898</v>
      </c>
      <c r="AC32" s="6">
        <f t="shared" si="7"/>
        <v>0.91145833333333348</v>
      </c>
      <c r="AD32" s="9">
        <f t="shared" si="8"/>
        <v>42.405063291139236</v>
      </c>
      <c r="AE32" s="4">
        <f>100*(AA32/TOTAL_BASIC!$C$81)</f>
        <v>85.160032703051229</v>
      </c>
      <c r="AF32" s="4">
        <f>100*AC32/TOTAL_BASIC!$C$82</f>
        <v>88.529913222766012</v>
      </c>
      <c r="AG32" s="4">
        <f>100*N32/TOTAL_BASIC!$C$87</f>
        <v>90.841423948220068</v>
      </c>
      <c r="AH32" s="4">
        <f>100*AD32/TOTAL_BASIC!$C$86</f>
        <v>81.521015903927278</v>
      </c>
      <c r="AI32" s="3">
        <f t="shared" si="9"/>
        <v>0.25</v>
      </c>
      <c r="AL32" s="4">
        <f>(PERCENTRANK(D$3:D$78,D32))*100</f>
        <v>65.2</v>
      </c>
      <c r="AM32" s="4">
        <f>(PERCENTRANK(E$3:E$78,E32))*100</f>
        <v>36.9</v>
      </c>
      <c r="AN32" s="4">
        <f>(PERCENTRANK(F$3:F$78,F32))*100</f>
        <v>34.699999999999996</v>
      </c>
      <c r="AO32" s="4">
        <f>(PERCENTRANK(G$3:G$78,G32))*100</f>
        <v>39.1</v>
      </c>
      <c r="AP32" s="4">
        <f>(PERCENTRANK(H$3:H$78,H32))*100</f>
        <v>15.2</v>
      </c>
      <c r="AQ32" s="4">
        <f>(PERCENTRANK(I$3:I$78,I32))*100</f>
        <v>41.3</v>
      </c>
      <c r="AR32" s="4">
        <f>(PERCENTRANK(J$3:J$78,J32))*100</f>
        <v>47.8</v>
      </c>
      <c r="AS32" s="4">
        <f>(PERCENTRANK(K$3:K$78,K32))*100</f>
        <v>39.1</v>
      </c>
      <c r="AT32" s="4">
        <f t="shared" si="11"/>
        <v>47.8</v>
      </c>
      <c r="AU32" s="4">
        <f t="shared" si="11"/>
        <v>56.499999999999993</v>
      </c>
      <c r="AV32" s="4">
        <f t="shared" si="11"/>
        <v>36.9</v>
      </c>
      <c r="AW32" s="4">
        <f t="shared" si="11"/>
        <v>80.400000000000006</v>
      </c>
      <c r="AX32" s="4">
        <f t="shared" si="11"/>
        <v>54.300000000000004</v>
      </c>
      <c r="AY32" s="4">
        <f t="shared" si="11"/>
        <v>65.2</v>
      </c>
      <c r="AZ32" s="4">
        <f t="shared" si="11"/>
        <v>80.400000000000006</v>
      </c>
      <c r="BA32" s="4">
        <f t="shared" si="10"/>
        <v>100</v>
      </c>
      <c r="BB32" s="4">
        <f>(PERCENTRANK(T$3:T$78,T32))*100</f>
        <v>67.300000000000011</v>
      </c>
      <c r="BC32" s="4">
        <f>100-(PERCENTRANK(U$3:U$78,U32))*100</f>
        <v>84.8</v>
      </c>
      <c r="BD32" s="4">
        <f>100-(PERCENTRANK(V$3:V$78,V32))*100</f>
        <v>45.699999999999996</v>
      </c>
      <c r="BE32" s="4">
        <f>(PERCENTRANK(W$3:W$78,W32))*100</f>
        <v>28.199999999999996</v>
      </c>
      <c r="BF32" s="4">
        <f>(PERCENTRANK(X$3:X$78,X32))*100</f>
        <v>39.1</v>
      </c>
      <c r="BG32" s="4">
        <f t="shared" si="12"/>
        <v>28.199999999999996</v>
      </c>
      <c r="BH32" s="4">
        <f>(PERCENTRANK(Z$3:Z$78,Z32))*100</f>
        <v>93.300000000000011</v>
      </c>
      <c r="BI32" s="4">
        <f>(PERCENTRANK(AA$3:AA$78,AA32))*100</f>
        <v>21.7</v>
      </c>
      <c r="BJ32" s="4">
        <f>(PERCENTRANK(AB$3:AB$78,AB32))*100</f>
        <v>21.7</v>
      </c>
      <c r="BK32" s="4">
        <f>(PERCENTRANK(AC$3:AC$78,AC32))*100</f>
        <v>26</v>
      </c>
      <c r="BL32" s="4">
        <f>(PERCENTRANK(AD$3:AD$78,AD32))*100</f>
        <v>15.2</v>
      </c>
      <c r="BM32" s="4">
        <f t="shared" si="0"/>
        <v>69.5</v>
      </c>
    </row>
    <row r="33" spans="1:65" x14ac:dyDescent="0.25">
      <c r="A33" s="2">
        <v>31</v>
      </c>
      <c r="B33" s="5" t="s">
        <v>66</v>
      </c>
      <c r="C33" s="2">
        <v>7</v>
      </c>
      <c r="D33" s="9">
        <v>12.9</v>
      </c>
      <c r="E33" s="9">
        <v>7.9</v>
      </c>
      <c r="F33" s="9">
        <v>3.7</v>
      </c>
      <c r="G33" s="9">
        <v>8.4</v>
      </c>
      <c r="H33" s="9">
        <v>44.1</v>
      </c>
      <c r="I33" s="9">
        <v>0.4</v>
      </c>
      <c r="J33" s="9">
        <v>1.4</v>
      </c>
      <c r="K33" s="9">
        <v>30</v>
      </c>
      <c r="L33" s="9">
        <v>0</v>
      </c>
      <c r="M33" s="9">
        <v>0.1</v>
      </c>
      <c r="N33" s="9">
        <v>0</v>
      </c>
      <c r="O33" s="9">
        <v>0.4</v>
      </c>
      <c r="P33" s="9">
        <v>5.0999999999999996</v>
      </c>
      <c r="Q33" s="9">
        <v>5.6</v>
      </c>
      <c r="R33" s="9">
        <v>4.9000000000000004</v>
      </c>
      <c r="S33" s="9">
        <v>0.3</v>
      </c>
      <c r="T33" s="9">
        <v>0.1</v>
      </c>
      <c r="U33" s="9">
        <v>1.6</v>
      </c>
      <c r="V33" s="9">
        <v>2.2999999999999998</v>
      </c>
      <c r="W33" s="9">
        <f t="shared" si="1"/>
        <v>3.3000000000000003</v>
      </c>
      <c r="X33" s="9">
        <f t="shared" si="2"/>
        <v>7</v>
      </c>
      <c r="Y33" s="9">
        <f t="shared" si="3"/>
        <v>47.142857142857146</v>
      </c>
      <c r="Z33" s="6">
        <f t="shared" si="4"/>
        <v>3.0625</v>
      </c>
      <c r="AA33" s="9">
        <f t="shared" si="5"/>
        <v>46.778777830412125</v>
      </c>
      <c r="AB33" s="6">
        <f t="shared" si="6"/>
        <v>0.93557555660824254</v>
      </c>
      <c r="AC33" s="6">
        <f t="shared" si="7"/>
        <v>0.78653922739944249</v>
      </c>
      <c r="AD33" s="9">
        <f t="shared" si="8"/>
        <v>46.428571428571431</v>
      </c>
      <c r="AE33" s="4">
        <f>100*(AA33/TOTAL_BASIC!$C$81)</f>
        <v>80.773900094509997</v>
      </c>
      <c r="AF33" s="4">
        <f>100*AC33/TOTAL_BASIC!$C$82</f>
        <v>76.396525218348685</v>
      </c>
      <c r="AG33" s="4">
        <f>100*N33/TOTAL_BASIC!$C$87</f>
        <v>0</v>
      </c>
      <c r="AH33" s="4">
        <f>100*AD33/TOTAL_BASIC!$C$86</f>
        <v>89.255952380952394</v>
      </c>
      <c r="AI33" s="3">
        <f t="shared" si="9"/>
        <v>4.3478260869565223E-2</v>
      </c>
      <c r="AL33" s="4">
        <f>(PERCENTRANK(D$3:D$78,D33))*100</f>
        <v>50</v>
      </c>
      <c r="AM33" s="4">
        <f>(PERCENTRANK(E$3:E$78,E33))*100</f>
        <v>34.699999999999996</v>
      </c>
      <c r="AN33" s="4">
        <f>(PERCENTRANK(F$3:F$78,F33))*100</f>
        <v>43.4</v>
      </c>
      <c r="AO33" s="4">
        <f>(PERCENTRANK(G$3:G$78,G33))*100</f>
        <v>45.6</v>
      </c>
      <c r="AP33" s="4">
        <f>(PERCENTRANK(H$3:H$78,H33))*100</f>
        <v>39.1</v>
      </c>
      <c r="AQ33" s="4">
        <f>(PERCENTRANK(I$3:I$78,I33))*100</f>
        <v>30.4</v>
      </c>
      <c r="AR33" s="4">
        <f>(PERCENTRANK(J$3:J$78,J33))*100</f>
        <v>21.7</v>
      </c>
      <c r="AS33" s="4">
        <f>(PERCENTRANK(K$3:K$78,K33))*100</f>
        <v>54.300000000000004</v>
      </c>
      <c r="AT33" s="4">
        <f t="shared" si="11"/>
        <v>0</v>
      </c>
      <c r="AU33" s="4">
        <f t="shared" si="11"/>
        <v>2.1</v>
      </c>
      <c r="AV33" s="4">
        <f t="shared" si="11"/>
        <v>0</v>
      </c>
      <c r="AW33" s="4">
        <f t="shared" si="11"/>
        <v>10.8</v>
      </c>
      <c r="AX33" s="4">
        <f t="shared" si="11"/>
        <v>76</v>
      </c>
      <c r="AY33" s="4">
        <f t="shared" si="11"/>
        <v>69.5</v>
      </c>
      <c r="AZ33" s="4">
        <f t="shared" si="11"/>
        <v>91.3</v>
      </c>
      <c r="BA33" s="4">
        <f t="shared" si="10"/>
        <v>19.5</v>
      </c>
      <c r="BB33" s="4">
        <f>(PERCENTRANK(T$3:T$78,T33))*100</f>
        <v>21.7</v>
      </c>
      <c r="BC33" s="4">
        <f>100-(PERCENTRANK(U$3:U$78,U33))*100</f>
        <v>32.699999999999989</v>
      </c>
      <c r="BD33" s="4">
        <f>100-(PERCENTRANK(V$3:V$78,V33))*100</f>
        <v>56.6</v>
      </c>
      <c r="BE33" s="4">
        <f>(PERCENTRANK(W$3:W$78,W33))*100</f>
        <v>54.300000000000004</v>
      </c>
      <c r="BF33" s="4">
        <f>(PERCENTRANK(X$3:X$78,X33))*100</f>
        <v>47.8</v>
      </c>
      <c r="BG33" s="4">
        <f t="shared" si="12"/>
        <v>32.6</v>
      </c>
      <c r="BH33" s="4">
        <f>(PERCENTRANK(Z$3:Z$78,Z33))*100</f>
        <v>82.199999999999989</v>
      </c>
      <c r="BI33" s="4">
        <f>(PERCENTRANK(AA$3:AA$78,AA33))*100</f>
        <v>17.299999999999997</v>
      </c>
      <c r="BJ33" s="4">
        <f>(PERCENTRANK(AB$3:AB$78,AB33))*100</f>
        <v>17.299999999999997</v>
      </c>
      <c r="BK33" s="4">
        <f>(PERCENTRANK(AC$3:AC$78,AC33))*100</f>
        <v>13</v>
      </c>
      <c r="BL33" s="4">
        <f>(PERCENTRANK(AD$3:AD$78,AD33))*100</f>
        <v>32.6</v>
      </c>
      <c r="BM33" s="4">
        <f t="shared" si="0"/>
        <v>26</v>
      </c>
    </row>
    <row r="34" spans="1:65" x14ac:dyDescent="0.25">
      <c r="A34" s="2">
        <v>32</v>
      </c>
      <c r="B34" s="5" t="s">
        <v>67</v>
      </c>
      <c r="C34" s="2">
        <v>6</v>
      </c>
      <c r="D34" s="9">
        <v>11.3</v>
      </c>
      <c r="E34" s="9">
        <v>7.7</v>
      </c>
      <c r="F34" s="9">
        <v>2.8</v>
      </c>
      <c r="G34" s="9">
        <v>6</v>
      </c>
      <c r="H34" s="9">
        <v>47.2</v>
      </c>
      <c r="I34" s="9">
        <v>0.5</v>
      </c>
      <c r="J34" s="9">
        <v>2.7</v>
      </c>
      <c r="K34" s="9">
        <v>18.8</v>
      </c>
      <c r="L34" s="9">
        <v>0.8</v>
      </c>
      <c r="M34" s="9">
        <v>1.2</v>
      </c>
      <c r="N34" s="9">
        <v>71.400000000000006</v>
      </c>
      <c r="O34" s="9">
        <v>1.2</v>
      </c>
      <c r="P34" s="9">
        <v>5</v>
      </c>
      <c r="Q34" s="9">
        <v>6.2</v>
      </c>
      <c r="R34" s="9">
        <v>0.8</v>
      </c>
      <c r="S34" s="9">
        <v>0.2</v>
      </c>
      <c r="T34" s="9">
        <v>0.3</v>
      </c>
      <c r="U34" s="9">
        <v>1.8</v>
      </c>
      <c r="V34" s="9">
        <v>2.2000000000000002</v>
      </c>
      <c r="W34" s="9">
        <f t="shared" si="1"/>
        <v>2.2999999999999998</v>
      </c>
      <c r="X34" s="9">
        <f t="shared" si="2"/>
        <v>3.3</v>
      </c>
      <c r="Y34" s="9">
        <f t="shared" si="3"/>
        <v>69.696969696969688</v>
      </c>
      <c r="Z34" s="6">
        <f t="shared" si="4"/>
        <v>0.44444444444444448</v>
      </c>
      <c r="AA34" s="9">
        <f t="shared" si="5"/>
        <v>58.976715686274503</v>
      </c>
      <c r="AB34" s="6">
        <f t="shared" si="6"/>
        <v>1.1795343137254901</v>
      </c>
      <c r="AC34" s="6">
        <f t="shared" si="7"/>
        <v>0.92459173871277611</v>
      </c>
      <c r="AD34" s="9">
        <f t="shared" si="8"/>
        <v>50.833333333333336</v>
      </c>
      <c r="AE34" s="4">
        <f>100*(AA34/TOTAL_BASIC!$C$81)</f>
        <v>101.83633608418896</v>
      </c>
      <c r="AF34" s="4">
        <f>100*AC34/TOTAL_BASIC!$C$82</f>
        <v>89.805560387359165</v>
      </c>
      <c r="AG34" s="4">
        <f>100*N34/TOTAL_BASIC!$C$87</f>
        <v>92.658252427184479</v>
      </c>
      <c r="AH34" s="4">
        <f>100*AD34/TOTAL_BASIC!$C$86</f>
        <v>97.723824786324798</v>
      </c>
      <c r="AI34" s="3">
        <f t="shared" si="9"/>
        <v>0.13636363636363635</v>
      </c>
      <c r="AL34" s="4">
        <f>(PERCENTRANK(D$3:D$78,D34))*100</f>
        <v>36.9</v>
      </c>
      <c r="AM34" s="4">
        <f>(PERCENTRANK(E$3:E$78,E34))*100</f>
        <v>32.6</v>
      </c>
      <c r="AN34" s="4">
        <f>(PERCENTRANK(F$3:F$78,F34))*100</f>
        <v>32.6</v>
      </c>
      <c r="AO34" s="4">
        <f>(PERCENTRANK(G$3:G$78,G34))*100</f>
        <v>19.5</v>
      </c>
      <c r="AP34" s="4">
        <f>(PERCENTRANK(H$3:H$78,H34))*100</f>
        <v>54.300000000000004</v>
      </c>
      <c r="AQ34" s="4">
        <f>(PERCENTRANK(I$3:I$78,I34))*100</f>
        <v>34.699999999999996</v>
      </c>
      <c r="AR34" s="4">
        <f>(PERCENTRANK(J$3:J$78,J34))*100</f>
        <v>45.6</v>
      </c>
      <c r="AS34" s="4">
        <f>(PERCENTRANK(K$3:K$78,K34))*100</f>
        <v>28.199999999999996</v>
      </c>
      <c r="AT34" s="4">
        <f t="shared" si="11"/>
        <v>39.1</v>
      </c>
      <c r="AU34" s="4">
        <f t="shared" si="11"/>
        <v>47.8</v>
      </c>
      <c r="AV34" s="4">
        <f t="shared" si="11"/>
        <v>39.1</v>
      </c>
      <c r="AW34" s="4">
        <f t="shared" si="11"/>
        <v>67.300000000000011</v>
      </c>
      <c r="AX34" s="4">
        <f t="shared" si="11"/>
        <v>73.900000000000006</v>
      </c>
      <c r="AY34" s="4">
        <f t="shared" si="11"/>
        <v>73.900000000000006</v>
      </c>
      <c r="AZ34" s="4">
        <f t="shared" si="11"/>
        <v>23.9</v>
      </c>
      <c r="BA34" s="4">
        <f t="shared" si="10"/>
        <v>10.8</v>
      </c>
      <c r="BB34" s="4">
        <f>(PERCENTRANK(T$3:T$78,T34))*100</f>
        <v>39.1</v>
      </c>
      <c r="BC34" s="4">
        <f>100-(PERCENTRANK(U$3:U$78,U34))*100</f>
        <v>19.599999999999994</v>
      </c>
      <c r="BD34" s="4">
        <f>100-(PERCENTRANK(V$3:V$78,V34))*100</f>
        <v>63.1</v>
      </c>
      <c r="BE34" s="4">
        <f>(PERCENTRANK(W$3:W$78,W34))*100</f>
        <v>28.199999999999996</v>
      </c>
      <c r="BF34" s="4">
        <f>(PERCENTRANK(X$3:X$78,X34))*100</f>
        <v>13</v>
      </c>
      <c r="BG34" s="4">
        <f t="shared" si="12"/>
        <v>95.6</v>
      </c>
      <c r="BH34" s="4">
        <f>(PERCENTRANK(Z$3:Z$78,Z34))*100</f>
        <v>13.3</v>
      </c>
      <c r="BI34" s="4">
        <f>(PERCENTRANK(AA$3:AA$78,AA34))*100</f>
        <v>58.599999999999994</v>
      </c>
      <c r="BJ34" s="4">
        <f>(PERCENTRANK(AB$3:AB$78,AB34))*100</f>
        <v>58.599999999999994</v>
      </c>
      <c r="BK34" s="4">
        <f>(PERCENTRANK(AC$3:AC$78,AC34))*100</f>
        <v>30.4</v>
      </c>
      <c r="BL34" s="4">
        <f>(PERCENTRANK(AD$3:AD$78,AD34))*100</f>
        <v>47.8</v>
      </c>
      <c r="BM34" s="4">
        <f t="shared" si="0"/>
        <v>50</v>
      </c>
    </row>
    <row r="35" spans="1:65" x14ac:dyDescent="0.25">
      <c r="A35" s="2">
        <v>33</v>
      </c>
      <c r="B35" s="5" t="s">
        <v>68</v>
      </c>
      <c r="C35" s="2">
        <v>7</v>
      </c>
      <c r="D35" s="9">
        <v>10</v>
      </c>
      <c r="E35" s="9">
        <v>7.6</v>
      </c>
      <c r="F35" s="9">
        <v>2.7</v>
      </c>
      <c r="G35" s="9">
        <v>7</v>
      </c>
      <c r="H35" s="9">
        <v>38.799999999999997</v>
      </c>
      <c r="I35" s="9">
        <v>1.1000000000000001</v>
      </c>
      <c r="J35" s="9">
        <v>3.1</v>
      </c>
      <c r="K35" s="9">
        <v>36.4</v>
      </c>
      <c r="L35" s="9">
        <v>0.6</v>
      </c>
      <c r="M35" s="9">
        <v>0.7</v>
      </c>
      <c r="N35" s="9">
        <v>80</v>
      </c>
      <c r="O35" s="9">
        <v>0.9</v>
      </c>
      <c r="P35" s="9">
        <v>2.6</v>
      </c>
      <c r="Q35" s="9">
        <v>3.4</v>
      </c>
      <c r="R35" s="9">
        <v>3</v>
      </c>
      <c r="S35" s="9">
        <v>0.4</v>
      </c>
      <c r="T35" s="9">
        <v>0</v>
      </c>
      <c r="U35" s="9">
        <v>0.7</v>
      </c>
      <c r="V35" s="9">
        <v>1.6</v>
      </c>
      <c r="W35" s="9">
        <f t="shared" si="1"/>
        <v>1.6</v>
      </c>
      <c r="X35" s="9">
        <f t="shared" si="2"/>
        <v>3.9</v>
      </c>
      <c r="Y35" s="9">
        <f t="shared" si="3"/>
        <v>41.025641025641029</v>
      </c>
      <c r="Z35" s="6">
        <f t="shared" si="4"/>
        <v>4.2857142857142856</v>
      </c>
      <c r="AA35" s="9">
        <f t="shared" si="5"/>
        <v>51.997810618500274</v>
      </c>
      <c r="AB35" s="6">
        <f t="shared" si="6"/>
        <v>1.0399562123700055</v>
      </c>
      <c r="AC35" s="6">
        <f t="shared" si="7"/>
        <v>0.94905094905094911</v>
      </c>
      <c r="AD35" s="9">
        <f t="shared" si="8"/>
        <v>46.428571428571431</v>
      </c>
      <c r="AE35" s="4">
        <f>100*(AA35/TOTAL_BASIC!$C$81)</f>
        <v>89.785713839266194</v>
      </c>
      <c r="AF35" s="4">
        <f>100*AC35/TOTAL_BASIC!$C$82</f>
        <v>92.18128255648648</v>
      </c>
      <c r="AG35" s="4">
        <f>100*N35/TOTAL_BASIC!$C$87</f>
        <v>103.81877022653723</v>
      </c>
      <c r="AH35" s="4">
        <f>100*AD35/TOTAL_BASIC!$C$86</f>
        <v>89.255952380952394</v>
      </c>
      <c r="AI35" s="3">
        <f t="shared" si="9"/>
        <v>0</v>
      </c>
      <c r="AL35" s="4">
        <f>(PERCENTRANK(D$3:D$78,D35))*100</f>
        <v>28.199999999999996</v>
      </c>
      <c r="AM35" s="4">
        <f>(PERCENTRANK(E$3:E$78,E35))*100</f>
        <v>30.4</v>
      </c>
      <c r="AN35" s="4">
        <f>(PERCENTRANK(F$3:F$78,F35))*100</f>
        <v>28.199999999999996</v>
      </c>
      <c r="AO35" s="4">
        <f>(PERCENTRANK(G$3:G$78,G35))*100</f>
        <v>30.4</v>
      </c>
      <c r="AP35" s="4">
        <f>(PERCENTRANK(H$3:H$78,H35))*100</f>
        <v>19.5</v>
      </c>
      <c r="AQ35" s="4">
        <f>(PERCENTRANK(I$3:I$78,I35))*100</f>
        <v>71.7</v>
      </c>
      <c r="AR35" s="4">
        <f>(PERCENTRANK(J$3:J$78,J35))*100</f>
        <v>54.300000000000004</v>
      </c>
      <c r="AS35" s="4">
        <f>(PERCENTRANK(K$3:K$78,K35))*100</f>
        <v>69.5</v>
      </c>
      <c r="AT35" s="4">
        <f t="shared" si="11"/>
        <v>30.4</v>
      </c>
      <c r="AU35" s="4">
        <f t="shared" si="11"/>
        <v>21.7</v>
      </c>
      <c r="AV35" s="4">
        <f t="shared" si="11"/>
        <v>54.300000000000004</v>
      </c>
      <c r="AW35" s="4">
        <f t="shared" si="11"/>
        <v>43.4</v>
      </c>
      <c r="AX35" s="4">
        <f t="shared" si="11"/>
        <v>32.6</v>
      </c>
      <c r="AY35" s="4">
        <f t="shared" si="11"/>
        <v>28.199999999999996</v>
      </c>
      <c r="AZ35" s="4">
        <f t="shared" si="11"/>
        <v>71.7</v>
      </c>
      <c r="BA35" s="4">
        <f t="shared" si="10"/>
        <v>34.699999999999996</v>
      </c>
      <c r="BB35" s="4">
        <f>(PERCENTRANK(T$3:T$78,T35))*100</f>
        <v>0</v>
      </c>
      <c r="BC35" s="4">
        <f>100-(PERCENTRANK(U$3:U$78,U35))*100</f>
        <v>84.8</v>
      </c>
      <c r="BD35" s="4">
        <f>100-(PERCENTRANK(V$3:V$78,V35))*100</f>
        <v>93.5</v>
      </c>
      <c r="BE35" s="4">
        <f>(PERCENTRANK(W$3:W$78,W35))*100</f>
        <v>17.299999999999997</v>
      </c>
      <c r="BF35" s="4">
        <f>(PERCENTRANK(X$3:X$78,X35))*100</f>
        <v>26</v>
      </c>
      <c r="BG35" s="4">
        <f t="shared" si="12"/>
        <v>15.2</v>
      </c>
      <c r="BH35" s="4">
        <f>(PERCENTRANK(Z$3:Z$78,Z35))*100</f>
        <v>88.8</v>
      </c>
      <c r="BI35" s="4">
        <f>(PERCENTRANK(AA$3:AA$78,AA35))*100</f>
        <v>36.9</v>
      </c>
      <c r="BJ35" s="4">
        <f>(PERCENTRANK(AB$3:AB$78,AB35))*100</f>
        <v>36.9</v>
      </c>
      <c r="BK35" s="4">
        <f>(PERCENTRANK(AC$3:AC$78,AC35))*100</f>
        <v>39.1</v>
      </c>
      <c r="BL35" s="4">
        <f>(PERCENTRANK(AD$3:AD$78,AD35))*100</f>
        <v>32.6</v>
      </c>
      <c r="BM35" s="4">
        <f t="shared" si="0"/>
        <v>0</v>
      </c>
    </row>
    <row r="36" spans="1:65" x14ac:dyDescent="0.25">
      <c r="A36" s="2">
        <v>34</v>
      </c>
      <c r="B36" s="5" t="s">
        <v>69</v>
      </c>
      <c r="C36" s="2">
        <v>6</v>
      </c>
      <c r="D36" s="9">
        <v>8.6999999999999993</v>
      </c>
      <c r="E36" s="9">
        <v>7.5</v>
      </c>
      <c r="F36" s="9">
        <v>2.2999999999999998</v>
      </c>
      <c r="G36" s="9">
        <v>8</v>
      </c>
      <c r="H36" s="9">
        <v>29.2</v>
      </c>
      <c r="I36" s="9">
        <v>1</v>
      </c>
      <c r="J36" s="9">
        <v>3.3</v>
      </c>
      <c r="K36" s="9">
        <v>30</v>
      </c>
      <c r="L36" s="9">
        <v>1</v>
      </c>
      <c r="M36" s="9">
        <v>1</v>
      </c>
      <c r="N36" s="9">
        <v>100</v>
      </c>
      <c r="O36" s="9">
        <v>0.5</v>
      </c>
      <c r="P36" s="9">
        <v>4</v>
      </c>
      <c r="Q36" s="9">
        <v>4.5</v>
      </c>
      <c r="R36" s="9">
        <v>3.2</v>
      </c>
      <c r="S36" s="9">
        <v>0.7</v>
      </c>
      <c r="T36" s="9">
        <v>0.2</v>
      </c>
      <c r="U36" s="9">
        <v>0.5</v>
      </c>
      <c r="V36" s="9">
        <v>1.8</v>
      </c>
      <c r="W36" s="9">
        <f t="shared" si="1"/>
        <v>1.2999999999999998</v>
      </c>
      <c r="X36" s="9">
        <f t="shared" si="2"/>
        <v>4.7</v>
      </c>
      <c r="Y36" s="9">
        <f t="shared" si="3"/>
        <v>27.659574468085101</v>
      </c>
      <c r="Z36" s="6">
        <f t="shared" si="4"/>
        <v>6.4</v>
      </c>
      <c r="AA36" s="9">
        <f t="shared" si="5"/>
        <v>44.431279620853083</v>
      </c>
      <c r="AB36" s="6">
        <f t="shared" si="6"/>
        <v>0.88862559241706163</v>
      </c>
      <c r="AC36" s="6">
        <f t="shared" si="7"/>
        <v>0.83892617449664431</v>
      </c>
      <c r="AD36" s="9">
        <f t="shared" si="8"/>
        <v>35</v>
      </c>
      <c r="AE36" s="4">
        <f>100*(AA36/TOTAL_BASIC!$C$81)</f>
        <v>76.720425535204853</v>
      </c>
      <c r="AF36" s="4">
        <f>100*AC36/TOTAL_BASIC!$C$82</f>
        <v>81.48486739583447</v>
      </c>
      <c r="AG36" s="4">
        <f>100*N36/TOTAL_BASIC!$C$87</f>
        <v>129.77346278317154</v>
      </c>
      <c r="AH36" s="4">
        <f>100*AD36/TOTAL_BASIC!$C$86</f>
        <v>67.285256410256409</v>
      </c>
      <c r="AI36" s="3">
        <f t="shared" si="9"/>
        <v>0.11111111111111112</v>
      </c>
      <c r="AL36" s="4">
        <f>(PERCENTRANK(D$3:D$78,D36))*100</f>
        <v>19.5</v>
      </c>
      <c r="AM36" s="4">
        <f>(PERCENTRANK(E$3:E$78,E36))*100</f>
        <v>28.199999999999996</v>
      </c>
      <c r="AN36" s="4">
        <f>(PERCENTRANK(F$3:F$78,F36))*100</f>
        <v>17.299999999999997</v>
      </c>
      <c r="AO36" s="4">
        <f>(PERCENTRANK(G$3:G$78,G36))*100</f>
        <v>41.3</v>
      </c>
      <c r="AP36" s="4">
        <f>(PERCENTRANK(H$3:H$78,H36))*100</f>
        <v>4.3</v>
      </c>
      <c r="AQ36" s="4">
        <f>(PERCENTRANK(I$3:I$78,I36))*100</f>
        <v>60.8</v>
      </c>
      <c r="AR36" s="4">
        <f>(PERCENTRANK(J$3:J$78,J36))*100</f>
        <v>63</v>
      </c>
      <c r="AS36" s="4">
        <f>(PERCENTRANK(K$3:K$78,K36))*100</f>
        <v>54.300000000000004</v>
      </c>
      <c r="AT36" s="4">
        <f t="shared" si="11"/>
        <v>47.8</v>
      </c>
      <c r="AU36" s="4">
        <f t="shared" si="11"/>
        <v>41.3</v>
      </c>
      <c r="AV36" s="4">
        <f t="shared" si="11"/>
        <v>84.7</v>
      </c>
      <c r="AW36" s="4">
        <f t="shared" si="11"/>
        <v>13</v>
      </c>
      <c r="AX36" s="4">
        <f t="shared" si="11"/>
        <v>56.499999999999993</v>
      </c>
      <c r="AY36" s="4">
        <f t="shared" si="11"/>
        <v>47.8</v>
      </c>
      <c r="AZ36" s="4">
        <f t="shared" si="11"/>
        <v>76</v>
      </c>
      <c r="BA36" s="4">
        <f t="shared" si="10"/>
        <v>54.300000000000004</v>
      </c>
      <c r="BB36" s="4">
        <f>(PERCENTRANK(T$3:T$78,T36))*100</f>
        <v>32.6</v>
      </c>
      <c r="BC36" s="4">
        <f>100-(PERCENTRANK(U$3:U$78,U36))*100</f>
        <v>93.5</v>
      </c>
      <c r="BD36" s="4">
        <f>100-(PERCENTRANK(V$3:V$78,V36))*100</f>
        <v>82.7</v>
      </c>
      <c r="BE36" s="4">
        <f>(PERCENTRANK(W$3:W$78,W36))*100</f>
        <v>8.6</v>
      </c>
      <c r="BF36" s="4">
        <f>(PERCENTRANK(X$3:X$78,X36))*100</f>
        <v>34.699999999999996</v>
      </c>
      <c r="BG36" s="4">
        <f t="shared" si="12"/>
        <v>2.1</v>
      </c>
      <c r="BH36" s="4">
        <f>(PERCENTRANK(Z$3:Z$78,Z36))*100</f>
        <v>97.7</v>
      </c>
      <c r="BI36" s="4">
        <f>(PERCENTRANK(AA$3:AA$78,AA36))*100</f>
        <v>10.8</v>
      </c>
      <c r="BJ36" s="4">
        <f>(PERCENTRANK(AB$3:AB$78,AB36))*100</f>
        <v>10.8</v>
      </c>
      <c r="BK36" s="4">
        <f>(PERCENTRANK(AC$3:AC$78,AC36))*100</f>
        <v>17.299999999999997</v>
      </c>
      <c r="BL36" s="4">
        <f>(PERCENTRANK(AD$3:AD$78,AD36))*100</f>
        <v>6.5</v>
      </c>
      <c r="BM36" s="4">
        <f t="shared" si="0"/>
        <v>39.1</v>
      </c>
    </row>
    <row r="37" spans="1:65" x14ac:dyDescent="0.25">
      <c r="A37" s="2">
        <v>35</v>
      </c>
      <c r="B37" s="5" t="s">
        <v>70</v>
      </c>
      <c r="C37" s="2">
        <v>6</v>
      </c>
      <c r="D37" s="9">
        <v>5.5</v>
      </c>
      <c r="E37" s="9">
        <v>7.3</v>
      </c>
      <c r="F37" s="9">
        <v>2.7</v>
      </c>
      <c r="G37" s="9">
        <v>4.2</v>
      </c>
      <c r="H37" s="9">
        <v>64</v>
      </c>
      <c r="I37" s="9">
        <v>0</v>
      </c>
      <c r="J37" s="9">
        <v>0.2</v>
      </c>
      <c r="K37" s="9">
        <v>0</v>
      </c>
      <c r="L37" s="9">
        <v>1.2</v>
      </c>
      <c r="M37" s="9">
        <v>1.5</v>
      </c>
      <c r="N37" s="9">
        <v>77.8</v>
      </c>
      <c r="O37" s="9">
        <v>1</v>
      </c>
      <c r="P37" s="9">
        <v>2.2000000000000002</v>
      </c>
      <c r="Q37" s="9">
        <v>3.2</v>
      </c>
      <c r="R37" s="9">
        <v>0</v>
      </c>
      <c r="S37" s="9">
        <v>0</v>
      </c>
      <c r="T37" s="9">
        <v>0.7</v>
      </c>
      <c r="U37" s="9">
        <v>1.2</v>
      </c>
      <c r="V37" s="9">
        <v>2.2000000000000002</v>
      </c>
      <c r="W37" s="9">
        <f t="shared" si="1"/>
        <v>2.7</v>
      </c>
      <c r="X37" s="9">
        <f t="shared" si="2"/>
        <v>4</v>
      </c>
      <c r="Y37" s="9">
        <f t="shared" si="3"/>
        <v>67.5</v>
      </c>
      <c r="Z37" s="6">
        <f t="shared" si="4"/>
        <v>0</v>
      </c>
      <c r="AA37" s="9">
        <f t="shared" si="5"/>
        <v>75.102880658436206</v>
      </c>
      <c r="AB37" s="6">
        <f t="shared" si="6"/>
        <v>1.5020576131687242</v>
      </c>
      <c r="AC37" s="6">
        <f t="shared" si="7"/>
        <v>1.2046204620462044</v>
      </c>
      <c r="AD37" s="9">
        <f t="shared" si="8"/>
        <v>64.285714285714278</v>
      </c>
      <c r="AE37" s="4">
        <f>100*(AA37/TOTAL_BASIC!$C$81)</f>
        <v>129.68172450137286</v>
      </c>
      <c r="AF37" s="4">
        <f>100*AC37/TOTAL_BASIC!$C$82</f>
        <v>117.00473962567544</v>
      </c>
      <c r="AG37" s="4">
        <f>100*N37/TOTAL_BASIC!$C$87</f>
        <v>100.96375404530745</v>
      </c>
      <c r="AH37" s="4">
        <f>100*AD37/TOTAL_BASIC!$C$86</f>
        <v>123.58516483516482</v>
      </c>
      <c r="AI37" s="3">
        <f t="shared" si="9"/>
        <v>0.31818181818181812</v>
      </c>
      <c r="AL37" s="4">
        <f>(PERCENTRANK(D$3:D$78,D37))*100</f>
        <v>2.1</v>
      </c>
      <c r="AM37" s="4">
        <f>(PERCENTRANK(E$3:E$78,E37))*100</f>
        <v>26</v>
      </c>
      <c r="AN37" s="4">
        <f>(PERCENTRANK(F$3:F$78,F37))*100</f>
        <v>28.199999999999996</v>
      </c>
      <c r="AO37" s="4">
        <f>(PERCENTRANK(G$3:G$78,G37))*100</f>
        <v>8.6</v>
      </c>
      <c r="AP37" s="4">
        <f>(PERCENTRANK(H$3:H$78,H37))*100</f>
        <v>97.8</v>
      </c>
      <c r="AQ37" s="4">
        <f>(PERCENTRANK(I$3:I$78,I37))*100</f>
        <v>0</v>
      </c>
      <c r="AR37" s="4">
        <f>(PERCENTRANK(J$3:J$78,J37))*100</f>
        <v>2.1</v>
      </c>
      <c r="AS37" s="4">
        <f>(PERCENTRANK(K$3:K$78,K37))*100</f>
        <v>0</v>
      </c>
      <c r="AT37" s="4">
        <f t="shared" si="11"/>
        <v>58.599999999999994</v>
      </c>
      <c r="AU37" s="4">
        <f t="shared" si="11"/>
        <v>58.599999999999994</v>
      </c>
      <c r="AV37" s="4">
        <f t="shared" si="11"/>
        <v>43.4</v>
      </c>
      <c r="AW37" s="4">
        <f t="shared" si="11"/>
        <v>50</v>
      </c>
      <c r="AX37" s="4">
        <f t="shared" si="11"/>
        <v>15.2</v>
      </c>
      <c r="AY37" s="4">
        <f t="shared" si="11"/>
        <v>21.7</v>
      </c>
      <c r="AZ37" s="4">
        <f t="shared" si="11"/>
        <v>0</v>
      </c>
      <c r="BA37" s="4">
        <f t="shared" si="10"/>
        <v>0</v>
      </c>
      <c r="BB37" s="4">
        <f>(PERCENTRANK(T$3:T$78,T37))*100</f>
        <v>71.7</v>
      </c>
      <c r="BC37" s="4">
        <f>100-(PERCENTRANK(U$3:U$78,U37))*100</f>
        <v>54.4</v>
      </c>
      <c r="BD37" s="4">
        <f>100-(PERCENTRANK(V$3:V$78,V37))*100</f>
        <v>63.1</v>
      </c>
      <c r="BE37" s="4">
        <f>(PERCENTRANK(W$3:W$78,W37))*100</f>
        <v>41.3</v>
      </c>
      <c r="BF37" s="4">
        <f>(PERCENTRANK(X$3:X$78,X37))*100</f>
        <v>28.199999999999996</v>
      </c>
      <c r="BG37" s="4">
        <f t="shared" si="12"/>
        <v>93.4</v>
      </c>
      <c r="BH37" s="4">
        <f>(PERCENTRANK(Z$3:Z$78,Z37))*100</f>
        <v>0</v>
      </c>
      <c r="BI37" s="4">
        <f>(PERCENTRANK(AA$3:AA$78,AA37))*100</f>
        <v>97.8</v>
      </c>
      <c r="BJ37" s="4">
        <f>(PERCENTRANK(AB$3:AB$78,AB37))*100</f>
        <v>97.8</v>
      </c>
      <c r="BK37" s="4">
        <f>(PERCENTRANK(AC$3:AC$78,AC37))*100</f>
        <v>95.6</v>
      </c>
      <c r="BL37" s="4">
        <f>(PERCENTRANK(AD$3:AD$78,AD37))*100</f>
        <v>93.4</v>
      </c>
      <c r="BM37" s="4">
        <f t="shared" si="0"/>
        <v>82.6</v>
      </c>
    </row>
    <row r="38" spans="1:65" x14ac:dyDescent="0.25">
      <c r="A38" s="2">
        <v>36</v>
      </c>
      <c r="B38" s="5" t="s">
        <v>71</v>
      </c>
      <c r="C38" s="2">
        <v>7</v>
      </c>
      <c r="D38" s="9">
        <v>8.1</v>
      </c>
      <c r="E38" s="9">
        <v>6.6</v>
      </c>
      <c r="F38" s="9">
        <v>2.4</v>
      </c>
      <c r="G38" s="9">
        <v>6</v>
      </c>
      <c r="H38" s="9">
        <v>40.5</v>
      </c>
      <c r="I38" s="9">
        <v>0.4</v>
      </c>
      <c r="J38" s="9">
        <v>1.6</v>
      </c>
      <c r="K38" s="9">
        <v>27.3</v>
      </c>
      <c r="L38" s="9">
        <v>0.7</v>
      </c>
      <c r="M38" s="9">
        <v>0.9</v>
      </c>
      <c r="N38" s="9">
        <v>83.3</v>
      </c>
      <c r="O38" s="9">
        <v>0.9</v>
      </c>
      <c r="P38" s="9">
        <v>2.2999999999999998</v>
      </c>
      <c r="Q38" s="9">
        <v>3.1</v>
      </c>
      <c r="R38" s="9">
        <v>1.7</v>
      </c>
      <c r="S38" s="9">
        <v>0.6</v>
      </c>
      <c r="T38" s="9">
        <v>0.1</v>
      </c>
      <c r="U38" s="9">
        <v>0.7</v>
      </c>
      <c r="V38" s="9">
        <v>1.1000000000000001</v>
      </c>
      <c r="W38" s="9">
        <f t="shared" si="1"/>
        <v>2</v>
      </c>
      <c r="X38" s="9">
        <f t="shared" si="2"/>
        <v>4.4000000000000004</v>
      </c>
      <c r="Y38" s="9">
        <f t="shared" si="3"/>
        <v>45.454545454545453</v>
      </c>
      <c r="Z38" s="6">
        <f t="shared" si="4"/>
        <v>2.4285714285714288</v>
      </c>
      <c r="AA38" s="9">
        <f t="shared" si="5"/>
        <v>51.594746716697934</v>
      </c>
      <c r="AB38" s="6">
        <f t="shared" si="6"/>
        <v>1.0318949343339587</v>
      </c>
      <c r="AC38" s="6">
        <f t="shared" si="7"/>
        <v>0.93010146561443063</v>
      </c>
      <c r="AD38" s="9">
        <f t="shared" si="8"/>
        <v>43.333333333333336</v>
      </c>
      <c r="AE38" s="4">
        <f>100*(AA38/TOTAL_BASIC!$C$81)</f>
        <v>89.089734917928936</v>
      </c>
      <c r="AF38" s="4">
        <f>100*AC38/TOTAL_BASIC!$C$82</f>
        <v>90.340719951593712</v>
      </c>
      <c r="AG38" s="4">
        <f>100*N38/TOTAL_BASIC!$C$87</f>
        <v>108.10129449838189</v>
      </c>
      <c r="AH38" s="4">
        <f>100*AD38/TOTAL_BASIC!$C$86</f>
        <v>83.305555555555571</v>
      </c>
      <c r="AI38" s="3">
        <f t="shared" si="9"/>
        <v>9.0909090909090912E-2</v>
      </c>
      <c r="AL38" s="4">
        <f>(PERCENTRANK(D$3:D$78,D38))*100</f>
        <v>15.2</v>
      </c>
      <c r="AM38" s="4">
        <f>(PERCENTRANK(E$3:E$78,E38))*100</f>
        <v>23.9</v>
      </c>
      <c r="AN38" s="4">
        <f>(PERCENTRANK(F$3:F$78,F38))*100</f>
        <v>21.7</v>
      </c>
      <c r="AO38" s="4">
        <f>(PERCENTRANK(G$3:G$78,G38))*100</f>
        <v>19.5</v>
      </c>
      <c r="AP38" s="4">
        <f>(PERCENTRANK(H$3:H$78,H38))*100</f>
        <v>21.7</v>
      </c>
      <c r="AQ38" s="4">
        <f>(PERCENTRANK(I$3:I$78,I38))*100</f>
        <v>30.4</v>
      </c>
      <c r="AR38" s="4">
        <f>(PERCENTRANK(J$3:J$78,J38))*100</f>
        <v>26</v>
      </c>
      <c r="AS38" s="4">
        <f>(PERCENTRANK(K$3:K$78,K38))*100</f>
        <v>43.4</v>
      </c>
      <c r="AT38" s="4">
        <f t="shared" si="11"/>
        <v>34.699999999999996</v>
      </c>
      <c r="AU38" s="4">
        <f t="shared" si="11"/>
        <v>32.6</v>
      </c>
      <c r="AV38" s="4">
        <f t="shared" si="11"/>
        <v>63</v>
      </c>
      <c r="AW38" s="4">
        <f t="shared" si="11"/>
        <v>43.4</v>
      </c>
      <c r="AX38" s="4">
        <f t="shared" si="11"/>
        <v>19.5</v>
      </c>
      <c r="AY38" s="4">
        <f t="shared" si="11"/>
        <v>19.5</v>
      </c>
      <c r="AZ38" s="4">
        <f t="shared" si="11"/>
        <v>45.6</v>
      </c>
      <c r="BA38" s="4">
        <f t="shared" si="10"/>
        <v>52.1</v>
      </c>
      <c r="BB38" s="4">
        <f>(PERCENTRANK(T$3:T$78,T38))*100</f>
        <v>21.7</v>
      </c>
      <c r="BC38" s="4">
        <f>100-(PERCENTRANK(U$3:U$78,U38))*100</f>
        <v>84.8</v>
      </c>
      <c r="BD38" s="4">
        <f>100-(PERCENTRANK(V$3:V$78,V38))*100</f>
        <v>100</v>
      </c>
      <c r="BE38" s="4">
        <f>(PERCENTRANK(W$3:W$78,W38))*100</f>
        <v>23.9</v>
      </c>
      <c r="BF38" s="4">
        <f>(PERCENTRANK(X$3:X$78,X38))*100</f>
        <v>32.6</v>
      </c>
      <c r="BG38" s="4">
        <f t="shared" si="12"/>
        <v>21.7</v>
      </c>
      <c r="BH38" s="4">
        <f>(PERCENTRANK(Z$3:Z$78,Z38))*100</f>
        <v>71.099999999999994</v>
      </c>
      <c r="BI38" s="4">
        <f>(PERCENTRANK(AA$3:AA$78,AA38))*100</f>
        <v>30.4</v>
      </c>
      <c r="BJ38" s="4">
        <f>(PERCENTRANK(AB$3:AB$78,AB38))*100</f>
        <v>30.4</v>
      </c>
      <c r="BK38" s="4">
        <f>(PERCENTRANK(AC$3:AC$78,AC38))*100</f>
        <v>34.699999999999996</v>
      </c>
      <c r="BL38" s="4">
        <f>(PERCENTRANK(AD$3:AD$78,AD38))*100</f>
        <v>17.299999999999997</v>
      </c>
      <c r="BM38" s="4">
        <f t="shared" si="0"/>
        <v>32.6</v>
      </c>
    </row>
    <row r="39" spans="1:65" x14ac:dyDescent="0.25">
      <c r="A39" s="2">
        <v>37</v>
      </c>
      <c r="B39" s="5" t="s">
        <v>72</v>
      </c>
      <c r="C39" s="2">
        <v>6</v>
      </c>
      <c r="D39" s="9">
        <v>9</v>
      </c>
      <c r="E39" s="9">
        <v>6</v>
      </c>
      <c r="F39" s="9">
        <v>2.5</v>
      </c>
      <c r="G39" s="9">
        <v>5.8</v>
      </c>
      <c r="H39" s="9">
        <v>42.9</v>
      </c>
      <c r="I39" s="9">
        <v>0.2</v>
      </c>
      <c r="J39" s="9">
        <v>2.2000000000000002</v>
      </c>
      <c r="K39" s="9">
        <v>7.7</v>
      </c>
      <c r="L39" s="9">
        <v>0.3</v>
      </c>
      <c r="M39" s="9">
        <v>0.7</v>
      </c>
      <c r="N39" s="9">
        <v>50</v>
      </c>
      <c r="O39" s="9">
        <v>1</v>
      </c>
      <c r="P39" s="9">
        <v>3</v>
      </c>
      <c r="Q39" s="9">
        <v>4</v>
      </c>
      <c r="R39" s="9">
        <v>0.7</v>
      </c>
      <c r="S39" s="9">
        <v>0.2</v>
      </c>
      <c r="T39" s="9">
        <v>0.2</v>
      </c>
      <c r="U39" s="9">
        <v>1</v>
      </c>
      <c r="V39" s="9">
        <v>2</v>
      </c>
      <c r="W39" s="9">
        <f t="shared" si="1"/>
        <v>2.2999999999999998</v>
      </c>
      <c r="X39" s="9">
        <f t="shared" si="2"/>
        <v>3.5999999999999996</v>
      </c>
      <c r="Y39" s="9">
        <f t="shared" si="3"/>
        <v>63.888888888888893</v>
      </c>
      <c r="Z39" s="6">
        <f t="shared" si="4"/>
        <v>0.7</v>
      </c>
      <c r="AA39" s="9">
        <f t="shared" si="5"/>
        <v>49.115913555992144</v>
      </c>
      <c r="AB39" s="6">
        <f t="shared" si="6"/>
        <v>0.98231827111984282</v>
      </c>
      <c r="AC39" s="6">
        <f t="shared" si="7"/>
        <v>0.84411930219471021</v>
      </c>
      <c r="AD39" s="9">
        <f t="shared" si="8"/>
        <v>44.827586206896555</v>
      </c>
      <c r="AE39" s="4">
        <f>100*(AA39/TOTAL_BASIC!$C$81)</f>
        <v>84.80948153465998</v>
      </c>
      <c r="AF39" s="4">
        <f>100*AC39/TOTAL_BASIC!$C$82</f>
        <v>81.989275691475541</v>
      </c>
      <c r="AG39" s="4">
        <f>100*N39/TOTAL_BASIC!$C$87</f>
        <v>64.886731391585769</v>
      </c>
      <c r="AH39" s="4">
        <f>100*AD39/TOTAL_BASIC!$C$86</f>
        <v>86.178160919540247</v>
      </c>
      <c r="AI39" s="3">
        <f t="shared" si="9"/>
        <v>0.1</v>
      </c>
      <c r="AL39" s="4">
        <f>(PERCENTRANK(D$3:D$78,D39))*100</f>
        <v>26</v>
      </c>
      <c r="AM39" s="4">
        <f>(PERCENTRANK(E$3:E$78,E39))*100</f>
        <v>21.7</v>
      </c>
      <c r="AN39" s="4">
        <f>(PERCENTRANK(F$3:F$78,F39))*100</f>
        <v>23.9</v>
      </c>
      <c r="AO39" s="4">
        <f>(PERCENTRANK(G$3:G$78,G39))*100</f>
        <v>17.299999999999997</v>
      </c>
      <c r="AP39" s="4">
        <f>(PERCENTRANK(H$3:H$78,H39))*100</f>
        <v>34.699999999999996</v>
      </c>
      <c r="AQ39" s="4">
        <f>(PERCENTRANK(I$3:I$78,I39))*100</f>
        <v>17.299999999999997</v>
      </c>
      <c r="AR39" s="4">
        <f>(PERCENTRANK(J$3:J$78,J39))*100</f>
        <v>39.1</v>
      </c>
      <c r="AS39" s="4">
        <f>(PERCENTRANK(K$3:K$78,K39))*100</f>
        <v>15.2</v>
      </c>
      <c r="AT39" s="4">
        <f t="shared" si="11"/>
        <v>15.2</v>
      </c>
      <c r="AU39" s="4">
        <f t="shared" si="11"/>
        <v>21.7</v>
      </c>
      <c r="AV39" s="4">
        <f t="shared" si="11"/>
        <v>15.2</v>
      </c>
      <c r="AW39" s="4">
        <f t="shared" si="11"/>
        <v>50</v>
      </c>
      <c r="AX39" s="4">
        <f t="shared" si="11"/>
        <v>41.3</v>
      </c>
      <c r="AY39" s="4">
        <f t="shared" si="11"/>
        <v>41.3</v>
      </c>
      <c r="AZ39" s="4">
        <f t="shared" si="11"/>
        <v>21.7</v>
      </c>
      <c r="BA39" s="4">
        <f t="shared" si="10"/>
        <v>10.8</v>
      </c>
      <c r="BB39" s="4">
        <f>(PERCENTRANK(T$3:T$78,T39))*100</f>
        <v>32.6</v>
      </c>
      <c r="BC39" s="4">
        <f>100-(PERCENTRANK(U$3:U$78,U39))*100</f>
        <v>65.300000000000011</v>
      </c>
      <c r="BD39" s="4">
        <f>100-(PERCENTRANK(V$3:V$78,V39))*100</f>
        <v>74</v>
      </c>
      <c r="BE39" s="4">
        <f>(PERCENTRANK(W$3:W$78,W39))*100</f>
        <v>28.199999999999996</v>
      </c>
      <c r="BF39" s="4">
        <f>(PERCENTRANK(X$3:X$78,X39))*100</f>
        <v>21.7</v>
      </c>
      <c r="BG39" s="4">
        <f t="shared" si="12"/>
        <v>89.1</v>
      </c>
      <c r="BH39" s="4">
        <f>(PERCENTRANK(Z$3:Z$78,Z39))*100</f>
        <v>26.6</v>
      </c>
      <c r="BI39" s="4">
        <f>(PERCENTRANK(AA$3:AA$78,AA39))*100</f>
        <v>19.5</v>
      </c>
      <c r="BJ39" s="4">
        <f>(PERCENTRANK(AB$3:AB$78,AB39))*100</f>
        <v>19.5</v>
      </c>
      <c r="BK39" s="4">
        <f>(PERCENTRANK(AC$3:AC$78,AC39))*100</f>
        <v>19.5</v>
      </c>
      <c r="BL39" s="4">
        <f>(PERCENTRANK(AD$3:AD$78,AD39))*100</f>
        <v>21.7</v>
      </c>
      <c r="BM39" s="4">
        <f t="shared" si="0"/>
        <v>34.699999999999996</v>
      </c>
    </row>
    <row r="40" spans="1:65" x14ac:dyDescent="0.25">
      <c r="A40" s="2">
        <v>38</v>
      </c>
      <c r="B40" s="5" t="s">
        <v>73</v>
      </c>
      <c r="C40" s="2">
        <v>6</v>
      </c>
      <c r="D40" s="9">
        <v>8.8000000000000007</v>
      </c>
      <c r="E40" s="9">
        <v>5.7</v>
      </c>
      <c r="F40" s="9">
        <v>2.5</v>
      </c>
      <c r="G40" s="9">
        <v>7.3</v>
      </c>
      <c r="H40" s="9">
        <v>34.1</v>
      </c>
      <c r="I40" s="9">
        <v>0.3</v>
      </c>
      <c r="J40" s="9">
        <v>2</v>
      </c>
      <c r="K40" s="9">
        <v>16.7</v>
      </c>
      <c r="L40" s="9">
        <v>0.2</v>
      </c>
      <c r="M40" s="9">
        <v>0.5</v>
      </c>
      <c r="N40" s="9">
        <v>33.299999999999997</v>
      </c>
      <c r="O40" s="9">
        <v>0.3</v>
      </c>
      <c r="P40" s="9">
        <v>2.8</v>
      </c>
      <c r="Q40" s="9">
        <v>3.2</v>
      </c>
      <c r="R40" s="9">
        <v>0.8</v>
      </c>
      <c r="S40" s="9">
        <v>0.8</v>
      </c>
      <c r="T40" s="9">
        <v>1.7</v>
      </c>
      <c r="U40" s="9">
        <v>1.2</v>
      </c>
      <c r="V40" s="9">
        <v>1.2</v>
      </c>
      <c r="W40" s="9">
        <f t="shared" si="1"/>
        <v>2.2000000000000002</v>
      </c>
      <c r="X40" s="9">
        <f t="shared" si="2"/>
        <v>5.3</v>
      </c>
      <c r="Y40" s="9">
        <f t="shared" si="3"/>
        <v>41.509433962264161</v>
      </c>
      <c r="Z40" s="6">
        <f t="shared" si="4"/>
        <v>0.66666666666666674</v>
      </c>
      <c r="AA40" s="9">
        <f t="shared" si="5"/>
        <v>37.898936170212771</v>
      </c>
      <c r="AB40" s="6">
        <f t="shared" si="6"/>
        <v>0.75797872340425543</v>
      </c>
      <c r="AC40" s="6">
        <f t="shared" si="7"/>
        <v>0.65366972477064234</v>
      </c>
      <c r="AD40" s="9">
        <f t="shared" si="8"/>
        <v>36.301369863013697</v>
      </c>
      <c r="AE40" s="4">
        <f>100*(AA40/TOTAL_BASIC!$C$81)</f>
        <v>65.440890632050269</v>
      </c>
      <c r="AF40" s="4">
        <f>100*AC40/TOTAL_BASIC!$C$82</f>
        <v>63.490915485580032</v>
      </c>
      <c r="AG40" s="4">
        <f>100*N40/TOTAL_BASIC!$C$87</f>
        <v>43.214563106796113</v>
      </c>
      <c r="AH40" s="4">
        <f>100*AD40/TOTAL_BASIC!$C$86</f>
        <v>69.787056550755182</v>
      </c>
      <c r="AI40" s="3">
        <f t="shared" si="9"/>
        <v>1.4166666666666667</v>
      </c>
      <c r="AL40" s="4">
        <f>(PERCENTRANK(D$3:D$78,D40))*100</f>
        <v>23.9</v>
      </c>
      <c r="AM40" s="4">
        <f>(PERCENTRANK(E$3:E$78,E40))*100</f>
        <v>17.299999999999997</v>
      </c>
      <c r="AN40" s="4">
        <f>(PERCENTRANK(F$3:F$78,F40))*100</f>
        <v>23.9</v>
      </c>
      <c r="AO40" s="4">
        <f>(PERCENTRANK(G$3:G$78,G40))*100</f>
        <v>34.699999999999996</v>
      </c>
      <c r="AP40" s="4">
        <f>(PERCENTRANK(H$3:H$78,H40))*100</f>
        <v>10.8</v>
      </c>
      <c r="AQ40" s="4">
        <f>(PERCENTRANK(I$3:I$78,I40))*100</f>
        <v>21.7</v>
      </c>
      <c r="AR40" s="4">
        <f>(PERCENTRANK(J$3:J$78,J40))*100</f>
        <v>36.9</v>
      </c>
      <c r="AS40" s="4">
        <f>(PERCENTRANK(K$3:K$78,K40))*100</f>
        <v>21.7</v>
      </c>
      <c r="AT40" s="4">
        <f t="shared" si="11"/>
        <v>6.5</v>
      </c>
      <c r="AU40" s="4">
        <f t="shared" si="11"/>
        <v>15.2</v>
      </c>
      <c r="AV40" s="4">
        <f t="shared" si="11"/>
        <v>8.6</v>
      </c>
      <c r="AW40" s="4">
        <f t="shared" si="11"/>
        <v>8.6</v>
      </c>
      <c r="AX40" s="4">
        <f t="shared" si="11"/>
        <v>36.9</v>
      </c>
      <c r="AY40" s="4">
        <f t="shared" si="11"/>
        <v>21.7</v>
      </c>
      <c r="AZ40" s="4">
        <f t="shared" si="11"/>
        <v>23.9</v>
      </c>
      <c r="BA40" s="4">
        <f t="shared" si="10"/>
        <v>63</v>
      </c>
      <c r="BB40" s="4">
        <f>(PERCENTRANK(T$3:T$78,T40))*100</f>
        <v>97.8</v>
      </c>
      <c r="BC40" s="4">
        <f>100-(PERCENTRANK(U$3:U$78,U40))*100</f>
        <v>54.4</v>
      </c>
      <c r="BD40" s="4">
        <f>100-(PERCENTRANK(V$3:V$78,V40))*100</f>
        <v>97.9</v>
      </c>
      <c r="BE40" s="4">
        <f>(PERCENTRANK(W$3:W$78,W40))*100</f>
        <v>26</v>
      </c>
      <c r="BF40" s="4">
        <f>(PERCENTRANK(X$3:X$78,X40))*100</f>
        <v>43.4</v>
      </c>
      <c r="BG40" s="4">
        <f t="shared" si="12"/>
        <v>17.299999999999997</v>
      </c>
      <c r="BH40" s="4">
        <f>(PERCENTRANK(Z$3:Z$78,Z40))*100</f>
        <v>24.4</v>
      </c>
      <c r="BI40" s="4">
        <f>(PERCENTRANK(AA$3:AA$78,AA40))*100</f>
        <v>4.3</v>
      </c>
      <c r="BJ40" s="4">
        <f>(PERCENTRANK(AB$3:AB$78,AB40))*100</f>
        <v>4.3</v>
      </c>
      <c r="BK40" s="4">
        <f>(PERCENTRANK(AC$3:AC$78,AC40))*100</f>
        <v>4.3</v>
      </c>
      <c r="BL40" s="4">
        <f>(PERCENTRANK(AD$3:AD$78,AD40))*100</f>
        <v>10.8</v>
      </c>
      <c r="BM40" s="4">
        <f t="shared" si="0"/>
        <v>100</v>
      </c>
    </row>
    <row r="41" spans="1:65" x14ac:dyDescent="0.25">
      <c r="A41" s="2">
        <v>39</v>
      </c>
      <c r="B41" s="5" t="s">
        <v>74</v>
      </c>
      <c r="C41" s="2">
        <v>6</v>
      </c>
      <c r="D41" s="9">
        <v>10.8</v>
      </c>
      <c r="E41" s="9">
        <v>5.7</v>
      </c>
      <c r="F41" s="9">
        <v>2</v>
      </c>
      <c r="G41" s="9">
        <v>6.5</v>
      </c>
      <c r="H41" s="9">
        <v>30.8</v>
      </c>
      <c r="I41" s="9">
        <v>0.7</v>
      </c>
      <c r="J41" s="9">
        <v>3.2</v>
      </c>
      <c r="K41" s="9">
        <v>21.1</v>
      </c>
      <c r="L41" s="9">
        <v>0.5</v>
      </c>
      <c r="M41" s="9">
        <v>0.5</v>
      </c>
      <c r="N41" s="9">
        <v>100</v>
      </c>
      <c r="O41" s="9">
        <v>1.5</v>
      </c>
      <c r="P41" s="9">
        <v>2.5</v>
      </c>
      <c r="Q41" s="9">
        <v>4</v>
      </c>
      <c r="R41" s="9">
        <v>0.8</v>
      </c>
      <c r="S41" s="9">
        <v>1.8</v>
      </c>
      <c r="T41" s="9">
        <v>0.3</v>
      </c>
      <c r="U41" s="9">
        <v>0.7</v>
      </c>
      <c r="V41" s="9">
        <v>2</v>
      </c>
      <c r="W41" s="9">
        <f t="shared" si="1"/>
        <v>1.3</v>
      </c>
      <c r="X41" s="9">
        <f t="shared" si="2"/>
        <v>3.3</v>
      </c>
      <c r="Y41" s="9">
        <f t="shared" si="3"/>
        <v>39.393939393939398</v>
      </c>
      <c r="Z41" s="6">
        <f t="shared" si="4"/>
        <v>1.142857142857143</v>
      </c>
      <c r="AA41" s="9">
        <f t="shared" si="5"/>
        <v>42.410714285714285</v>
      </c>
      <c r="AB41" s="6">
        <f t="shared" si="6"/>
        <v>0.8482142857142857</v>
      </c>
      <c r="AC41" s="6">
        <f t="shared" si="7"/>
        <v>0.7681940700808626</v>
      </c>
      <c r="AD41" s="9">
        <f t="shared" si="8"/>
        <v>36.153846153846153</v>
      </c>
      <c r="AE41" s="4">
        <f>100*(AA41/TOTAL_BASIC!$C$81)</f>
        <v>73.231472850151476</v>
      </c>
      <c r="AF41" s="4">
        <f>100*AC41/TOTAL_BASIC!$C$82</f>
        <v>74.614660786288113</v>
      </c>
      <c r="AG41" s="4">
        <f>100*N41/TOTAL_BASIC!$C$87</f>
        <v>129.77346278317154</v>
      </c>
      <c r="AH41" s="4">
        <f>100*AD41/TOTAL_BASIC!$C$86</f>
        <v>69.503451676528599</v>
      </c>
      <c r="AI41" s="3">
        <f t="shared" si="9"/>
        <v>0.15</v>
      </c>
      <c r="AL41" s="4">
        <f>(PERCENTRANK(D$3:D$78,D41))*100</f>
        <v>34.699999999999996</v>
      </c>
      <c r="AM41" s="4">
        <f>(PERCENTRANK(E$3:E$78,E41))*100</f>
        <v>17.299999999999997</v>
      </c>
      <c r="AN41" s="4">
        <f>(PERCENTRANK(F$3:F$78,F41))*100</f>
        <v>10.8</v>
      </c>
      <c r="AO41" s="4">
        <f>(PERCENTRANK(G$3:G$78,G41))*100</f>
        <v>26</v>
      </c>
      <c r="AP41" s="4">
        <f>(PERCENTRANK(H$3:H$78,H41))*100</f>
        <v>8.6</v>
      </c>
      <c r="AQ41" s="4">
        <f>(PERCENTRANK(I$3:I$78,I41))*100</f>
        <v>41.3</v>
      </c>
      <c r="AR41" s="4">
        <f>(PERCENTRANK(J$3:J$78,J41))*100</f>
        <v>58.599999999999994</v>
      </c>
      <c r="AS41" s="4">
        <f>(PERCENTRANK(K$3:K$78,K41))*100</f>
        <v>30.4</v>
      </c>
      <c r="AT41" s="4">
        <f t="shared" si="11"/>
        <v>26</v>
      </c>
      <c r="AU41" s="4">
        <f t="shared" si="11"/>
        <v>15.2</v>
      </c>
      <c r="AV41" s="4">
        <f t="shared" si="11"/>
        <v>84.7</v>
      </c>
      <c r="AW41" s="4">
        <f t="shared" si="11"/>
        <v>78.2</v>
      </c>
      <c r="AX41" s="4">
        <f t="shared" si="11"/>
        <v>28.199999999999996</v>
      </c>
      <c r="AY41" s="4">
        <f t="shared" si="11"/>
        <v>41.3</v>
      </c>
      <c r="AZ41" s="4">
        <f t="shared" si="11"/>
        <v>23.9</v>
      </c>
      <c r="BA41" s="4">
        <f t="shared" si="10"/>
        <v>95.6</v>
      </c>
      <c r="BB41" s="4">
        <f>(PERCENTRANK(T$3:T$78,T41))*100</f>
        <v>39.1</v>
      </c>
      <c r="BC41" s="4">
        <f>100-(PERCENTRANK(U$3:U$78,U41))*100</f>
        <v>84.8</v>
      </c>
      <c r="BD41" s="4">
        <f>100-(PERCENTRANK(V$3:V$78,V41))*100</f>
        <v>74</v>
      </c>
      <c r="BE41" s="4">
        <f>(PERCENTRANK(W$3:W$78,W41))*100</f>
        <v>10.8</v>
      </c>
      <c r="BF41" s="4">
        <f>(PERCENTRANK(X$3:X$78,X41))*100</f>
        <v>13</v>
      </c>
      <c r="BG41" s="4">
        <f t="shared" si="12"/>
        <v>10.8</v>
      </c>
      <c r="BH41" s="4">
        <f>(PERCENTRANK(Z$3:Z$78,Z41))*100</f>
        <v>40</v>
      </c>
      <c r="BI41" s="4">
        <f>(PERCENTRANK(AA$3:AA$78,AA41))*100</f>
        <v>8.6</v>
      </c>
      <c r="BJ41" s="4">
        <f>(PERCENTRANK(AB$3:AB$78,AB41))*100</f>
        <v>8.6</v>
      </c>
      <c r="BK41" s="4">
        <f>(PERCENTRANK(AC$3:AC$78,AC41))*100</f>
        <v>10.8</v>
      </c>
      <c r="BL41" s="4">
        <f>(PERCENTRANK(AD$3:AD$78,AD41))*100</f>
        <v>8.6</v>
      </c>
      <c r="BM41" s="4">
        <f t="shared" si="0"/>
        <v>52.1</v>
      </c>
    </row>
    <row r="42" spans="1:65" x14ac:dyDescent="0.25">
      <c r="A42" s="2">
        <v>40</v>
      </c>
      <c r="B42" s="5" t="s">
        <v>75</v>
      </c>
      <c r="C42" s="2">
        <v>6</v>
      </c>
      <c r="D42" s="9">
        <v>13.2</v>
      </c>
      <c r="E42" s="9">
        <v>5.5</v>
      </c>
      <c r="F42" s="9">
        <v>2.2000000000000002</v>
      </c>
      <c r="G42" s="9">
        <v>6</v>
      </c>
      <c r="H42" s="9">
        <v>36.1</v>
      </c>
      <c r="I42" s="9">
        <v>1.2</v>
      </c>
      <c r="J42" s="9">
        <v>3.2</v>
      </c>
      <c r="K42" s="9">
        <v>36.799999999999997</v>
      </c>
      <c r="L42" s="9">
        <v>0</v>
      </c>
      <c r="M42" s="9">
        <v>0</v>
      </c>
      <c r="N42" s="9">
        <v>0</v>
      </c>
      <c r="O42" s="9">
        <v>0.7</v>
      </c>
      <c r="P42" s="9">
        <v>2.2999999999999998</v>
      </c>
      <c r="Q42" s="9">
        <v>3</v>
      </c>
      <c r="R42" s="9">
        <v>1.3</v>
      </c>
      <c r="S42" s="9">
        <v>0.3</v>
      </c>
      <c r="T42" s="9">
        <v>1.3</v>
      </c>
      <c r="U42" s="9">
        <v>2</v>
      </c>
      <c r="V42" s="9">
        <v>3.7</v>
      </c>
      <c r="W42" s="9">
        <f t="shared" si="1"/>
        <v>1.0000000000000002</v>
      </c>
      <c r="X42" s="9">
        <f t="shared" si="2"/>
        <v>2.8</v>
      </c>
      <c r="Y42" s="9">
        <f t="shared" si="3"/>
        <v>35.71428571428573</v>
      </c>
      <c r="Z42" s="6">
        <f t="shared" si="4"/>
        <v>0.65</v>
      </c>
      <c r="AA42" s="9">
        <f t="shared" si="5"/>
        <v>45.833333333333336</v>
      </c>
      <c r="AB42" s="6">
        <f t="shared" si="6"/>
        <v>0.91666666666666674</v>
      </c>
      <c r="AC42" s="6">
        <f t="shared" si="7"/>
        <v>0.6875</v>
      </c>
      <c r="AD42" s="9">
        <f t="shared" si="8"/>
        <v>46.666666666666664</v>
      </c>
      <c r="AE42" s="4">
        <f>100*(AA42/TOTAL_BASIC!$C$81)</f>
        <v>79.14138118542688</v>
      </c>
      <c r="AF42" s="4">
        <f>100*AC42/TOTAL_BASIC!$C$82</f>
        <v>66.776848830886351</v>
      </c>
      <c r="AG42" s="4">
        <f>100*N42/TOTAL_BASIC!$C$87</f>
        <v>0</v>
      </c>
      <c r="AH42" s="4">
        <f>100*AD42/TOTAL_BASIC!$C$86</f>
        <v>89.713675213675202</v>
      </c>
      <c r="AI42" s="3">
        <f t="shared" si="9"/>
        <v>0.35135135135135137</v>
      </c>
      <c r="AL42" s="4">
        <f>(PERCENTRANK(D$3:D$78,D42))*100</f>
        <v>52.1</v>
      </c>
      <c r="AM42" s="4">
        <f>(PERCENTRANK(E$3:E$78,E42))*100</f>
        <v>13</v>
      </c>
      <c r="AN42" s="4">
        <f>(PERCENTRANK(F$3:F$78,F42))*100</f>
        <v>13</v>
      </c>
      <c r="AO42" s="4">
        <f>(PERCENTRANK(G$3:G$78,G42))*100</f>
        <v>19.5</v>
      </c>
      <c r="AP42" s="4">
        <f>(PERCENTRANK(H$3:H$78,H42))*100</f>
        <v>13</v>
      </c>
      <c r="AQ42" s="4">
        <f>(PERCENTRANK(I$3:I$78,I42))*100</f>
        <v>73.900000000000006</v>
      </c>
      <c r="AR42" s="4">
        <f>(PERCENTRANK(J$3:J$78,J42))*100</f>
        <v>58.599999999999994</v>
      </c>
      <c r="AS42" s="4">
        <f t="shared" ref="AS42:AS49" si="13">(PERCENTRANK(K$3:K$78,K42))*100</f>
        <v>78.2</v>
      </c>
      <c r="AT42" s="4">
        <f t="shared" si="11"/>
        <v>0</v>
      </c>
      <c r="AU42" s="4">
        <f t="shared" si="11"/>
        <v>0</v>
      </c>
      <c r="AV42" s="4">
        <f t="shared" si="11"/>
        <v>0</v>
      </c>
      <c r="AW42" s="4">
        <f t="shared" si="11"/>
        <v>21.7</v>
      </c>
      <c r="AX42" s="4">
        <f t="shared" si="11"/>
        <v>19.5</v>
      </c>
      <c r="AY42" s="4">
        <f t="shared" si="11"/>
        <v>15.2</v>
      </c>
      <c r="AZ42" s="4">
        <f t="shared" si="11"/>
        <v>43.4</v>
      </c>
      <c r="BA42" s="4">
        <f t="shared" si="10"/>
        <v>19.5</v>
      </c>
      <c r="BB42" s="4">
        <f>(PERCENTRANK(T$3:T$78,T42))*100</f>
        <v>95.6</v>
      </c>
      <c r="BC42" s="4">
        <f>100-(PERCENTRANK(U$3:U$78,U42))*100</f>
        <v>13.099999999999994</v>
      </c>
      <c r="BD42" s="4">
        <f>100-(PERCENTRANK(V$3:V$78,V42))*100</f>
        <v>8.7000000000000028</v>
      </c>
      <c r="BE42" s="4">
        <f>(PERCENTRANK(W$3:W$78,W42))*100</f>
        <v>4.3</v>
      </c>
      <c r="BF42" s="4">
        <f>(PERCENTRANK(X$3:X$78,X42))*100</f>
        <v>6.5</v>
      </c>
      <c r="BG42" s="4">
        <f t="shared" si="12"/>
        <v>8.6</v>
      </c>
      <c r="BH42" s="4">
        <f>(PERCENTRANK(Z$3:Z$78,Z42))*100</f>
        <v>20</v>
      </c>
      <c r="BI42" s="4">
        <f>(PERCENTRANK(AA$3:AA$78,AA42))*100</f>
        <v>13</v>
      </c>
      <c r="BJ42" s="4">
        <f>(PERCENTRANK(AB$3:AB$78,AB42))*100</f>
        <v>13</v>
      </c>
      <c r="BK42" s="4">
        <f>(PERCENTRANK(AC$3:AC$78,AC42))*100</f>
        <v>6.5</v>
      </c>
      <c r="BL42" s="4">
        <f>(PERCENTRANK(AD$3:AD$78,AD42))*100</f>
        <v>36.9</v>
      </c>
      <c r="BM42" s="4">
        <f t="shared" si="0"/>
        <v>84.7</v>
      </c>
    </row>
    <row r="43" spans="1:65" x14ac:dyDescent="0.25">
      <c r="A43" s="2">
        <v>41</v>
      </c>
      <c r="B43" s="5" t="s">
        <v>76</v>
      </c>
      <c r="C43" s="2">
        <v>6</v>
      </c>
      <c r="D43" s="9">
        <v>8.1999999999999993</v>
      </c>
      <c r="E43" s="9">
        <v>5.5</v>
      </c>
      <c r="F43" s="9">
        <v>2.2000000000000002</v>
      </c>
      <c r="G43" s="9">
        <v>5.3</v>
      </c>
      <c r="H43" s="9">
        <v>40.6</v>
      </c>
      <c r="I43" s="9">
        <v>0.8</v>
      </c>
      <c r="J43" s="9">
        <v>3</v>
      </c>
      <c r="K43" s="9">
        <v>27.8</v>
      </c>
      <c r="L43" s="9">
        <v>0.2</v>
      </c>
      <c r="M43" s="9">
        <v>0.2</v>
      </c>
      <c r="N43" s="9">
        <v>100</v>
      </c>
      <c r="O43" s="9">
        <v>0</v>
      </c>
      <c r="P43" s="9">
        <v>1.2</v>
      </c>
      <c r="Q43" s="9">
        <v>1.2</v>
      </c>
      <c r="R43" s="9">
        <v>2</v>
      </c>
      <c r="S43" s="9">
        <v>1</v>
      </c>
      <c r="T43" s="9">
        <v>0</v>
      </c>
      <c r="U43" s="9">
        <v>0.3</v>
      </c>
      <c r="V43" s="9">
        <v>2.5</v>
      </c>
      <c r="W43" s="9">
        <f t="shared" si="1"/>
        <v>1.4000000000000001</v>
      </c>
      <c r="X43" s="9">
        <f t="shared" si="2"/>
        <v>2.2999999999999998</v>
      </c>
      <c r="Y43" s="9">
        <f t="shared" si="3"/>
        <v>60.869565217391319</v>
      </c>
      <c r="Z43" s="6">
        <f t="shared" si="4"/>
        <v>6.666666666666667</v>
      </c>
      <c r="AA43" s="9">
        <f t="shared" si="5"/>
        <v>51.039346696362287</v>
      </c>
      <c r="AB43" s="6">
        <f t="shared" si="6"/>
        <v>1.0207869339272457</v>
      </c>
      <c r="AC43" s="6">
        <f t="shared" si="7"/>
        <v>0.96694796061884669</v>
      </c>
      <c r="AD43" s="9">
        <f t="shared" si="8"/>
        <v>49.056603773584911</v>
      </c>
      <c r="AE43" s="4">
        <f>100*(AA43/TOTAL_BASIC!$C$81)</f>
        <v>88.130714014951977</v>
      </c>
      <c r="AF43" s="4">
        <f>100*AC43/TOTAL_BASIC!$C$82</f>
        <v>93.919618608841574</v>
      </c>
      <c r="AG43" s="4">
        <f>100*N43/TOTAL_BASIC!$C$87</f>
        <v>129.77346278317154</v>
      </c>
      <c r="AH43" s="4">
        <f>100*AD43/TOTAL_BASIC!$C$86</f>
        <v>94.308176100628941</v>
      </c>
      <c r="AI43" s="3">
        <f t="shared" si="9"/>
        <v>0</v>
      </c>
      <c r="AL43" s="4">
        <f>(PERCENTRANK(D$3:D$78,D43))*100</f>
        <v>17.299999999999997</v>
      </c>
      <c r="AM43" s="4">
        <f>(PERCENTRANK(E$3:E$78,E43))*100</f>
        <v>13</v>
      </c>
      <c r="AN43" s="4">
        <f>(PERCENTRANK(F$3:F$78,F43))*100</f>
        <v>13</v>
      </c>
      <c r="AO43" s="4">
        <f>(PERCENTRANK(G$3:G$78,G43))*100</f>
        <v>13</v>
      </c>
      <c r="AP43" s="4">
        <f>(PERCENTRANK(H$3:H$78,H43))*100</f>
        <v>26</v>
      </c>
      <c r="AQ43" s="4">
        <f>(PERCENTRANK(I$3:I$78,I43))*100</f>
        <v>52.1</v>
      </c>
      <c r="AR43" s="4">
        <f>(PERCENTRANK(J$3:J$78,J43))*100</f>
        <v>47.8</v>
      </c>
      <c r="AS43" s="4">
        <f t="shared" si="13"/>
        <v>47.8</v>
      </c>
      <c r="AT43" s="4">
        <f t="shared" si="11"/>
        <v>6.5</v>
      </c>
      <c r="AU43" s="4">
        <f t="shared" si="11"/>
        <v>4.3</v>
      </c>
      <c r="AV43" s="4">
        <f t="shared" si="11"/>
        <v>84.7</v>
      </c>
      <c r="AW43" s="4">
        <f t="shared" si="11"/>
        <v>0</v>
      </c>
      <c r="AX43" s="4">
        <f t="shared" si="11"/>
        <v>2.1</v>
      </c>
      <c r="AY43" s="4">
        <f t="shared" si="11"/>
        <v>2.1</v>
      </c>
      <c r="AZ43" s="4">
        <f t="shared" si="11"/>
        <v>52.1</v>
      </c>
      <c r="BA43" s="4">
        <f t="shared" si="10"/>
        <v>69.5</v>
      </c>
      <c r="BB43" s="4">
        <f>(PERCENTRANK(T$3:T$78,T43))*100</f>
        <v>0</v>
      </c>
      <c r="BC43" s="4">
        <f>100-(PERCENTRANK(U$3:U$78,U43))*100</f>
        <v>95.7</v>
      </c>
      <c r="BD43" s="4">
        <f>100-(PERCENTRANK(V$3:V$78,V43))*100</f>
        <v>39.200000000000003</v>
      </c>
      <c r="BE43" s="4">
        <f>(PERCENTRANK(W$3:W$78,W43))*100</f>
        <v>13</v>
      </c>
      <c r="BF43" s="4">
        <f>(PERCENTRANK(X$3:X$78,X43))*100</f>
        <v>2.1</v>
      </c>
      <c r="BG43" s="4">
        <f t="shared" si="12"/>
        <v>82.6</v>
      </c>
      <c r="BH43" s="4">
        <f>(PERCENTRANK(Z$3:Z$78,Z43))*100</f>
        <v>100</v>
      </c>
      <c r="BI43" s="4">
        <f>(PERCENTRANK(AA$3:AA$78,AA43))*100</f>
        <v>28.199999999999996</v>
      </c>
      <c r="BJ43" s="4">
        <f>(PERCENTRANK(AB$3:AB$78,AB43))*100</f>
        <v>28.199999999999996</v>
      </c>
      <c r="BK43" s="4">
        <f>(PERCENTRANK(AC$3:AC$78,AC43))*100</f>
        <v>50</v>
      </c>
      <c r="BL43" s="4">
        <f>(PERCENTRANK(AD$3:AD$78,AD43))*100</f>
        <v>41.3</v>
      </c>
      <c r="BM43" s="4">
        <f t="shared" si="0"/>
        <v>0</v>
      </c>
    </row>
    <row r="44" spans="1:65" x14ac:dyDescent="0.25">
      <c r="A44" s="2">
        <v>42</v>
      </c>
      <c r="B44" s="5" t="s">
        <v>77</v>
      </c>
      <c r="C44" s="2">
        <v>7</v>
      </c>
      <c r="D44" s="9">
        <v>7.7</v>
      </c>
      <c r="E44" s="9">
        <v>5.0999999999999996</v>
      </c>
      <c r="F44" s="9">
        <v>2.2999999999999998</v>
      </c>
      <c r="G44" s="9">
        <v>5.0999999999999996</v>
      </c>
      <c r="H44" s="9">
        <v>44.4</v>
      </c>
      <c r="I44" s="9">
        <v>0</v>
      </c>
      <c r="J44" s="9">
        <v>1.4</v>
      </c>
      <c r="K44" s="9">
        <v>0</v>
      </c>
      <c r="L44" s="9">
        <v>0.3</v>
      </c>
      <c r="M44" s="9">
        <v>0.9</v>
      </c>
      <c r="N44" s="9">
        <v>33.299999999999997</v>
      </c>
      <c r="O44" s="9">
        <v>0.7</v>
      </c>
      <c r="P44" s="9">
        <v>3.1</v>
      </c>
      <c r="Q44" s="9">
        <v>3.9</v>
      </c>
      <c r="R44" s="9">
        <v>0.3</v>
      </c>
      <c r="S44" s="9">
        <v>0.3</v>
      </c>
      <c r="T44" s="9">
        <v>0.9</v>
      </c>
      <c r="U44" s="9">
        <v>0.7</v>
      </c>
      <c r="V44" s="9">
        <v>2.4</v>
      </c>
      <c r="W44" s="9">
        <f t="shared" si="1"/>
        <v>2.2999999999999998</v>
      </c>
      <c r="X44" s="9">
        <f t="shared" si="2"/>
        <v>3.6999999999999997</v>
      </c>
      <c r="Y44" s="9">
        <f t="shared" si="3"/>
        <v>62.162162162162161</v>
      </c>
      <c r="Z44" s="6">
        <f t="shared" si="4"/>
        <v>0.4285714285714286</v>
      </c>
      <c r="AA44" s="9">
        <f t="shared" si="5"/>
        <v>46.397379912663752</v>
      </c>
      <c r="AB44" s="6">
        <f t="shared" si="6"/>
        <v>0.927947598253275</v>
      </c>
      <c r="AC44" s="6">
        <f t="shared" si="7"/>
        <v>0.82311168495803744</v>
      </c>
      <c r="AD44" s="9">
        <f t="shared" si="8"/>
        <v>45.098039215686271</v>
      </c>
      <c r="AE44" s="4">
        <f>100*(AA44/TOTAL_BASIC!$C$81)</f>
        <v>80.115332283778685</v>
      </c>
      <c r="AF44" s="4">
        <f>100*AC44/TOTAL_BASIC!$C$82</f>
        <v>79.948806628914937</v>
      </c>
      <c r="AG44" s="4">
        <f>100*N44/TOTAL_BASIC!$C$87</f>
        <v>43.214563106796113</v>
      </c>
      <c r="AH44" s="4">
        <f>100*AD44/TOTAL_BASIC!$C$86</f>
        <v>86.698089492207131</v>
      </c>
      <c r="AI44" s="3">
        <f t="shared" si="9"/>
        <v>0.375</v>
      </c>
      <c r="AL44" s="4">
        <f>(PERCENTRANK(D$3:D$78,D44))*100</f>
        <v>10.8</v>
      </c>
      <c r="AM44" s="4">
        <f>(PERCENTRANK(E$3:E$78,E44))*100</f>
        <v>10.8</v>
      </c>
      <c r="AN44" s="4">
        <f>(PERCENTRANK(F$3:F$78,F44))*100</f>
        <v>17.299999999999997</v>
      </c>
      <c r="AO44" s="4">
        <f>(PERCENTRANK(G$3:G$78,G44))*100</f>
        <v>10.8</v>
      </c>
      <c r="AP44" s="4">
        <f>(PERCENTRANK(H$3:H$78,H44))*100</f>
        <v>43.4</v>
      </c>
      <c r="AQ44" s="4">
        <f>(PERCENTRANK(I$3:I$78,I44))*100</f>
        <v>0</v>
      </c>
      <c r="AR44" s="4">
        <f>(PERCENTRANK(J$3:J$78,J44))*100</f>
        <v>21.7</v>
      </c>
      <c r="AS44" s="4">
        <f t="shared" si="13"/>
        <v>0</v>
      </c>
      <c r="AT44" s="4">
        <f t="shared" si="11"/>
        <v>15.2</v>
      </c>
      <c r="AU44" s="4">
        <f t="shared" si="11"/>
        <v>32.6</v>
      </c>
      <c r="AV44" s="4">
        <f t="shared" si="11"/>
        <v>8.6</v>
      </c>
      <c r="AW44" s="4">
        <f t="shared" si="11"/>
        <v>21.7</v>
      </c>
      <c r="AX44" s="4">
        <f t="shared" si="11"/>
        <v>43.4</v>
      </c>
      <c r="AY44" s="4">
        <f t="shared" si="11"/>
        <v>39.1</v>
      </c>
      <c r="AZ44" s="4">
        <f t="shared" si="11"/>
        <v>6.5</v>
      </c>
      <c r="BA44" s="4">
        <f t="shared" si="10"/>
        <v>19.5</v>
      </c>
      <c r="BB44" s="4">
        <f>(PERCENTRANK(T$3:T$78,T44))*100</f>
        <v>84.7</v>
      </c>
      <c r="BC44" s="4">
        <f>100-(PERCENTRANK(U$3:U$78,U44))*100</f>
        <v>84.8</v>
      </c>
      <c r="BD44" s="4">
        <f>100-(PERCENTRANK(V$3:V$78,V44))*100</f>
        <v>45.699999999999996</v>
      </c>
      <c r="BE44" s="4">
        <f>(PERCENTRANK(W$3:W$78,W44))*100</f>
        <v>28.199999999999996</v>
      </c>
      <c r="BF44" s="4">
        <f>(PERCENTRANK(X$3:X$78,X44))*100</f>
        <v>23.9</v>
      </c>
      <c r="BG44" s="4">
        <f t="shared" si="12"/>
        <v>84.7</v>
      </c>
      <c r="BH44" s="4">
        <f>(PERCENTRANK(Z$3:Z$78,Z44))*100</f>
        <v>11.1</v>
      </c>
      <c r="BI44" s="4">
        <f>(PERCENTRANK(AA$3:AA$78,AA44))*100</f>
        <v>15.2</v>
      </c>
      <c r="BJ44" s="4">
        <f>(PERCENTRANK(AB$3:AB$78,AB44))*100</f>
        <v>15.2</v>
      </c>
      <c r="BK44" s="4">
        <f>(PERCENTRANK(AC$3:AC$78,AC44))*100</f>
        <v>15.2</v>
      </c>
      <c r="BL44" s="4">
        <f>(PERCENTRANK(AD$3:AD$78,AD44))*100</f>
        <v>26</v>
      </c>
      <c r="BM44" s="4">
        <f t="shared" si="0"/>
        <v>86.9</v>
      </c>
    </row>
    <row r="45" spans="1:65" x14ac:dyDescent="0.25">
      <c r="A45" s="2">
        <v>43</v>
      </c>
      <c r="B45" s="5" t="s">
        <v>78</v>
      </c>
      <c r="C45" s="2">
        <v>7</v>
      </c>
      <c r="D45" s="9">
        <v>5.7</v>
      </c>
      <c r="E45" s="9">
        <v>4.5999999999999996</v>
      </c>
      <c r="F45" s="9">
        <v>1.7</v>
      </c>
      <c r="G45" s="9">
        <v>3.9</v>
      </c>
      <c r="H45" s="9">
        <v>44.4</v>
      </c>
      <c r="I45" s="9">
        <v>0.1</v>
      </c>
      <c r="J45" s="9">
        <v>1</v>
      </c>
      <c r="K45" s="9">
        <v>14.3</v>
      </c>
      <c r="L45" s="9">
        <v>0.6</v>
      </c>
      <c r="M45" s="9">
        <v>0.6</v>
      </c>
      <c r="N45" s="9">
        <v>100</v>
      </c>
      <c r="O45" s="9">
        <v>0.7</v>
      </c>
      <c r="P45" s="9">
        <v>2.6</v>
      </c>
      <c r="Q45" s="9">
        <v>3.3</v>
      </c>
      <c r="R45" s="9">
        <v>0.3</v>
      </c>
      <c r="S45" s="9">
        <v>0.1</v>
      </c>
      <c r="T45" s="9">
        <v>0.3</v>
      </c>
      <c r="U45" s="9">
        <v>0.1</v>
      </c>
      <c r="V45" s="9">
        <v>1.6</v>
      </c>
      <c r="W45" s="9">
        <f t="shared" si="1"/>
        <v>1.5999999999999999</v>
      </c>
      <c r="X45" s="9">
        <f t="shared" si="2"/>
        <v>2.9</v>
      </c>
      <c r="Y45" s="9">
        <f t="shared" si="3"/>
        <v>55.172413793103445</v>
      </c>
      <c r="Z45" s="6">
        <f t="shared" si="4"/>
        <v>2.9999999999999996</v>
      </c>
      <c r="AA45" s="9">
        <f t="shared" si="5"/>
        <v>55.235350624399615</v>
      </c>
      <c r="AB45" s="6">
        <f t="shared" si="6"/>
        <v>1.1047070124879923</v>
      </c>
      <c r="AC45" s="6">
        <f t="shared" si="7"/>
        <v>1.0787992495309568</v>
      </c>
      <c r="AD45" s="9">
        <f t="shared" si="8"/>
        <v>44.871794871794876</v>
      </c>
      <c r="AE45" s="4">
        <f>100*(AA45/TOTAL_BASIC!$C$81)</f>
        <v>95.376042298392349</v>
      </c>
      <c r="AF45" s="4">
        <f>100*AC45/TOTAL_BASIC!$C$82</f>
        <v>104.78373004334887</v>
      </c>
      <c r="AG45" s="4">
        <f>100*N45/TOTAL_BASIC!$C$87</f>
        <v>129.77346278317154</v>
      </c>
      <c r="AH45" s="4">
        <f>100*AD45/TOTAL_BASIC!$C$86</f>
        <v>86.263149243918477</v>
      </c>
      <c r="AI45" s="3">
        <f t="shared" si="9"/>
        <v>0.18749999999999997</v>
      </c>
      <c r="AL45" s="4">
        <f>(PERCENTRANK(D$3:D$78,D45))*100</f>
        <v>4.3</v>
      </c>
      <c r="AM45" s="4">
        <f>(PERCENTRANK(E$3:E$78,E45))*100</f>
        <v>8.6</v>
      </c>
      <c r="AN45" s="4">
        <f>(PERCENTRANK(F$3:F$78,F45))*100</f>
        <v>4.3</v>
      </c>
      <c r="AO45" s="4">
        <f>(PERCENTRANK(G$3:G$78,G45))*100</f>
        <v>4.3</v>
      </c>
      <c r="AP45" s="4">
        <f>(PERCENTRANK(H$3:H$78,H45))*100</f>
        <v>43.4</v>
      </c>
      <c r="AQ45" s="4">
        <f>(PERCENTRANK(I$3:I$78,I45))*100</f>
        <v>15.2</v>
      </c>
      <c r="AR45" s="4">
        <f>(PERCENTRANK(J$3:J$78,J45))*100</f>
        <v>10.8</v>
      </c>
      <c r="AS45" s="4">
        <f t="shared" si="13"/>
        <v>17.299999999999997</v>
      </c>
      <c r="AT45" s="4">
        <f t="shared" si="11"/>
        <v>30.4</v>
      </c>
      <c r="AU45" s="4">
        <f t="shared" si="11"/>
        <v>19.5</v>
      </c>
      <c r="AV45" s="4">
        <f t="shared" si="11"/>
        <v>84.7</v>
      </c>
      <c r="AW45" s="4">
        <f t="shared" si="11"/>
        <v>21.7</v>
      </c>
      <c r="AX45" s="4">
        <f t="shared" si="11"/>
        <v>32.6</v>
      </c>
      <c r="AY45" s="4">
        <f t="shared" si="11"/>
        <v>26</v>
      </c>
      <c r="AZ45" s="4">
        <f t="shared" si="11"/>
        <v>6.5</v>
      </c>
      <c r="BA45" s="4">
        <f t="shared" si="10"/>
        <v>8.6</v>
      </c>
      <c r="BB45" s="4">
        <f>(PERCENTRANK(T$3:T$78,T45))*100</f>
        <v>39.1</v>
      </c>
      <c r="BC45" s="4">
        <f>100-(PERCENTRANK(U$3:U$78,U45))*100</f>
        <v>97.9</v>
      </c>
      <c r="BD45" s="4">
        <f>100-(PERCENTRANK(V$3:V$78,V45))*100</f>
        <v>93.5</v>
      </c>
      <c r="BE45" s="4">
        <f>(PERCENTRANK(W$3:W$78,W45))*100</f>
        <v>15.2</v>
      </c>
      <c r="BF45" s="4">
        <f>(PERCENTRANK(X$3:X$78,X45))*100</f>
        <v>8.6</v>
      </c>
      <c r="BG45" s="4">
        <f t="shared" si="12"/>
        <v>50</v>
      </c>
      <c r="BH45" s="4">
        <f>(PERCENTRANK(Z$3:Z$78,Z45))*100</f>
        <v>80</v>
      </c>
      <c r="BI45" s="4">
        <f>(PERCENTRANK(AA$3:AA$78,AA45))*100</f>
        <v>45.6</v>
      </c>
      <c r="BJ45" s="4">
        <f>(PERCENTRANK(AB$3:AB$78,AB45))*100</f>
        <v>45.6</v>
      </c>
      <c r="BK45" s="4">
        <f>(PERCENTRANK(AC$3:AC$78,AC45))*100</f>
        <v>65.2</v>
      </c>
      <c r="BL45" s="4">
        <f>(PERCENTRANK(AD$3:AD$78,AD45))*100</f>
        <v>23.9</v>
      </c>
      <c r="BM45" s="4">
        <f t="shared" si="0"/>
        <v>60.8</v>
      </c>
    </row>
    <row r="46" spans="1:65" x14ac:dyDescent="0.25">
      <c r="A46" s="2">
        <v>44</v>
      </c>
      <c r="B46" s="5" t="s">
        <v>79</v>
      </c>
      <c r="C46" s="2">
        <v>6</v>
      </c>
      <c r="D46" s="9">
        <v>8</v>
      </c>
      <c r="E46" s="9">
        <v>4.2</v>
      </c>
      <c r="F46" s="9">
        <v>1.7</v>
      </c>
      <c r="G46" s="9">
        <v>5.7</v>
      </c>
      <c r="H46" s="9">
        <v>29.4</v>
      </c>
      <c r="I46" s="9">
        <v>0.5</v>
      </c>
      <c r="J46" s="9">
        <v>2.2999999999999998</v>
      </c>
      <c r="K46" s="9">
        <v>21.4</v>
      </c>
      <c r="L46" s="9">
        <v>0.2</v>
      </c>
      <c r="M46" s="9">
        <v>0.3</v>
      </c>
      <c r="N46" s="9">
        <v>50</v>
      </c>
      <c r="O46" s="9">
        <v>0.5</v>
      </c>
      <c r="P46" s="9">
        <v>1.3</v>
      </c>
      <c r="Q46" s="9">
        <v>1.8</v>
      </c>
      <c r="R46" s="9">
        <v>1.7</v>
      </c>
      <c r="S46" s="9">
        <v>0.2</v>
      </c>
      <c r="T46" s="9">
        <v>0</v>
      </c>
      <c r="U46" s="9">
        <v>0.7</v>
      </c>
      <c r="V46" s="9">
        <v>1.8</v>
      </c>
      <c r="W46" s="9">
        <f t="shared" si="1"/>
        <v>1.2</v>
      </c>
      <c r="X46" s="9">
        <f t="shared" si="2"/>
        <v>3.4000000000000004</v>
      </c>
      <c r="Y46" s="9">
        <f t="shared" si="3"/>
        <v>35.294117647058819</v>
      </c>
      <c r="Z46" s="6">
        <f t="shared" si="4"/>
        <v>2.4285714285714288</v>
      </c>
      <c r="AA46" s="9">
        <f t="shared" si="5"/>
        <v>36.008230452674901</v>
      </c>
      <c r="AB46" s="6">
        <f t="shared" si="6"/>
        <v>0.72016460905349799</v>
      </c>
      <c r="AC46" s="6">
        <f t="shared" si="7"/>
        <v>0.64298836497244338</v>
      </c>
      <c r="AD46" s="9">
        <f t="shared" si="8"/>
        <v>34.210526315789473</v>
      </c>
      <c r="AE46" s="4">
        <f>100*(AA46/TOTAL_BASIC!$C$81)</f>
        <v>62.176169281480156</v>
      </c>
      <c r="AF46" s="4">
        <f>100*AC46/TOTAL_BASIC!$C$82</f>
        <v>62.453435414958015</v>
      </c>
      <c r="AG46" s="4">
        <f>100*N46/TOTAL_BASIC!$C$87</f>
        <v>64.886731391585769</v>
      </c>
      <c r="AH46" s="4">
        <f>100*AD46/TOTAL_BASIC!$C$86</f>
        <v>65.767543859649123</v>
      </c>
      <c r="AI46" s="3">
        <f t="shared" si="9"/>
        <v>0</v>
      </c>
      <c r="AL46" s="4">
        <f>(PERCENTRANK(D$3:D$78,D46))*100</f>
        <v>13</v>
      </c>
      <c r="AM46" s="4">
        <f>(PERCENTRANK(E$3:E$78,E46))*100</f>
        <v>6.5</v>
      </c>
      <c r="AN46" s="4">
        <f>(PERCENTRANK(F$3:F$78,F46))*100</f>
        <v>4.3</v>
      </c>
      <c r="AO46" s="4">
        <f>(PERCENTRANK(G$3:G$78,G46))*100</f>
        <v>15.2</v>
      </c>
      <c r="AP46" s="4">
        <f>(PERCENTRANK(H$3:H$78,H46))*100</f>
        <v>6.5</v>
      </c>
      <c r="AQ46" s="4">
        <f>(PERCENTRANK(I$3:I$78,I46))*100</f>
        <v>34.699999999999996</v>
      </c>
      <c r="AR46" s="4">
        <f>(PERCENTRANK(J$3:J$78,J46))*100</f>
        <v>41.3</v>
      </c>
      <c r="AS46" s="4">
        <f t="shared" si="13"/>
        <v>32.6</v>
      </c>
      <c r="AT46" s="4">
        <f t="shared" si="11"/>
        <v>6.5</v>
      </c>
      <c r="AU46" s="4">
        <f t="shared" si="11"/>
        <v>8.6</v>
      </c>
      <c r="AV46" s="4">
        <f t="shared" si="11"/>
        <v>15.2</v>
      </c>
      <c r="AW46" s="4">
        <f t="shared" si="11"/>
        <v>13</v>
      </c>
      <c r="AX46" s="4">
        <f t="shared" si="11"/>
        <v>4.3</v>
      </c>
      <c r="AY46" s="4">
        <f t="shared" si="11"/>
        <v>6.5</v>
      </c>
      <c r="AZ46" s="4">
        <f t="shared" si="11"/>
        <v>45.6</v>
      </c>
      <c r="BA46" s="4">
        <f t="shared" si="10"/>
        <v>10.8</v>
      </c>
      <c r="BB46" s="4">
        <f>(PERCENTRANK(T$3:T$78,T46))*100</f>
        <v>0</v>
      </c>
      <c r="BC46" s="4">
        <f>100-(PERCENTRANK(U$3:U$78,U46))*100</f>
        <v>84.8</v>
      </c>
      <c r="BD46" s="4">
        <f>100-(PERCENTRANK(V$3:V$78,V46))*100</f>
        <v>82.7</v>
      </c>
      <c r="BE46" s="4">
        <f>(PERCENTRANK(W$3:W$78,W46))*100</f>
        <v>6.5</v>
      </c>
      <c r="BF46" s="4">
        <f>(PERCENTRANK(X$3:X$78,X46))*100</f>
        <v>17.299999999999997</v>
      </c>
      <c r="BG46" s="4">
        <f t="shared" si="12"/>
        <v>6.5</v>
      </c>
      <c r="BH46" s="4">
        <f>(PERCENTRANK(Z$3:Z$78,Z46))*100</f>
        <v>71.099999999999994</v>
      </c>
      <c r="BI46" s="4">
        <f>(PERCENTRANK(AA$3:AA$78,AA46))*100</f>
        <v>2.1</v>
      </c>
      <c r="BJ46" s="4">
        <f>(PERCENTRANK(AB$3:AB$78,AB46))*100</f>
        <v>2.1</v>
      </c>
      <c r="BK46" s="4">
        <f>(PERCENTRANK(AC$3:AC$78,AC46))*100</f>
        <v>2.1</v>
      </c>
      <c r="BL46" s="4">
        <f>(PERCENTRANK(AD$3:AD$78,AD46))*100</f>
        <v>4.3</v>
      </c>
      <c r="BM46" s="4">
        <f t="shared" si="0"/>
        <v>0</v>
      </c>
    </row>
    <row r="47" spans="1:65" x14ac:dyDescent="0.25">
      <c r="A47" s="2">
        <v>45</v>
      </c>
      <c r="B47" s="5" t="s">
        <v>80</v>
      </c>
      <c r="C47" s="2">
        <v>6</v>
      </c>
      <c r="D47" s="9">
        <v>6.3</v>
      </c>
      <c r="E47" s="9">
        <v>3.7</v>
      </c>
      <c r="F47" s="9">
        <v>1.7</v>
      </c>
      <c r="G47" s="9">
        <v>2.7</v>
      </c>
      <c r="H47" s="9">
        <v>62.5</v>
      </c>
      <c r="I47" s="9">
        <v>0</v>
      </c>
      <c r="J47" s="9">
        <v>0.3</v>
      </c>
      <c r="K47" s="9">
        <v>0</v>
      </c>
      <c r="L47" s="9">
        <v>0.2</v>
      </c>
      <c r="M47" s="9">
        <v>0.7</v>
      </c>
      <c r="N47" s="9">
        <v>25</v>
      </c>
      <c r="O47" s="9">
        <v>1.3</v>
      </c>
      <c r="P47" s="9">
        <v>2.2000000000000002</v>
      </c>
      <c r="Q47" s="9">
        <v>3.5</v>
      </c>
      <c r="R47" s="9">
        <v>0.2</v>
      </c>
      <c r="S47" s="9">
        <v>0.7</v>
      </c>
      <c r="T47" s="9">
        <v>0.3</v>
      </c>
      <c r="U47" s="9">
        <v>1.2</v>
      </c>
      <c r="V47" s="9">
        <v>1.8</v>
      </c>
      <c r="W47" s="9">
        <f t="shared" si="1"/>
        <v>1.7</v>
      </c>
      <c r="X47" s="9">
        <f t="shared" si="2"/>
        <v>2.4000000000000004</v>
      </c>
      <c r="Y47" s="9">
        <f t="shared" si="3"/>
        <v>70.833333333333329</v>
      </c>
      <c r="Z47" s="6">
        <f t="shared" si="4"/>
        <v>0.16666666666666669</v>
      </c>
      <c r="AA47" s="9">
        <f t="shared" si="5"/>
        <v>61.502659574468083</v>
      </c>
      <c r="AB47" s="6">
        <f t="shared" si="6"/>
        <v>1.2300531914893618</v>
      </c>
      <c r="AC47" s="6">
        <f t="shared" si="7"/>
        <v>0.87927756653992395</v>
      </c>
      <c r="AD47" s="9">
        <f t="shared" si="8"/>
        <v>62.962962962962962</v>
      </c>
      <c r="AE47" s="4">
        <f>100*(AA47/TOTAL_BASIC!$C$81)</f>
        <v>106.1979365520114</v>
      </c>
      <c r="AF47" s="4">
        <f>100*AC47/TOTAL_BASIC!$C$82</f>
        <v>85.404196569056168</v>
      </c>
      <c r="AG47" s="4">
        <f>100*N47/TOTAL_BASIC!$C$87</f>
        <v>32.443365695792885</v>
      </c>
      <c r="AH47" s="4">
        <f>100*AD47/TOTAL_BASIC!$C$86</f>
        <v>121.04226020892688</v>
      </c>
      <c r="AI47" s="3">
        <f t="shared" si="9"/>
        <v>0.16666666666666666</v>
      </c>
      <c r="AL47" s="4">
        <f>(PERCENTRANK(D$3:D$78,D47))*100</f>
        <v>8.6</v>
      </c>
      <c r="AM47" s="4">
        <f>(PERCENTRANK(E$3:E$78,E47))*100</f>
        <v>4.3</v>
      </c>
      <c r="AN47" s="4">
        <f>(PERCENTRANK(F$3:F$78,F47))*100</f>
        <v>4.3</v>
      </c>
      <c r="AO47" s="4">
        <f>(PERCENTRANK(G$3:G$78,G47))*100</f>
        <v>2.1</v>
      </c>
      <c r="AP47" s="4">
        <f>(PERCENTRANK(H$3:H$78,H47))*100</f>
        <v>95.6</v>
      </c>
      <c r="AQ47" s="4">
        <f>(PERCENTRANK(I$3:I$78,I47))*100</f>
        <v>0</v>
      </c>
      <c r="AR47" s="4">
        <f>(PERCENTRANK(J$3:J$78,J47))*100</f>
        <v>4.3</v>
      </c>
      <c r="AS47" s="4">
        <f t="shared" si="13"/>
        <v>0</v>
      </c>
      <c r="AT47" s="4">
        <f t="shared" si="11"/>
        <v>6.5</v>
      </c>
      <c r="AU47" s="4">
        <f t="shared" si="11"/>
        <v>21.7</v>
      </c>
      <c r="AV47" s="4">
        <f t="shared" si="11"/>
        <v>6.5</v>
      </c>
      <c r="AW47" s="4">
        <f t="shared" si="11"/>
        <v>69.5</v>
      </c>
      <c r="AX47" s="4">
        <f t="shared" si="11"/>
        <v>15.2</v>
      </c>
      <c r="AY47" s="4">
        <f t="shared" si="11"/>
        <v>30.4</v>
      </c>
      <c r="AZ47" s="4">
        <f t="shared" si="11"/>
        <v>4.3</v>
      </c>
      <c r="BA47" s="4">
        <f t="shared" si="10"/>
        <v>54.300000000000004</v>
      </c>
      <c r="BB47" s="4">
        <f>(PERCENTRANK(T$3:T$78,T47))*100</f>
        <v>39.1</v>
      </c>
      <c r="BC47" s="4">
        <f>100-(PERCENTRANK(U$3:U$78,U47))*100</f>
        <v>54.4</v>
      </c>
      <c r="BD47" s="4">
        <f>100-(PERCENTRANK(V$3:V$78,V47))*100</f>
        <v>82.7</v>
      </c>
      <c r="BE47" s="4">
        <f>(PERCENTRANK(W$3:W$78,W47))*100</f>
        <v>19.5</v>
      </c>
      <c r="BF47" s="4">
        <f>(PERCENTRANK(X$3:X$78,X47))*100</f>
        <v>4.3</v>
      </c>
      <c r="BG47" s="4">
        <f t="shared" si="12"/>
        <v>97.8</v>
      </c>
      <c r="BH47" s="4">
        <f>(PERCENTRANK(Z$3:Z$78,Z47))*100</f>
        <v>4.3999999999999995</v>
      </c>
      <c r="BI47" s="4">
        <f>(PERCENTRANK(AA$3:AA$78,AA47))*100</f>
        <v>69.5</v>
      </c>
      <c r="BJ47" s="4">
        <f>(PERCENTRANK(AB$3:AB$78,AB47))*100</f>
        <v>69.5</v>
      </c>
      <c r="BK47" s="4">
        <f>(PERCENTRANK(AC$3:AC$78,AC47))*100</f>
        <v>23.9</v>
      </c>
      <c r="BL47" s="4">
        <f>(PERCENTRANK(AD$3:AD$78,AD47))*100</f>
        <v>89.1</v>
      </c>
      <c r="BM47" s="4">
        <f t="shared" si="0"/>
        <v>56.499999999999993</v>
      </c>
    </row>
    <row r="48" spans="1:65" x14ac:dyDescent="0.25">
      <c r="A48" s="2">
        <v>46</v>
      </c>
      <c r="B48" s="5" t="s">
        <v>81</v>
      </c>
      <c r="C48" s="2">
        <v>6</v>
      </c>
      <c r="D48" s="9">
        <v>5</v>
      </c>
      <c r="E48" s="9">
        <v>3.3</v>
      </c>
      <c r="F48" s="9">
        <v>1.2</v>
      </c>
      <c r="G48" s="9">
        <v>2.5</v>
      </c>
      <c r="H48" s="9">
        <v>46.7</v>
      </c>
      <c r="I48" s="9">
        <v>1</v>
      </c>
      <c r="J48" s="9">
        <v>2.2999999999999998</v>
      </c>
      <c r="K48" s="9">
        <v>42.9</v>
      </c>
      <c r="L48" s="9">
        <v>0</v>
      </c>
      <c r="M48" s="9">
        <v>0.2</v>
      </c>
      <c r="N48" s="9">
        <v>0</v>
      </c>
      <c r="O48" s="9">
        <v>0</v>
      </c>
      <c r="P48" s="9">
        <v>1.7</v>
      </c>
      <c r="Q48" s="9">
        <v>1.7</v>
      </c>
      <c r="R48" s="9">
        <v>0.5</v>
      </c>
      <c r="S48" s="9">
        <v>0</v>
      </c>
      <c r="T48" s="9">
        <v>0</v>
      </c>
      <c r="U48" s="9">
        <v>0.5</v>
      </c>
      <c r="V48" s="9">
        <v>2</v>
      </c>
      <c r="W48" s="9">
        <f t="shared" si="1"/>
        <v>0.19999999999999996</v>
      </c>
      <c r="X48" s="9">
        <f t="shared" si="2"/>
        <v>0.20000000000000018</v>
      </c>
      <c r="Y48" s="9">
        <f t="shared" si="3"/>
        <v>99.999999999999886</v>
      </c>
      <c r="Z48" s="6">
        <f t="shared" si="4"/>
        <v>1</v>
      </c>
      <c r="AA48" s="9">
        <f t="shared" si="5"/>
        <v>63.755795981452856</v>
      </c>
      <c r="AB48" s="6">
        <f t="shared" si="6"/>
        <v>1.2751159196290571</v>
      </c>
      <c r="AC48" s="6">
        <f t="shared" si="7"/>
        <v>1.0686528497409327</v>
      </c>
      <c r="AD48" s="9">
        <f t="shared" si="8"/>
        <v>68</v>
      </c>
      <c r="AE48" s="4">
        <f>100*(AA48/TOTAL_BASIC!$C$81)</f>
        <v>110.08847460105746</v>
      </c>
      <c r="AF48" s="4">
        <f>100*AC48/TOTAL_BASIC!$C$82</f>
        <v>103.79821061795806</v>
      </c>
      <c r="AG48" s="4">
        <f>100*N48/TOTAL_BASIC!$C$87</f>
        <v>0</v>
      </c>
      <c r="AH48" s="4">
        <f>100*AD48/TOTAL_BASIC!$C$86</f>
        <v>130.72564102564104</v>
      </c>
      <c r="AI48" s="3">
        <f t="shared" si="9"/>
        <v>0</v>
      </c>
      <c r="AL48" s="4">
        <f>(PERCENTRANK(D$3:D$78,D48))*100</f>
        <v>0</v>
      </c>
      <c r="AM48" s="4">
        <f>(PERCENTRANK(E$3:E$78,E48))*100</f>
        <v>2.1</v>
      </c>
      <c r="AN48" s="4">
        <f>(PERCENTRANK(F$3:F$78,F48))*100</f>
        <v>2.1</v>
      </c>
      <c r="AO48" s="4">
        <f>(PERCENTRANK(G$3:G$78,G48))*100</f>
        <v>0</v>
      </c>
      <c r="AP48" s="4">
        <f>(PERCENTRANK(H$3:H$78,H48))*100</f>
        <v>52.1</v>
      </c>
      <c r="AQ48" s="4">
        <f>(PERCENTRANK(I$3:I$78,I48))*100</f>
        <v>60.8</v>
      </c>
      <c r="AR48" s="4">
        <f>(PERCENTRANK(J$3:J$78,J48))*100</f>
        <v>41.3</v>
      </c>
      <c r="AS48" s="4">
        <f t="shared" si="13"/>
        <v>86.9</v>
      </c>
      <c r="AT48" s="4">
        <f t="shared" si="11"/>
        <v>0</v>
      </c>
      <c r="AU48" s="4">
        <f t="shared" si="11"/>
        <v>4.3</v>
      </c>
      <c r="AV48" s="4">
        <f t="shared" si="11"/>
        <v>0</v>
      </c>
      <c r="AW48" s="4">
        <f t="shared" si="11"/>
        <v>0</v>
      </c>
      <c r="AX48" s="4">
        <f t="shared" si="11"/>
        <v>6.5</v>
      </c>
      <c r="AY48" s="4">
        <f t="shared" si="11"/>
        <v>4.3</v>
      </c>
      <c r="AZ48" s="4">
        <f t="shared" si="11"/>
        <v>15.2</v>
      </c>
      <c r="BA48" s="4">
        <f t="shared" si="10"/>
        <v>0</v>
      </c>
      <c r="BB48" s="4">
        <f>(PERCENTRANK(T$3:T$78,T48))*100</f>
        <v>0</v>
      </c>
      <c r="BC48" s="4">
        <f>100-(PERCENTRANK(U$3:U$78,U48))*100</f>
        <v>93.5</v>
      </c>
      <c r="BD48" s="4">
        <f>100-(PERCENTRANK(V$3:V$78,V48))*100</f>
        <v>74</v>
      </c>
      <c r="BE48" s="4">
        <f>(PERCENTRANK(W$3:W$78,W48))*100</f>
        <v>2.1</v>
      </c>
      <c r="BF48" s="4">
        <f>(PERCENTRANK(X$3:X$78,X48))*100</f>
        <v>0</v>
      </c>
      <c r="BG48" s="4">
        <f t="shared" si="12"/>
        <v>100</v>
      </c>
      <c r="BH48" s="4">
        <f>(PERCENTRANK(Z$3:Z$78,Z48))*100</f>
        <v>37.700000000000003</v>
      </c>
      <c r="BI48" s="4">
        <f>(PERCENTRANK(AA$3:AA$78,AA48))*100</f>
        <v>78.2</v>
      </c>
      <c r="BJ48" s="4">
        <f>(PERCENTRANK(AB$3:AB$78,AB48))*100</f>
        <v>78.2</v>
      </c>
      <c r="BK48" s="4">
        <f>(PERCENTRANK(AC$3:AC$78,AC48))*100</f>
        <v>60.8</v>
      </c>
      <c r="BL48" s="4">
        <f>(PERCENTRANK(AD$3:AD$78,AD48))*100</f>
        <v>100</v>
      </c>
      <c r="BM48" s="4">
        <f t="shared" si="0"/>
        <v>0</v>
      </c>
    </row>
    <row r="49" spans="1:65" x14ac:dyDescent="0.25">
      <c r="A49" s="2">
        <v>47</v>
      </c>
      <c r="B49" s="5" t="s">
        <v>82</v>
      </c>
      <c r="C49" s="2">
        <v>1</v>
      </c>
      <c r="D49" s="9">
        <v>6</v>
      </c>
      <c r="E49" s="9">
        <v>2</v>
      </c>
      <c r="F49" s="9">
        <v>0</v>
      </c>
      <c r="G49" s="9">
        <v>4</v>
      </c>
      <c r="H49" s="9">
        <v>0</v>
      </c>
      <c r="I49" s="9">
        <v>0</v>
      </c>
      <c r="J49" s="9">
        <v>1</v>
      </c>
      <c r="K49" s="9">
        <v>0</v>
      </c>
      <c r="L49" s="9">
        <v>1</v>
      </c>
      <c r="M49" s="9">
        <v>3</v>
      </c>
      <c r="N49" s="9">
        <v>33.299999999999997</v>
      </c>
      <c r="O49" s="9">
        <v>1</v>
      </c>
      <c r="P49" s="9">
        <v>0</v>
      </c>
      <c r="Q49" s="9">
        <v>1</v>
      </c>
      <c r="R49" s="9">
        <v>0</v>
      </c>
      <c r="S49" s="9">
        <v>0</v>
      </c>
      <c r="T49" s="9">
        <v>0</v>
      </c>
      <c r="U49" s="9">
        <v>0</v>
      </c>
      <c r="V49" s="9">
        <v>2</v>
      </c>
      <c r="W49" s="9">
        <f t="shared" si="1"/>
        <v>0</v>
      </c>
      <c r="X49" s="9">
        <f t="shared" si="2"/>
        <v>3</v>
      </c>
      <c r="Y49" s="9">
        <f t="shared" si="3"/>
        <v>0</v>
      </c>
      <c r="Z49" s="6" t="str">
        <f t="shared" si="4"/>
        <v>0</v>
      </c>
      <c r="AA49" s="9">
        <f t="shared" si="5"/>
        <v>18.796992481203006</v>
      </c>
      <c r="AB49" s="6">
        <f t="shared" si="6"/>
        <v>0.37593984962406013</v>
      </c>
      <c r="AC49" s="6">
        <f t="shared" si="7"/>
        <v>0.37593984962406013</v>
      </c>
      <c r="AD49" s="9">
        <f t="shared" si="8"/>
        <v>0</v>
      </c>
      <c r="AE49" s="4">
        <f>100*(AA49/TOTAL_BASIC!$C$81)</f>
        <v>32.457162482061598</v>
      </c>
      <c r="AF49" s="4">
        <f>100*AC49/TOTAL_BASIC!$C$82</f>
        <v>36.515023284148377</v>
      </c>
      <c r="AG49" s="4">
        <f>100*N49/TOTAL_BASIC!$C$87</f>
        <v>43.214563106796113</v>
      </c>
      <c r="AH49" s="4">
        <f>100*AD49/TOTAL_BASIC!$C$86</f>
        <v>0</v>
      </c>
      <c r="AI49" s="3">
        <f t="shared" si="9"/>
        <v>0</v>
      </c>
      <c r="AL49" s="4">
        <f>(PERCENTRANK(D$3:D$78,D49))*100</f>
        <v>6.5</v>
      </c>
      <c r="AM49" s="4">
        <f>(PERCENTRANK(E$3:E$78,E49))*100</f>
        <v>0</v>
      </c>
      <c r="AN49" s="4">
        <f>(PERCENTRANK(F$3:F$78,F49))*100</f>
        <v>0</v>
      </c>
      <c r="AO49" s="4">
        <f>(PERCENTRANK(G$3:G$78,G49))*100</f>
        <v>6.5</v>
      </c>
      <c r="AP49" s="4">
        <f>(PERCENTRANK(H$3:H$78,H49))*100</f>
        <v>0</v>
      </c>
      <c r="AQ49" s="4">
        <f>(PERCENTRANK(I$3:I$78,I49))*100</f>
        <v>0</v>
      </c>
      <c r="AR49" s="4">
        <f>(PERCENTRANK(J$3:J$78,J49))*100</f>
        <v>10.8</v>
      </c>
      <c r="AS49" s="4">
        <f t="shared" si="13"/>
        <v>0</v>
      </c>
      <c r="AT49" s="4">
        <f t="shared" si="11"/>
        <v>47.8</v>
      </c>
      <c r="AU49" s="4">
        <f t="shared" si="11"/>
        <v>91.3</v>
      </c>
      <c r="AV49" s="4">
        <f t="shared" si="11"/>
        <v>8.6</v>
      </c>
      <c r="AW49" s="4">
        <f t="shared" si="11"/>
        <v>50</v>
      </c>
      <c r="AX49" s="4">
        <f t="shared" si="11"/>
        <v>0</v>
      </c>
      <c r="AY49" s="4">
        <f t="shared" si="11"/>
        <v>0</v>
      </c>
      <c r="AZ49" s="4">
        <f t="shared" si="11"/>
        <v>0</v>
      </c>
      <c r="BA49" s="4">
        <f t="shared" si="10"/>
        <v>0</v>
      </c>
      <c r="BB49" s="4">
        <f>(PERCENTRANK(T$3:T$78,T49))*100</f>
        <v>0</v>
      </c>
      <c r="BC49" s="4">
        <f>100-(PERCENTRANK(U$3:U$78,U49))*100</f>
        <v>100</v>
      </c>
      <c r="BD49" s="4">
        <f>100-(PERCENTRANK(V$3:V$78,V49))*100</f>
        <v>74</v>
      </c>
      <c r="BE49" s="4">
        <f>(PERCENTRANK(W$3:W$78,W49))*100</f>
        <v>0</v>
      </c>
      <c r="BF49" s="4">
        <f>(PERCENTRANK(X$3:X$78,X49))*100</f>
        <v>10.8</v>
      </c>
      <c r="BG49" s="4">
        <f t="shared" si="12"/>
        <v>0</v>
      </c>
      <c r="BH49" s="4">
        <f>(PERCENTRANK(Z$3:Z$78,Z49))*100</f>
        <v>0</v>
      </c>
      <c r="BI49" s="4">
        <f>(PERCENTRANK(AA$3:AA$78,AA49))*100</f>
        <v>0</v>
      </c>
      <c r="BJ49" s="4">
        <f>(PERCENTRANK(AB$3:AB$78,AB49))*100</f>
        <v>0</v>
      </c>
      <c r="BK49" s="4">
        <f>(PERCENTRANK(AC$3:AC$78,AC49))*100</f>
        <v>0</v>
      </c>
      <c r="BL49" s="4">
        <f>(PERCENTRANK(AD$3:AD$78,AD49))*100</f>
        <v>0</v>
      </c>
      <c r="BM49" s="4">
        <f t="shared" si="0"/>
        <v>0</v>
      </c>
    </row>
    <row r="80" spans="3:35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3:35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3:35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</sheetData>
  <autoFilter ref="A2:BM2" xr:uid="{00000000-0009-0000-0000-000002000000}"/>
  <mergeCells count="2">
    <mergeCell ref="A1:AI1"/>
    <mergeCell ref="AL1:BM1"/>
  </mergeCells>
  <conditionalFormatting sqref="C3:C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4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4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5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3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3:AL7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L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M3:BM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C3:BC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I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G3:I3"/>
    </sheetView>
  </sheetViews>
  <sheetFormatPr baseColWidth="10" defaultRowHeight="15" x14ac:dyDescent="0.25"/>
  <cols>
    <col min="1" max="1" width="20.7109375" customWidth="1"/>
    <col min="2" max="9" width="11.7109375" customWidth="1"/>
  </cols>
  <sheetData>
    <row r="1" spans="1:9" ht="26.25" x14ac:dyDescent="0.4">
      <c r="A1" s="10" t="s">
        <v>29</v>
      </c>
      <c r="B1" s="10"/>
      <c r="C1" s="10"/>
      <c r="D1" s="10"/>
      <c r="G1" s="15" t="s">
        <v>30</v>
      </c>
      <c r="H1" s="15"/>
      <c r="I1" s="15"/>
    </row>
    <row r="2" spans="1:9" ht="35.1" customHeight="1" x14ac:dyDescent="0.25">
      <c r="A2" s="7" t="s">
        <v>2</v>
      </c>
      <c r="B2" s="16" t="s">
        <v>104</v>
      </c>
      <c r="C2" s="16" t="s">
        <v>105</v>
      </c>
      <c r="D2" s="17" t="s">
        <v>111</v>
      </c>
      <c r="G2" s="16" t="s">
        <v>104</v>
      </c>
      <c r="H2" s="16" t="s">
        <v>105</v>
      </c>
      <c r="I2" s="17" t="s">
        <v>111</v>
      </c>
    </row>
    <row r="3" spans="1:9" x14ac:dyDescent="0.25">
      <c r="A3" t="s">
        <v>39</v>
      </c>
      <c r="B3" s="9">
        <v>52.891723438179447</v>
      </c>
      <c r="C3" s="9">
        <v>35.411210071029487</v>
      </c>
      <c r="D3" s="6">
        <v>1.4936434912019871</v>
      </c>
      <c r="G3" s="4">
        <f>(PERCENTRANK(B$3:B$49,B3))*100</f>
        <v>100</v>
      </c>
      <c r="H3" s="4">
        <f t="shared" ref="H3:I18" si="0">(PERCENTRANK(C$3:C$49,C3))*100</f>
        <v>60.8</v>
      </c>
      <c r="I3" s="4">
        <f t="shared" si="0"/>
        <v>97.8</v>
      </c>
    </row>
    <row r="4" spans="1:9" x14ac:dyDescent="0.25">
      <c r="A4" t="s">
        <v>49</v>
      </c>
      <c r="B4" s="9">
        <v>5.6856899488926746</v>
      </c>
      <c r="C4" s="9">
        <v>40.624209987273368</v>
      </c>
      <c r="D4" s="6">
        <v>0.13995816658770399</v>
      </c>
      <c r="G4" s="4">
        <f t="shared" ref="G4:I49" si="1">(PERCENTRANK(B$3:B$49,B4))*100</f>
        <v>13</v>
      </c>
      <c r="H4" s="4">
        <f t="shared" si="0"/>
        <v>89.1</v>
      </c>
      <c r="I4" s="4">
        <f t="shared" si="0"/>
        <v>6.5</v>
      </c>
    </row>
    <row r="5" spans="1:9" x14ac:dyDescent="0.25">
      <c r="A5" t="s">
        <v>52</v>
      </c>
      <c r="B5" s="9">
        <v>21.248657037125465</v>
      </c>
      <c r="C5" s="9">
        <v>29.357574534297473</v>
      </c>
      <c r="D5" s="6">
        <v>0.7237878937274389</v>
      </c>
      <c r="G5" s="4">
        <f t="shared" si="1"/>
        <v>58.599999999999994</v>
      </c>
      <c r="H5" s="4">
        <f t="shared" si="0"/>
        <v>30.4</v>
      </c>
      <c r="I5" s="4">
        <f t="shared" si="0"/>
        <v>65.2</v>
      </c>
    </row>
    <row r="6" spans="1:9" x14ac:dyDescent="0.25">
      <c r="A6" t="s">
        <v>57</v>
      </c>
      <c r="B6" s="9">
        <v>10.898848885623314</v>
      </c>
      <c r="C6" s="9">
        <v>32.142675174507652</v>
      </c>
      <c r="D6" s="6">
        <v>0.33907721826051335</v>
      </c>
      <c r="G6" s="4">
        <f t="shared" si="1"/>
        <v>32.6</v>
      </c>
      <c r="H6" s="4">
        <f t="shared" si="0"/>
        <v>43.4</v>
      </c>
      <c r="I6" s="4">
        <f t="shared" si="0"/>
        <v>34.699999999999996</v>
      </c>
    </row>
    <row r="7" spans="1:9" x14ac:dyDescent="0.25">
      <c r="A7" t="s">
        <v>72</v>
      </c>
      <c r="B7" s="9">
        <v>9.2491556248376217</v>
      </c>
      <c r="C7" s="9">
        <v>27.282826510117541</v>
      </c>
      <c r="D7" s="6">
        <v>0.33901016895766545</v>
      </c>
      <c r="G7" s="4">
        <f t="shared" si="1"/>
        <v>28.199999999999996</v>
      </c>
      <c r="H7" s="4">
        <f t="shared" si="0"/>
        <v>21.7</v>
      </c>
      <c r="I7" s="4">
        <f t="shared" si="0"/>
        <v>32.6</v>
      </c>
    </row>
    <row r="8" spans="1:9" x14ac:dyDescent="0.25">
      <c r="A8" t="s">
        <v>82</v>
      </c>
      <c r="B8" s="9">
        <v>0</v>
      </c>
      <c r="C8" s="9">
        <v>30.549619581488024</v>
      </c>
      <c r="D8" s="6">
        <v>0</v>
      </c>
      <c r="G8" s="4">
        <f t="shared" si="1"/>
        <v>0</v>
      </c>
      <c r="H8" s="4">
        <f t="shared" si="0"/>
        <v>36.9</v>
      </c>
      <c r="I8" s="4">
        <f t="shared" si="0"/>
        <v>0</v>
      </c>
    </row>
    <row r="9" spans="1:9" x14ac:dyDescent="0.25">
      <c r="A9" t="s">
        <v>46</v>
      </c>
      <c r="B9" s="9">
        <v>12.759197324414716</v>
      </c>
      <c r="C9" s="9">
        <v>42.010808558537555</v>
      </c>
      <c r="D9" s="6">
        <v>0.30371225316066325</v>
      </c>
      <c r="G9" s="4">
        <f t="shared" si="1"/>
        <v>41.3</v>
      </c>
      <c r="H9" s="4">
        <f t="shared" si="0"/>
        <v>95.6</v>
      </c>
      <c r="I9" s="4">
        <f t="shared" si="0"/>
        <v>26</v>
      </c>
    </row>
    <row r="10" spans="1:9" x14ac:dyDescent="0.25">
      <c r="A10" t="s">
        <v>48</v>
      </c>
      <c r="B10" s="9">
        <v>41.566441771780589</v>
      </c>
      <c r="C10" s="9">
        <v>38.08286390298634</v>
      </c>
      <c r="D10" s="6">
        <v>1.0914736317538629</v>
      </c>
      <c r="G10" s="4">
        <f t="shared" si="1"/>
        <v>86.9</v>
      </c>
      <c r="H10" s="4">
        <f t="shared" si="0"/>
        <v>78.2</v>
      </c>
      <c r="I10" s="4">
        <f t="shared" si="0"/>
        <v>78.2</v>
      </c>
    </row>
    <row r="11" spans="1:9" x14ac:dyDescent="0.25">
      <c r="A11" t="s">
        <v>58</v>
      </c>
      <c r="B11" s="9">
        <v>32.903402854006586</v>
      </c>
      <c r="C11" s="9">
        <v>22.725491842274646</v>
      </c>
      <c r="D11" s="6">
        <v>1.4478631786001077</v>
      </c>
      <c r="G11" s="4">
        <f t="shared" si="1"/>
        <v>80.400000000000006</v>
      </c>
      <c r="H11" s="4">
        <f t="shared" si="0"/>
        <v>10.8</v>
      </c>
      <c r="I11" s="4">
        <f t="shared" si="0"/>
        <v>95.6</v>
      </c>
    </row>
    <row r="12" spans="1:9" x14ac:dyDescent="0.25">
      <c r="A12" t="s">
        <v>64</v>
      </c>
      <c r="B12" s="9">
        <v>5.4107719036981887</v>
      </c>
      <c r="C12" s="9">
        <v>32.371409176463331</v>
      </c>
      <c r="D12" s="6">
        <v>0.16714662850180348</v>
      </c>
      <c r="G12" s="4">
        <f t="shared" si="1"/>
        <v>10.8</v>
      </c>
      <c r="H12" s="4">
        <f t="shared" si="0"/>
        <v>45.6</v>
      </c>
      <c r="I12" s="4">
        <f t="shared" si="0"/>
        <v>13</v>
      </c>
    </row>
    <row r="13" spans="1:9" x14ac:dyDescent="0.25">
      <c r="A13" t="s">
        <v>67</v>
      </c>
      <c r="B13" s="9">
        <v>8.5036667186768611</v>
      </c>
      <c r="C13" s="9">
        <v>26.833565355544547</v>
      </c>
      <c r="D13" s="6">
        <v>0.31690409403310138</v>
      </c>
      <c r="G13" s="4">
        <f t="shared" si="1"/>
        <v>23.9</v>
      </c>
      <c r="H13" s="4">
        <f t="shared" si="0"/>
        <v>19.5</v>
      </c>
      <c r="I13" s="4">
        <f t="shared" si="0"/>
        <v>28.199999999999996</v>
      </c>
    </row>
    <row r="14" spans="1:9" x14ac:dyDescent="0.25">
      <c r="A14" t="s">
        <v>69</v>
      </c>
      <c r="B14" s="9">
        <v>43.217863105175297</v>
      </c>
      <c r="C14" s="9">
        <v>37.584467277608077</v>
      </c>
      <c r="D14" s="6">
        <v>1.1498862757840249</v>
      </c>
      <c r="G14" s="4">
        <f t="shared" si="1"/>
        <v>91.3</v>
      </c>
      <c r="H14" s="4">
        <f t="shared" si="0"/>
        <v>73.900000000000006</v>
      </c>
      <c r="I14" s="4">
        <f t="shared" si="0"/>
        <v>84.7</v>
      </c>
    </row>
    <row r="15" spans="1:9" x14ac:dyDescent="0.25">
      <c r="A15" t="s">
        <v>38</v>
      </c>
      <c r="B15" s="9">
        <v>33.216448836467968</v>
      </c>
      <c r="C15" s="9">
        <v>42.381281821716989</v>
      </c>
      <c r="D15" s="6">
        <v>0.78375281276762176</v>
      </c>
      <c r="G15" s="4">
        <f t="shared" si="1"/>
        <v>82.6</v>
      </c>
      <c r="H15" s="4">
        <f t="shared" si="0"/>
        <v>100</v>
      </c>
      <c r="I15" s="4">
        <f t="shared" si="0"/>
        <v>67.300000000000011</v>
      </c>
    </row>
    <row r="16" spans="1:9" x14ac:dyDescent="0.25">
      <c r="A16" t="s">
        <v>44</v>
      </c>
      <c r="B16" s="9">
        <v>22.045499800876147</v>
      </c>
      <c r="C16" s="9">
        <v>38.626917068609679</v>
      </c>
      <c r="D16" s="6">
        <v>0.57072894949702091</v>
      </c>
      <c r="G16" s="4">
        <f t="shared" si="1"/>
        <v>63</v>
      </c>
      <c r="H16" s="4">
        <f t="shared" si="0"/>
        <v>80.400000000000006</v>
      </c>
      <c r="I16" s="4">
        <f t="shared" si="0"/>
        <v>52.1</v>
      </c>
    </row>
    <row r="17" spans="1:9" x14ac:dyDescent="0.25">
      <c r="A17" t="s">
        <v>54</v>
      </c>
      <c r="B17" s="9">
        <v>20.78402170155049</v>
      </c>
      <c r="C17" s="9">
        <v>35.118826411325195</v>
      </c>
      <c r="D17" s="6">
        <v>0.59181993891595464</v>
      </c>
      <c r="G17" s="4">
        <f t="shared" si="1"/>
        <v>56.499999999999993</v>
      </c>
      <c r="H17" s="4">
        <f t="shared" si="0"/>
        <v>56.499999999999993</v>
      </c>
      <c r="I17" s="4">
        <f t="shared" si="0"/>
        <v>56.499999999999993</v>
      </c>
    </row>
    <row r="18" spans="1:9" x14ac:dyDescent="0.25">
      <c r="A18" t="s">
        <v>65</v>
      </c>
      <c r="B18" s="9">
        <v>25.185811831530607</v>
      </c>
      <c r="C18" s="9">
        <v>21.567341859376853</v>
      </c>
      <c r="D18" s="6">
        <v>1.1677754261858908</v>
      </c>
      <c r="G18" s="4">
        <f t="shared" si="1"/>
        <v>69.5</v>
      </c>
      <c r="H18" s="4">
        <f t="shared" si="0"/>
        <v>6.5</v>
      </c>
      <c r="I18" s="4">
        <f t="shared" si="0"/>
        <v>86.9</v>
      </c>
    </row>
    <row r="19" spans="1:9" x14ac:dyDescent="0.25">
      <c r="A19" t="s">
        <v>77</v>
      </c>
      <c r="B19" s="9">
        <v>4.3892165122156692</v>
      </c>
      <c r="C19" s="9">
        <v>27.605899894124388</v>
      </c>
      <c r="D19" s="6">
        <v>0.15899559619680667</v>
      </c>
      <c r="G19" s="4">
        <f t="shared" si="1"/>
        <v>6.5</v>
      </c>
      <c r="H19" s="4">
        <f t="shared" si="1"/>
        <v>23.9</v>
      </c>
      <c r="I19" s="4">
        <f t="shared" si="1"/>
        <v>10.8</v>
      </c>
    </row>
    <row r="20" spans="1:9" x14ac:dyDescent="0.25">
      <c r="A20" t="s">
        <v>78</v>
      </c>
      <c r="B20" s="9">
        <v>5.9515649988576644</v>
      </c>
      <c r="C20" s="9">
        <v>25.414634146341463</v>
      </c>
      <c r="D20" s="6">
        <v>0.23417866118345898</v>
      </c>
      <c r="G20" s="4">
        <f t="shared" si="1"/>
        <v>15.2</v>
      </c>
      <c r="H20" s="4">
        <f t="shared" si="1"/>
        <v>15.2</v>
      </c>
      <c r="I20" s="4">
        <f t="shared" si="1"/>
        <v>21.7</v>
      </c>
    </row>
    <row r="21" spans="1:9" x14ac:dyDescent="0.25">
      <c r="A21" s="5" t="s">
        <v>36</v>
      </c>
      <c r="B21" s="9">
        <v>42.298636587636196</v>
      </c>
      <c r="C21" s="9">
        <v>35.675266398364414</v>
      </c>
      <c r="D21" s="6">
        <v>1.1856572033776163</v>
      </c>
      <c r="G21" s="4">
        <f t="shared" si="1"/>
        <v>89.1</v>
      </c>
      <c r="H21" s="4">
        <f t="shared" si="1"/>
        <v>63</v>
      </c>
      <c r="I21" s="4">
        <f t="shared" si="1"/>
        <v>89.1</v>
      </c>
    </row>
    <row r="22" spans="1:9" x14ac:dyDescent="0.25">
      <c r="A22" s="5" t="s">
        <v>55</v>
      </c>
      <c r="B22" s="9">
        <v>10.063648037518844</v>
      </c>
      <c r="C22" s="9">
        <v>33.178995285718848</v>
      </c>
      <c r="D22" s="6">
        <v>0.30331382704196935</v>
      </c>
      <c r="G22" s="4">
        <f t="shared" si="1"/>
        <v>30.4</v>
      </c>
      <c r="H22" s="4">
        <f t="shared" si="1"/>
        <v>52.1</v>
      </c>
      <c r="I22" s="4">
        <f t="shared" si="1"/>
        <v>23.9</v>
      </c>
    </row>
    <row r="23" spans="1:9" x14ac:dyDescent="0.25">
      <c r="A23" s="5" t="s">
        <v>42</v>
      </c>
      <c r="B23" s="9">
        <v>6.5468875799822026</v>
      </c>
      <c r="C23" s="9">
        <v>37.390351935694582</v>
      </c>
      <c r="D23" s="6">
        <v>0.17509563941098497</v>
      </c>
      <c r="G23" s="4">
        <f t="shared" si="1"/>
        <v>17.299999999999997</v>
      </c>
      <c r="H23" s="4">
        <f t="shared" si="1"/>
        <v>69.5</v>
      </c>
      <c r="I23" s="4">
        <f t="shared" si="1"/>
        <v>15.2</v>
      </c>
    </row>
    <row r="24" spans="1:9" x14ac:dyDescent="0.25">
      <c r="A24" s="5" t="s">
        <v>59</v>
      </c>
      <c r="B24" s="9">
        <v>19.650863302489746</v>
      </c>
      <c r="C24" s="9">
        <v>36.605488284720636</v>
      </c>
      <c r="D24" s="6">
        <v>0.53682833430997123</v>
      </c>
      <c r="G24" s="4">
        <f t="shared" si="1"/>
        <v>54.300000000000004</v>
      </c>
      <c r="H24" s="4">
        <f t="shared" si="1"/>
        <v>65.2</v>
      </c>
      <c r="I24" s="4">
        <f t="shared" si="1"/>
        <v>47.8</v>
      </c>
    </row>
    <row r="25" spans="1:9" x14ac:dyDescent="0.25">
      <c r="A25" s="5" t="s">
        <v>74</v>
      </c>
      <c r="B25" s="9">
        <v>8.1862978858687026</v>
      </c>
      <c r="C25" s="9">
        <v>25.070736893903444</v>
      </c>
      <c r="D25" s="6">
        <v>0.32652801234013185</v>
      </c>
      <c r="G25" s="4">
        <f t="shared" si="1"/>
        <v>21.7</v>
      </c>
      <c r="H25" s="4">
        <f t="shared" si="1"/>
        <v>13</v>
      </c>
      <c r="I25" s="4">
        <f t="shared" si="1"/>
        <v>30.4</v>
      </c>
    </row>
    <row r="26" spans="1:9" x14ac:dyDescent="0.25">
      <c r="A26" s="5" t="s">
        <v>76</v>
      </c>
      <c r="B26" s="9">
        <v>28.510795349695517</v>
      </c>
      <c r="C26" s="9">
        <v>25.84328796631744</v>
      </c>
      <c r="D26" s="6">
        <v>1.1032185760130344</v>
      </c>
      <c r="G26" s="4">
        <f t="shared" si="1"/>
        <v>76</v>
      </c>
      <c r="H26" s="4">
        <f t="shared" si="1"/>
        <v>17.299999999999997</v>
      </c>
      <c r="I26" s="4">
        <f t="shared" si="1"/>
        <v>80.400000000000006</v>
      </c>
    </row>
    <row r="27" spans="1:9" x14ac:dyDescent="0.25">
      <c r="A27" t="s">
        <v>50</v>
      </c>
      <c r="B27" s="9">
        <v>18.06486930340769</v>
      </c>
      <c r="C27" s="9">
        <v>30.83651439369536</v>
      </c>
      <c r="D27" s="6">
        <v>0.58582721356798739</v>
      </c>
      <c r="G27" s="4">
        <f t="shared" si="1"/>
        <v>50</v>
      </c>
      <c r="H27" s="4">
        <f t="shared" si="1"/>
        <v>41.3</v>
      </c>
      <c r="I27" s="4">
        <f t="shared" si="1"/>
        <v>54.300000000000004</v>
      </c>
    </row>
    <row r="28" spans="1:9" x14ac:dyDescent="0.25">
      <c r="A28" t="s">
        <v>51</v>
      </c>
      <c r="B28" s="9">
        <v>21.704814522494079</v>
      </c>
      <c r="C28" s="9">
        <v>33.841483213195659</v>
      </c>
      <c r="D28" s="6">
        <v>0.64136711697171767</v>
      </c>
      <c r="G28" s="4">
        <f t="shared" si="1"/>
        <v>60.8</v>
      </c>
      <c r="H28" s="4">
        <f t="shared" si="1"/>
        <v>54.300000000000004</v>
      </c>
      <c r="I28" s="4">
        <f t="shared" si="1"/>
        <v>63</v>
      </c>
    </row>
    <row r="29" spans="1:9" x14ac:dyDescent="0.25">
      <c r="A29" t="s">
        <v>53</v>
      </c>
      <c r="B29" s="9">
        <v>4.6092604232139118</v>
      </c>
      <c r="C29" s="9">
        <v>41.099977318308838</v>
      </c>
      <c r="D29" s="6">
        <v>0.11214751744304786</v>
      </c>
      <c r="G29" s="4">
        <f t="shared" si="1"/>
        <v>8.6</v>
      </c>
      <c r="H29" s="4">
        <f t="shared" si="1"/>
        <v>91.3</v>
      </c>
      <c r="I29" s="4">
        <f t="shared" si="1"/>
        <v>4.3</v>
      </c>
    </row>
    <row r="30" spans="1:9" x14ac:dyDescent="0.25">
      <c r="A30" t="s">
        <v>63</v>
      </c>
      <c r="B30" s="9">
        <v>13.821576018668104</v>
      </c>
      <c r="C30" s="9">
        <v>30.275938572776919</v>
      </c>
      <c r="D30" s="6">
        <v>0.45652015000109653</v>
      </c>
      <c r="G30" s="4">
        <f t="shared" si="1"/>
        <v>43.4</v>
      </c>
      <c r="H30" s="4">
        <f t="shared" si="1"/>
        <v>34.699999999999996</v>
      </c>
      <c r="I30" s="4">
        <f t="shared" si="1"/>
        <v>39.1</v>
      </c>
    </row>
    <row r="31" spans="1:9" x14ac:dyDescent="0.25">
      <c r="A31" t="s">
        <v>73</v>
      </c>
      <c r="B31" s="9">
        <v>12.085255987695012</v>
      </c>
      <c r="C31" s="9">
        <v>35.258354193546019</v>
      </c>
      <c r="D31" s="6">
        <v>0.34276290723482483</v>
      </c>
      <c r="G31" s="4">
        <f t="shared" si="1"/>
        <v>36.9</v>
      </c>
      <c r="H31" s="4">
        <f t="shared" si="1"/>
        <v>58.599999999999994</v>
      </c>
      <c r="I31" s="4">
        <f t="shared" si="1"/>
        <v>36.9</v>
      </c>
    </row>
    <row r="32" spans="1:9" x14ac:dyDescent="0.25">
      <c r="A32" t="s">
        <v>79</v>
      </c>
      <c r="B32" s="9">
        <v>24.357838795394155</v>
      </c>
      <c r="C32" s="9">
        <v>28.930450029222676</v>
      </c>
      <c r="D32" s="6">
        <v>0.84194469048322018</v>
      </c>
      <c r="G32" s="4">
        <f t="shared" si="1"/>
        <v>67.300000000000011</v>
      </c>
      <c r="H32" s="4">
        <f t="shared" si="1"/>
        <v>26</v>
      </c>
      <c r="I32" s="4">
        <f t="shared" si="1"/>
        <v>71.7</v>
      </c>
    </row>
    <row r="33" spans="1:9" x14ac:dyDescent="0.25">
      <c r="A33" t="s">
        <v>37</v>
      </c>
      <c r="B33" s="9">
        <v>45.474860335195544</v>
      </c>
      <c r="C33" s="9">
        <v>42.345818079414251</v>
      </c>
      <c r="D33" s="6">
        <v>1.0738925919417395</v>
      </c>
      <c r="G33" s="4">
        <f t="shared" si="1"/>
        <v>95.6</v>
      </c>
      <c r="H33" s="4">
        <f t="shared" si="1"/>
        <v>97.8</v>
      </c>
      <c r="I33" s="4">
        <f t="shared" si="1"/>
        <v>76</v>
      </c>
    </row>
    <row r="34" spans="1:9" x14ac:dyDescent="0.25">
      <c r="A34" t="s">
        <v>40</v>
      </c>
      <c r="B34" s="9">
        <v>18.567409651590566</v>
      </c>
      <c r="C34" s="9">
        <v>37.328860210840787</v>
      </c>
      <c r="D34" s="6">
        <v>0.49740092643381456</v>
      </c>
      <c r="G34" s="4">
        <f t="shared" si="1"/>
        <v>52.1</v>
      </c>
      <c r="H34" s="4">
        <f t="shared" si="1"/>
        <v>67.300000000000011</v>
      </c>
      <c r="I34" s="4">
        <f t="shared" si="1"/>
        <v>45.6</v>
      </c>
    </row>
    <row r="35" spans="1:9" x14ac:dyDescent="0.25">
      <c r="A35" t="s">
        <v>75</v>
      </c>
      <c r="B35" s="9">
        <v>11.450305274747276</v>
      </c>
      <c r="C35" s="9">
        <v>20.390048800658754</v>
      </c>
      <c r="D35" s="6">
        <v>0.56156340706635988</v>
      </c>
      <c r="G35" s="4">
        <f t="shared" si="1"/>
        <v>34.699999999999996</v>
      </c>
      <c r="H35" s="4">
        <f t="shared" si="1"/>
        <v>2.1</v>
      </c>
      <c r="I35" s="4">
        <f t="shared" si="1"/>
        <v>50</v>
      </c>
    </row>
    <row r="36" spans="1:9" x14ac:dyDescent="0.25">
      <c r="A36" t="s">
        <v>62</v>
      </c>
      <c r="B36" s="9">
        <v>23.481116584564859</v>
      </c>
      <c r="C36" s="9">
        <v>38.964281093258847</v>
      </c>
      <c r="D36" s="6">
        <v>0.60263184449275753</v>
      </c>
      <c r="G36" s="4">
        <f t="shared" si="1"/>
        <v>65.2</v>
      </c>
      <c r="H36" s="4">
        <f t="shared" si="1"/>
        <v>82.6</v>
      </c>
      <c r="I36" s="4">
        <f t="shared" si="1"/>
        <v>60.8</v>
      </c>
    </row>
    <row r="37" spans="1:9" x14ac:dyDescent="0.25">
      <c r="A37" t="s">
        <v>80</v>
      </c>
      <c r="B37" s="9">
        <v>3.3489461358313819</v>
      </c>
      <c r="C37" s="9">
        <v>21.866091587741533</v>
      </c>
      <c r="D37" s="6">
        <v>0.15315705243404598</v>
      </c>
      <c r="G37" s="4">
        <f t="shared" si="1"/>
        <v>4.3</v>
      </c>
      <c r="H37" s="4">
        <f t="shared" si="1"/>
        <v>8.6</v>
      </c>
      <c r="I37" s="4">
        <f t="shared" si="1"/>
        <v>8.6</v>
      </c>
    </row>
    <row r="38" spans="1:9" x14ac:dyDescent="0.25">
      <c r="A38" t="s">
        <v>81</v>
      </c>
      <c r="B38" s="9">
        <v>12.260645898828235</v>
      </c>
      <c r="C38" s="9">
        <v>20.62736631308864</v>
      </c>
      <c r="D38" s="6">
        <v>0.59438736447165885</v>
      </c>
      <c r="G38" s="4">
        <f t="shared" si="1"/>
        <v>39.1</v>
      </c>
      <c r="H38" s="4">
        <f t="shared" si="1"/>
        <v>4.3</v>
      </c>
      <c r="I38" s="4">
        <f t="shared" si="1"/>
        <v>58.599999999999994</v>
      </c>
    </row>
    <row r="39" spans="1:9" x14ac:dyDescent="0.25">
      <c r="A39" t="s">
        <v>41</v>
      </c>
      <c r="B39" s="9">
        <v>44.524521802193817</v>
      </c>
      <c r="C39" s="9">
        <v>39.036002668881657</v>
      </c>
      <c r="D39" s="6">
        <v>1.1406014642397657</v>
      </c>
      <c r="G39" s="4">
        <f t="shared" si="1"/>
        <v>93.4</v>
      </c>
      <c r="H39" s="4">
        <f t="shared" si="1"/>
        <v>84.7</v>
      </c>
      <c r="I39" s="4">
        <f t="shared" si="1"/>
        <v>82.6</v>
      </c>
    </row>
    <row r="40" spans="1:9" x14ac:dyDescent="0.25">
      <c r="A40" t="s">
        <v>47</v>
      </c>
      <c r="B40" s="9">
        <v>17.718424419667336</v>
      </c>
      <c r="C40" s="9">
        <v>37.572885887153511</v>
      </c>
      <c r="D40" s="6">
        <v>0.47157475400965715</v>
      </c>
      <c r="G40" s="4">
        <f t="shared" si="1"/>
        <v>47.8</v>
      </c>
      <c r="H40" s="4">
        <f t="shared" si="1"/>
        <v>71.7</v>
      </c>
      <c r="I40" s="4">
        <f t="shared" si="1"/>
        <v>43.4</v>
      </c>
    </row>
    <row r="41" spans="1:9" x14ac:dyDescent="0.25">
      <c r="A41" t="s">
        <v>56</v>
      </c>
      <c r="B41" s="9">
        <v>30.308190497459666</v>
      </c>
      <c r="C41" s="9">
        <v>30.65814969459942</v>
      </c>
      <c r="D41" s="6">
        <v>0.98858511682453554</v>
      </c>
      <c r="G41" s="4">
        <f t="shared" si="1"/>
        <v>78.2</v>
      </c>
      <c r="H41" s="4">
        <f t="shared" si="1"/>
        <v>39.1</v>
      </c>
      <c r="I41" s="4">
        <f t="shared" si="1"/>
        <v>73.900000000000006</v>
      </c>
    </row>
    <row r="42" spans="1:9" x14ac:dyDescent="0.25">
      <c r="A42" t="s">
        <v>60</v>
      </c>
      <c r="B42" s="9">
        <v>27.152885978886925</v>
      </c>
      <c r="C42" s="9">
        <v>20.270841979679162</v>
      </c>
      <c r="D42" s="6">
        <v>1.3395045951276607</v>
      </c>
      <c r="G42" s="4">
        <f t="shared" si="1"/>
        <v>71.7</v>
      </c>
      <c r="H42" s="4">
        <f t="shared" si="1"/>
        <v>0</v>
      </c>
      <c r="I42" s="4">
        <f t="shared" si="1"/>
        <v>93.4</v>
      </c>
    </row>
    <row r="43" spans="1:9" x14ac:dyDescent="0.25">
      <c r="A43" t="s">
        <v>61</v>
      </c>
      <c r="B43" s="9">
        <v>7.3770199407840771</v>
      </c>
      <c r="C43" s="9">
        <v>41.229099657746673</v>
      </c>
      <c r="D43" s="6">
        <v>0.17892750513648398</v>
      </c>
      <c r="G43" s="4">
        <f t="shared" si="1"/>
        <v>19.5</v>
      </c>
      <c r="H43" s="4">
        <f t="shared" si="1"/>
        <v>93.4</v>
      </c>
      <c r="I43" s="4">
        <f t="shared" si="1"/>
        <v>17.299999999999997</v>
      </c>
    </row>
    <row r="44" spans="1:9" x14ac:dyDescent="0.25">
      <c r="A44" t="s">
        <v>43</v>
      </c>
      <c r="B44" s="9">
        <v>15.050907481186369</v>
      </c>
      <c r="C44" s="9">
        <v>32.669974472369034</v>
      </c>
      <c r="D44" s="6">
        <v>0.46069541602843395</v>
      </c>
      <c r="G44" s="4">
        <f t="shared" si="1"/>
        <v>45.6</v>
      </c>
      <c r="H44" s="4">
        <f t="shared" si="1"/>
        <v>50</v>
      </c>
      <c r="I44" s="4">
        <f t="shared" si="1"/>
        <v>41.3</v>
      </c>
    </row>
    <row r="45" spans="1:9" x14ac:dyDescent="0.25">
      <c r="A45" t="s">
        <v>45</v>
      </c>
      <c r="B45" s="9">
        <v>8.8174273858921186</v>
      </c>
      <c r="C45" s="9">
        <v>38.056975334223573</v>
      </c>
      <c r="D45" s="6">
        <v>0.23169017790972088</v>
      </c>
      <c r="G45" s="4">
        <f t="shared" si="1"/>
        <v>26</v>
      </c>
      <c r="H45" s="4">
        <f t="shared" si="1"/>
        <v>76</v>
      </c>
      <c r="I45" s="4">
        <f t="shared" si="1"/>
        <v>19.5</v>
      </c>
    </row>
    <row r="46" spans="1:9" x14ac:dyDescent="0.25">
      <c r="A46" t="s">
        <v>66</v>
      </c>
      <c r="B46" s="9">
        <v>48.327759197324411</v>
      </c>
      <c r="C46" s="9">
        <v>29.10177894429863</v>
      </c>
      <c r="D46" s="6">
        <v>1.660646219938124</v>
      </c>
      <c r="G46" s="4">
        <f t="shared" si="1"/>
        <v>97.8</v>
      </c>
      <c r="H46" s="4">
        <f t="shared" si="1"/>
        <v>28.199999999999996</v>
      </c>
      <c r="I46" s="4">
        <f t="shared" si="1"/>
        <v>100</v>
      </c>
    </row>
    <row r="47" spans="1:9" x14ac:dyDescent="0.25">
      <c r="A47" t="s">
        <v>68</v>
      </c>
      <c r="B47" s="9">
        <v>37.539432176656156</v>
      </c>
      <c r="C47" s="9">
        <v>29.852518435195602</v>
      </c>
      <c r="D47" s="6">
        <v>1.2574963234055929</v>
      </c>
      <c r="G47" s="4">
        <f t="shared" si="1"/>
        <v>84.7</v>
      </c>
      <c r="H47" s="4">
        <f t="shared" si="1"/>
        <v>32.6</v>
      </c>
      <c r="I47" s="4">
        <f t="shared" si="1"/>
        <v>91.3</v>
      </c>
    </row>
    <row r="48" spans="1:9" x14ac:dyDescent="0.25">
      <c r="A48" t="s">
        <v>71</v>
      </c>
      <c r="B48" s="9">
        <v>27.258150721539288</v>
      </c>
      <c r="C48" s="9">
        <v>32.381697901797367</v>
      </c>
      <c r="D48" s="6">
        <v>0.84177645051855998</v>
      </c>
      <c r="G48" s="4">
        <f t="shared" si="1"/>
        <v>73.900000000000006</v>
      </c>
      <c r="H48" s="4">
        <f t="shared" si="1"/>
        <v>47.8</v>
      </c>
      <c r="I48" s="4">
        <f t="shared" si="1"/>
        <v>69.5</v>
      </c>
    </row>
    <row r="49" spans="1:9" x14ac:dyDescent="0.25">
      <c r="A49" t="s">
        <v>70</v>
      </c>
      <c r="B49" s="9">
        <v>0</v>
      </c>
      <c r="C49" s="9">
        <v>40.518041305442878</v>
      </c>
      <c r="D49" s="6">
        <v>0</v>
      </c>
      <c r="G49" s="4">
        <f t="shared" si="1"/>
        <v>0</v>
      </c>
      <c r="H49" s="4">
        <f t="shared" si="1"/>
        <v>86.9</v>
      </c>
      <c r="I49" s="4">
        <f t="shared" si="1"/>
        <v>0</v>
      </c>
    </row>
    <row r="50" spans="1:9" x14ac:dyDescent="0.25">
      <c r="B50" s="9"/>
      <c r="C50" s="9"/>
      <c r="D50" s="6"/>
      <c r="G50" s="2"/>
    </row>
    <row r="51" spans="1:9" x14ac:dyDescent="0.25">
      <c r="B51" s="9"/>
      <c r="C51" s="9"/>
      <c r="D51" s="6"/>
      <c r="G51" s="2"/>
    </row>
    <row r="52" spans="1:9" x14ac:dyDescent="0.25">
      <c r="B52" s="9"/>
      <c r="C52" s="9"/>
      <c r="D52" s="6"/>
      <c r="G52" s="2"/>
    </row>
    <row r="53" spans="1:9" x14ac:dyDescent="0.25">
      <c r="B53" s="9"/>
      <c r="C53" s="9"/>
      <c r="D53" s="6"/>
      <c r="G53" s="2"/>
    </row>
    <row r="54" spans="1:9" x14ac:dyDescent="0.25">
      <c r="B54" s="9"/>
      <c r="C54" s="9"/>
      <c r="D54" s="6"/>
      <c r="G54" s="2"/>
    </row>
    <row r="55" spans="1:9" x14ac:dyDescent="0.25">
      <c r="B55" s="9"/>
      <c r="C55" s="9"/>
      <c r="D55" s="6"/>
      <c r="G55" s="2"/>
    </row>
    <row r="56" spans="1:9" x14ac:dyDescent="0.25">
      <c r="B56" s="9"/>
      <c r="C56" s="9"/>
      <c r="D56" s="6"/>
      <c r="G56" s="2"/>
    </row>
    <row r="57" spans="1:9" x14ac:dyDescent="0.25">
      <c r="B57" s="9"/>
      <c r="C57" s="9"/>
      <c r="D57" s="6"/>
      <c r="G57" s="2"/>
    </row>
    <row r="58" spans="1:9" x14ac:dyDescent="0.25">
      <c r="B58" s="9"/>
      <c r="C58" s="9"/>
      <c r="D58" s="6"/>
      <c r="G58" s="2"/>
    </row>
    <row r="59" spans="1:9" x14ac:dyDescent="0.25">
      <c r="B59" s="9"/>
      <c r="C59" s="9"/>
      <c r="D59" s="6"/>
      <c r="G59" s="2"/>
    </row>
    <row r="60" spans="1:9" x14ac:dyDescent="0.25">
      <c r="B60" s="9"/>
      <c r="C60" s="9"/>
      <c r="D60" s="6"/>
      <c r="G60" s="2"/>
    </row>
    <row r="61" spans="1:9" x14ac:dyDescent="0.25">
      <c r="B61" s="9"/>
      <c r="C61" s="9"/>
      <c r="D61" s="6"/>
      <c r="G61" s="2"/>
    </row>
    <row r="62" spans="1:9" x14ac:dyDescent="0.25">
      <c r="B62" s="9"/>
      <c r="C62" s="9"/>
      <c r="D62" s="6"/>
      <c r="G62" s="2"/>
    </row>
    <row r="63" spans="1:9" x14ac:dyDescent="0.25">
      <c r="B63" s="9"/>
      <c r="C63" s="9"/>
      <c r="D63" s="6"/>
      <c r="G63" s="2"/>
    </row>
    <row r="64" spans="1:9" x14ac:dyDescent="0.25">
      <c r="B64" s="9"/>
      <c r="C64" s="9"/>
      <c r="D64" s="6"/>
      <c r="G64" s="2"/>
    </row>
    <row r="65" spans="2:7" x14ac:dyDescent="0.25">
      <c r="B65" s="9"/>
      <c r="C65" s="9"/>
      <c r="D65" s="6"/>
      <c r="G65" s="2"/>
    </row>
    <row r="66" spans="2:7" x14ac:dyDescent="0.25">
      <c r="B66" s="9"/>
      <c r="C66" s="9"/>
      <c r="D66" s="6"/>
      <c r="G66" s="2"/>
    </row>
    <row r="67" spans="2:7" x14ac:dyDescent="0.25">
      <c r="B67" s="9"/>
      <c r="C67" s="9"/>
      <c r="D67" s="6"/>
      <c r="G67" s="2"/>
    </row>
    <row r="68" spans="2:7" x14ac:dyDescent="0.25">
      <c r="B68" s="9"/>
      <c r="C68" s="9"/>
      <c r="D68" s="6"/>
      <c r="G68" s="2"/>
    </row>
    <row r="69" spans="2:7" x14ac:dyDescent="0.25">
      <c r="B69" s="9"/>
      <c r="C69" s="9"/>
      <c r="D69" s="6"/>
      <c r="G69" s="2"/>
    </row>
    <row r="70" spans="2:7" x14ac:dyDescent="0.25">
      <c r="B70" s="9"/>
      <c r="C70" s="9"/>
      <c r="D70" s="6"/>
      <c r="G70" s="2"/>
    </row>
    <row r="71" spans="2:7" x14ac:dyDescent="0.25">
      <c r="B71" s="9"/>
      <c r="C71" s="9"/>
      <c r="D71" s="6"/>
      <c r="G71" s="2"/>
    </row>
    <row r="72" spans="2:7" x14ac:dyDescent="0.25">
      <c r="B72" s="9"/>
      <c r="C72" s="9"/>
      <c r="D72" s="6"/>
      <c r="G72" s="2"/>
    </row>
    <row r="73" spans="2:7" x14ac:dyDescent="0.25">
      <c r="B73" s="9"/>
      <c r="C73" s="9"/>
      <c r="D73" s="6"/>
      <c r="G73" s="2"/>
    </row>
    <row r="74" spans="2:7" x14ac:dyDescent="0.25">
      <c r="B74" s="9"/>
      <c r="C74" s="9"/>
      <c r="D74" s="6"/>
      <c r="G74" s="2"/>
    </row>
    <row r="75" spans="2:7" x14ac:dyDescent="0.25">
      <c r="B75" s="9"/>
      <c r="C75" s="9"/>
      <c r="D75" s="6"/>
      <c r="G75" s="2"/>
    </row>
    <row r="76" spans="2:7" x14ac:dyDescent="0.25">
      <c r="B76" s="9"/>
      <c r="C76" s="9"/>
      <c r="D76" s="6"/>
      <c r="G76" s="2"/>
    </row>
    <row r="77" spans="2:7" x14ac:dyDescent="0.25">
      <c r="B77" s="9"/>
      <c r="C77" s="9"/>
      <c r="D77" s="6"/>
      <c r="G77" s="2"/>
    </row>
    <row r="78" spans="2:7" x14ac:dyDescent="0.25">
      <c r="B78" s="9"/>
      <c r="C78" s="9"/>
      <c r="D78" s="6"/>
      <c r="G78" s="2"/>
    </row>
    <row r="79" spans="2:7" x14ac:dyDescent="0.25">
      <c r="B79" s="9"/>
      <c r="C79" s="9"/>
      <c r="D79" s="6"/>
      <c r="G79" s="2"/>
    </row>
  </sheetData>
  <autoFilter ref="A2:I2" xr:uid="{ABC38280-09A5-405D-93E7-135B8E0A1F5F}"/>
  <mergeCells count="2">
    <mergeCell ref="A1:D1"/>
    <mergeCell ref="G1:I1"/>
  </mergeCells>
  <conditionalFormatting sqref="B3:B49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49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49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49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39</v>
      </c>
      <c r="B2" s="2">
        <v>6</v>
      </c>
      <c r="C2" s="2">
        <v>121</v>
      </c>
      <c r="D2" s="2">
        <v>145</v>
      </c>
      <c r="E2" s="2">
        <v>53</v>
      </c>
      <c r="F2" s="2">
        <v>99</v>
      </c>
      <c r="G2" s="2">
        <v>11</v>
      </c>
      <c r="H2" s="2">
        <v>24</v>
      </c>
      <c r="I2" s="2">
        <v>17</v>
      </c>
      <c r="J2" s="2">
        <v>19</v>
      </c>
      <c r="K2" s="2">
        <v>5</v>
      </c>
      <c r="L2" s="2">
        <v>41</v>
      </c>
      <c r="M2" s="2">
        <v>46</v>
      </c>
      <c r="N2" s="2">
        <v>41</v>
      </c>
      <c r="O2" s="2">
        <v>3</v>
      </c>
      <c r="P2" s="2">
        <v>4</v>
      </c>
      <c r="Q2" s="2">
        <v>17</v>
      </c>
      <c r="R2" s="2">
        <v>15</v>
      </c>
      <c r="S2" s="9">
        <f>100*(N2)/((C2/($C$15/3))*$E$15-E2)</f>
        <v>52.891723438179447</v>
      </c>
      <c r="T2" s="9">
        <f>(100*(F2+0.44*J2+Q2)*($C$15/3))/(C2*($F$15+0.44*$J$15+$Q$15))</f>
        <v>35.411210071029487</v>
      </c>
      <c r="U2" s="6">
        <f>S2/T2</f>
        <v>1.4936434912019871</v>
      </c>
    </row>
    <row r="3" spans="1:40" x14ac:dyDescent="0.25">
      <c r="A3" s="5" t="s">
        <v>49</v>
      </c>
      <c r="B3" s="2">
        <v>6</v>
      </c>
      <c r="C3" s="2">
        <v>86</v>
      </c>
      <c r="D3" s="2">
        <v>100</v>
      </c>
      <c r="E3" s="2">
        <v>40</v>
      </c>
      <c r="F3" s="2">
        <v>78</v>
      </c>
      <c r="G3" s="2">
        <v>3</v>
      </c>
      <c r="H3" s="2">
        <v>10</v>
      </c>
      <c r="I3" s="2">
        <v>9</v>
      </c>
      <c r="J3" s="2">
        <v>10</v>
      </c>
      <c r="K3" s="2">
        <v>19</v>
      </c>
      <c r="L3" s="2">
        <v>46</v>
      </c>
      <c r="M3" s="2">
        <v>65</v>
      </c>
      <c r="N3" s="2">
        <v>3</v>
      </c>
      <c r="O3" s="2">
        <v>2</v>
      </c>
      <c r="P3" s="2">
        <v>7</v>
      </c>
      <c r="Q3" s="2">
        <v>19</v>
      </c>
      <c r="R3" s="2">
        <v>10</v>
      </c>
      <c r="S3" s="9">
        <f t="shared" ref="S3:S13" si="0">100*(N3)/((C3/($C$15/3))*$E$15-E3)</f>
        <v>5.6856899488926746</v>
      </c>
      <c r="T3" s="9">
        <f t="shared" ref="T3:T13" si="1">(100*(F3+0.44*J3+Q3)*($C$15/3))/(C3*($F$15+0.44*$J$15+$Q$15))</f>
        <v>40.624209987273368</v>
      </c>
      <c r="U3" s="6">
        <f t="shared" ref="U3:U13" si="2">S3/T3</f>
        <v>0.13995816658770399</v>
      </c>
    </row>
    <row r="4" spans="1:40" x14ac:dyDescent="0.25">
      <c r="A4" s="5" t="s">
        <v>52</v>
      </c>
      <c r="B4" s="2">
        <v>6</v>
      </c>
      <c r="C4" s="2">
        <v>116</v>
      </c>
      <c r="D4" s="2">
        <v>85</v>
      </c>
      <c r="E4" s="2">
        <v>31</v>
      </c>
      <c r="F4" s="2">
        <v>81</v>
      </c>
      <c r="G4" s="2">
        <v>6</v>
      </c>
      <c r="H4" s="2">
        <v>18</v>
      </c>
      <c r="I4" s="2">
        <v>9</v>
      </c>
      <c r="J4" s="2">
        <v>11</v>
      </c>
      <c r="K4" s="2">
        <v>8</v>
      </c>
      <c r="L4" s="2">
        <v>26</v>
      </c>
      <c r="M4" s="2">
        <v>34</v>
      </c>
      <c r="N4" s="2">
        <v>20</v>
      </c>
      <c r="O4" s="2">
        <v>4</v>
      </c>
      <c r="P4" s="2">
        <v>2</v>
      </c>
      <c r="Q4" s="2">
        <v>13</v>
      </c>
      <c r="R4" s="2">
        <v>12</v>
      </c>
      <c r="S4" s="9">
        <f t="shared" si="0"/>
        <v>21.248657037125465</v>
      </c>
      <c r="T4" s="9">
        <f t="shared" si="1"/>
        <v>29.357574534297473</v>
      </c>
      <c r="U4" s="6">
        <f t="shared" si="2"/>
        <v>0.7237878937274389</v>
      </c>
    </row>
    <row r="5" spans="1:40" x14ac:dyDescent="0.25">
      <c r="A5" s="5" t="s">
        <v>57</v>
      </c>
      <c r="B5" s="2">
        <v>6</v>
      </c>
      <c r="C5" s="2">
        <v>62</v>
      </c>
      <c r="D5" s="2">
        <v>67</v>
      </c>
      <c r="E5" s="2">
        <v>21</v>
      </c>
      <c r="F5" s="2">
        <v>42</v>
      </c>
      <c r="G5" s="2">
        <v>4</v>
      </c>
      <c r="H5" s="2">
        <v>11</v>
      </c>
      <c r="I5" s="2">
        <v>10</v>
      </c>
      <c r="J5" s="2">
        <v>11</v>
      </c>
      <c r="K5" s="2">
        <v>10</v>
      </c>
      <c r="L5" s="2">
        <v>23</v>
      </c>
      <c r="M5" s="2">
        <v>33</v>
      </c>
      <c r="N5" s="2">
        <v>5</v>
      </c>
      <c r="O5" s="2">
        <v>1</v>
      </c>
      <c r="P5" s="2">
        <v>7</v>
      </c>
      <c r="Q5" s="2">
        <v>11</v>
      </c>
      <c r="R5" s="2">
        <v>24</v>
      </c>
      <c r="S5" s="9">
        <f t="shared" si="0"/>
        <v>10.898848885623314</v>
      </c>
      <c r="T5" s="9">
        <f t="shared" si="1"/>
        <v>32.142675174507652</v>
      </c>
      <c r="U5" s="6">
        <f t="shared" si="2"/>
        <v>0.33907721826051335</v>
      </c>
    </row>
    <row r="6" spans="1:40" x14ac:dyDescent="0.25">
      <c r="A6" s="5" t="s">
        <v>72</v>
      </c>
      <c r="B6" s="2">
        <v>6</v>
      </c>
      <c r="C6" s="2">
        <v>54</v>
      </c>
      <c r="D6" s="2">
        <v>36</v>
      </c>
      <c r="E6" s="2">
        <v>15</v>
      </c>
      <c r="F6" s="2">
        <v>35</v>
      </c>
      <c r="G6" s="2">
        <v>1</v>
      </c>
      <c r="H6" s="2">
        <v>13</v>
      </c>
      <c r="I6" s="2">
        <v>2</v>
      </c>
      <c r="J6" s="2">
        <v>4</v>
      </c>
      <c r="K6" s="2">
        <v>6</v>
      </c>
      <c r="L6" s="2">
        <v>18</v>
      </c>
      <c r="M6" s="2">
        <v>24</v>
      </c>
      <c r="N6" s="2">
        <v>4</v>
      </c>
      <c r="O6" s="2">
        <v>1</v>
      </c>
      <c r="P6" s="2">
        <v>1</v>
      </c>
      <c r="Q6" s="2">
        <v>6</v>
      </c>
      <c r="R6" s="2">
        <v>12</v>
      </c>
      <c r="S6" s="9">
        <f t="shared" si="0"/>
        <v>9.2491556248376217</v>
      </c>
      <c r="T6" s="9">
        <f t="shared" si="1"/>
        <v>27.282826510117541</v>
      </c>
      <c r="U6" s="6">
        <f t="shared" si="2"/>
        <v>0.33901016895766545</v>
      </c>
    </row>
    <row r="7" spans="1:40" x14ac:dyDescent="0.25">
      <c r="A7" s="5" t="s">
        <v>82</v>
      </c>
      <c r="B7" s="2">
        <v>1</v>
      </c>
      <c r="C7" s="2">
        <v>6</v>
      </c>
      <c r="D7" s="2">
        <v>2</v>
      </c>
      <c r="E7" s="2">
        <v>0</v>
      </c>
      <c r="F7" s="2">
        <v>4</v>
      </c>
      <c r="G7" s="2">
        <v>0</v>
      </c>
      <c r="H7" s="2">
        <v>1</v>
      </c>
      <c r="I7" s="2">
        <v>1</v>
      </c>
      <c r="J7" s="2">
        <v>3</v>
      </c>
      <c r="K7" s="2">
        <v>1</v>
      </c>
      <c r="L7" s="2">
        <v>0</v>
      </c>
      <c r="M7" s="2">
        <v>1</v>
      </c>
      <c r="N7" s="2">
        <v>0</v>
      </c>
      <c r="O7" s="2">
        <v>0</v>
      </c>
      <c r="P7" s="2">
        <v>0</v>
      </c>
      <c r="Q7" s="2">
        <v>0</v>
      </c>
      <c r="R7" s="2">
        <v>2</v>
      </c>
      <c r="S7" s="9">
        <f t="shared" si="0"/>
        <v>0</v>
      </c>
      <c r="T7" s="9">
        <f t="shared" si="1"/>
        <v>30.549619581488024</v>
      </c>
      <c r="U7" s="6">
        <f t="shared" si="2"/>
        <v>0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31</v>
      </c>
      <c r="C15" s="2">
        <f t="shared" ref="C15:R15" si="3">SUM(C2:C13)</f>
        <v>445</v>
      </c>
      <c r="D15" s="2">
        <f t="shared" si="3"/>
        <v>435</v>
      </c>
      <c r="E15" s="2">
        <f t="shared" si="3"/>
        <v>160</v>
      </c>
      <c r="F15" s="2">
        <f t="shared" si="3"/>
        <v>339</v>
      </c>
      <c r="G15" s="2">
        <f t="shared" si="3"/>
        <v>25</v>
      </c>
      <c r="H15" s="2">
        <f t="shared" si="3"/>
        <v>77</v>
      </c>
      <c r="I15" s="2">
        <f t="shared" si="3"/>
        <v>48</v>
      </c>
      <c r="J15" s="2">
        <f t="shared" si="3"/>
        <v>58</v>
      </c>
      <c r="K15" s="2">
        <f t="shared" si="3"/>
        <v>49</v>
      </c>
      <c r="L15" s="2">
        <f t="shared" si="3"/>
        <v>154</v>
      </c>
      <c r="M15" s="2">
        <f t="shared" si="3"/>
        <v>203</v>
      </c>
      <c r="N15" s="2">
        <f t="shared" si="3"/>
        <v>73</v>
      </c>
      <c r="O15" s="2">
        <f t="shared" si="3"/>
        <v>11</v>
      </c>
      <c r="P15" s="2">
        <f t="shared" si="3"/>
        <v>21</v>
      </c>
      <c r="Q15" s="2">
        <f t="shared" si="3"/>
        <v>66</v>
      </c>
      <c r="R15" s="2">
        <f t="shared" si="3"/>
        <v>75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46</v>
      </c>
      <c r="B2" s="2">
        <v>6</v>
      </c>
      <c r="C2" s="2">
        <v>86</v>
      </c>
      <c r="D2" s="2">
        <v>116</v>
      </c>
      <c r="E2" s="2">
        <v>41</v>
      </c>
      <c r="F2" s="2">
        <v>84</v>
      </c>
      <c r="G2" s="2">
        <v>15</v>
      </c>
      <c r="H2" s="2">
        <v>33</v>
      </c>
      <c r="I2" s="2">
        <v>11</v>
      </c>
      <c r="J2" s="2">
        <v>14</v>
      </c>
      <c r="K2" s="2">
        <v>4</v>
      </c>
      <c r="L2" s="2">
        <v>19</v>
      </c>
      <c r="M2" s="2">
        <v>23</v>
      </c>
      <c r="N2" s="2">
        <v>7</v>
      </c>
      <c r="O2" s="2">
        <v>12</v>
      </c>
      <c r="P2" s="2">
        <v>2</v>
      </c>
      <c r="Q2" s="2">
        <v>9</v>
      </c>
      <c r="R2" s="2">
        <v>15</v>
      </c>
      <c r="S2" s="9">
        <f>100*(N2)/((C2/($C$15/3))*$E$15-E2)</f>
        <v>12.759197324414716</v>
      </c>
      <c r="T2" s="9">
        <f>(100*(F2+0.44*J2+Q2)*($C$15/3))/(C2*($F$15+0.44*$J$15+$Q$15))</f>
        <v>42.010808558537555</v>
      </c>
      <c r="U2" s="6">
        <f>S2/T2</f>
        <v>0.30371225316066325</v>
      </c>
    </row>
    <row r="3" spans="1:40" x14ac:dyDescent="0.25">
      <c r="A3" s="5" t="s">
        <v>48</v>
      </c>
      <c r="B3" s="2">
        <v>6</v>
      </c>
      <c r="C3" s="2">
        <v>92</v>
      </c>
      <c r="D3" s="2">
        <v>113</v>
      </c>
      <c r="E3" s="2">
        <v>40</v>
      </c>
      <c r="F3" s="2">
        <v>79</v>
      </c>
      <c r="G3" s="2">
        <v>11</v>
      </c>
      <c r="H3" s="2">
        <v>30</v>
      </c>
      <c r="I3" s="2">
        <v>13</v>
      </c>
      <c r="J3" s="2">
        <v>14</v>
      </c>
      <c r="K3" s="2">
        <v>8</v>
      </c>
      <c r="L3" s="2">
        <v>15</v>
      </c>
      <c r="M3" s="2">
        <v>23</v>
      </c>
      <c r="N3" s="2">
        <v>26</v>
      </c>
      <c r="O3" s="2">
        <v>4</v>
      </c>
      <c r="P3" s="2">
        <v>1</v>
      </c>
      <c r="Q3" s="2">
        <v>11</v>
      </c>
      <c r="R3" s="2">
        <v>14</v>
      </c>
      <c r="S3" s="9">
        <f t="shared" ref="S3:S13" si="0">100*(N3)/((C3/($C$15/3))*$E$15-E3)</f>
        <v>41.566441771780589</v>
      </c>
      <c r="T3" s="9">
        <f t="shared" ref="T3:T13" si="1">(100*(F3+0.44*J3+Q3)*($C$15/3))/(C3*($F$15+0.44*$J$15+$Q$15))</f>
        <v>38.08286390298634</v>
      </c>
      <c r="U3" s="6">
        <f t="shared" ref="U3:U13" si="2">S3/T3</f>
        <v>1.0914736317538629</v>
      </c>
    </row>
    <row r="4" spans="1:40" x14ac:dyDescent="0.25">
      <c r="A4" s="5" t="s">
        <v>58</v>
      </c>
      <c r="B4" s="2">
        <v>6</v>
      </c>
      <c r="C4" s="2">
        <v>86</v>
      </c>
      <c r="D4" s="2">
        <v>67</v>
      </c>
      <c r="E4" s="2">
        <v>29</v>
      </c>
      <c r="F4" s="2">
        <v>45</v>
      </c>
      <c r="G4" s="2">
        <v>0</v>
      </c>
      <c r="H4" s="2">
        <v>0</v>
      </c>
      <c r="I4" s="2">
        <v>5</v>
      </c>
      <c r="J4" s="2">
        <v>6</v>
      </c>
      <c r="K4" s="2">
        <v>6</v>
      </c>
      <c r="L4" s="2">
        <v>42</v>
      </c>
      <c r="M4" s="2">
        <v>48</v>
      </c>
      <c r="N4" s="2">
        <v>22</v>
      </c>
      <c r="O4" s="2">
        <v>2</v>
      </c>
      <c r="P4" s="2">
        <v>2</v>
      </c>
      <c r="Q4" s="2">
        <v>6</v>
      </c>
      <c r="R4" s="2">
        <v>8</v>
      </c>
      <c r="S4" s="9">
        <f t="shared" si="0"/>
        <v>32.903402854006586</v>
      </c>
      <c r="T4" s="9">
        <f t="shared" si="1"/>
        <v>22.725491842274646</v>
      </c>
      <c r="U4" s="6">
        <f t="shared" si="2"/>
        <v>1.4478631786001077</v>
      </c>
    </row>
    <row r="5" spans="1:40" x14ac:dyDescent="0.25">
      <c r="A5" s="5" t="s">
        <v>64</v>
      </c>
      <c r="B5" s="2">
        <v>6</v>
      </c>
      <c r="C5" s="2">
        <v>52</v>
      </c>
      <c r="D5" s="2">
        <v>52</v>
      </c>
      <c r="E5" s="2">
        <v>21</v>
      </c>
      <c r="F5" s="2">
        <v>39</v>
      </c>
      <c r="G5" s="2">
        <v>4</v>
      </c>
      <c r="H5" s="2">
        <v>11</v>
      </c>
      <c r="I5" s="2">
        <v>3</v>
      </c>
      <c r="J5" s="2">
        <v>5</v>
      </c>
      <c r="K5" s="2">
        <v>6</v>
      </c>
      <c r="L5" s="2">
        <v>17</v>
      </c>
      <c r="M5" s="2">
        <v>23</v>
      </c>
      <c r="N5" s="2">
        <v>2</v>
      </c>
      <c r="O5" s="2">
        <v>3</v>
      </c>
      <c r="P5" s="2">
        <v>0</v>
      </c>
      <c r="Q5" s="2">
        <v>5</v>
      </c>
      <c r="R5" s="2">
        <v>13</v>
      </c>
      <c r="S5" s="9">
        <f t="shared" si="0"/>
        <v>5.4107719036981887</v>
      </c>
      <c r="T5" s="9">
        <f t="shared" si="1"/>
        <v>32.371409176463331</v>
      </c>
      <c r="U5" s="6">
        <f t="shared" si="2"/>
        <v>0.16714662850180348</v>
      </c>
    </row>
    <row r="6" spans="1:40" x14ac:dyDescent="0.25">
      <c r="A6" s="5" t="s">
        <v>67</v>
      </c>
      <c r="B6" s="2">
        <v>6</v>
      </c>
      <c r="C6" s="2">
        <v>68</v>
      </c>
      <c r="D6" s="2">
        <v>46</v>
      </c>
      <c r="E6" s="2">
        <v>17</v>
      </c>
      <c r="F6" s="2">
        <v>36</v>
      </c>
      <c r="G6" s="2">
        <v>3</v>
      </c>
      <c r="H6" s="2">
        <v>16</v>
      </c>
      <c r="I6" s="2">
        <v>5</v>
      </c>
      <c r="J6" s="2">
        <v>7</v>
      </c>
      <c r="K6" s="2">
        <v>7</v>
      </c>
      <c r="L6" s="2">
        <v>30</v>
      </c>
      <c r="M6" s="2">
        <v>37</v>
      </c>
      <c r="N6" s="2">
        <v>5</v>
      </c>
      <c r="O6" s="2">
        <v>1</v>
      </c>
      <c r="P6" s="2">
        <v>2</v>
      </c>
      <c r="Q6" s="2">
        <v>11</v>
      </c>
      <c r="R6" s="2">
        <v>13</v>
      </c>
      <c r="S6" s="9">
        <f t="shared" si="0"/>
        <v>8.5036667186768611</v>
      </c>
      <c r="T6" s="9">
        <f t="shared" si="1"/>
        <v>26.833565355544547</v>
      </c>
      <c r="U6" s="6">
        <f t="shared" si="2"/>
        <v>0.31690409403310138</v>
      </c>
    </row>
    <row r="7" spans="1:40" x14ac:dyDescent="0.25">
      <c r="A7" s="5" t="s">
        <v>69</v>
      </c>
      <c r="B7" s="2">
        <v>6</v>
      </c>
      <c r="C7" s="2">
        <v>52</v>
      </c>
      <c r="D7" s="2">
        <v>45</v>
      </c>
      <c r="E7" s="2">
        <v>14</v>
      </c>
      <c r="F7" s="2">
        <v>48</v>
      </c>
      <c r="G7" s="2">
        <v>6</v>
      </c>
      <c r="H7" s="2">
        <v>20</v>
      </c>
      <c r="I7" s="2">
        <v>6</v>
      </c>
      <c r="J7" s="2">
        <v>6</v>
      </c>
      <c r="K7" s="2">
        <v>3</v>
      </c>
      <c r="L7" s="2">
        <v>24</v>
      </c>
      <c r="M7" s="2">
        <v>27</v>
      </c>
      <c r="N7" s="2">
        <v>19</v>
      </c>
      <c r="O7" s="2">
        <v>4</v>
      </c>
      <c r="P7" s="2">
        <v>1</v>
      </c>
      <c r="Q7" s="2">
        <v>3</v>
      </c>
      <c r="R7" s="2">
        <v>11</v>
      </c>
      <c r="S7" s="9">
        <f t="shared" si="0"/>
        <v>43.217863105175297</v>
      </c>
      <c r="T7" s="9">
        <f t="shared" si="1"/>
        <v>37.584467277608077</v>
      </c>
      <c r="U7" s="6">
        <f t="shared" si="2"/>
        <v>1.1498862757840249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36</v>
      </c>
      <c r="C15" s="2">
        <f t="shared" ref="C15:R15" si="3">SUM(C2:C13)</f>
        <v>436</v>
      </c>
      <c r="D15" s="2">
        <f t="shared" si="3"/>
        <v>439</v>
      </c>
      <c r="E15" s="2">
        <f t="shared" si="3"/>
        <v>162</v>
      </c>
      <c r="F15" s="2">
        <f t="shared" si="3"/>
        <v>331</v>
      </c>
      <c r="G15" s="2">
        <f t="shared" si="3"/>
        <v>39</v>
      </c>
      <c r="H15" s="2">
        <f t="shared" si="3"/>
        <v>110</v>
      </c>
      <c r="I15" s="2">
        <f t="shared" si="3"/>
        <v>43</v>
      </c>
      <c r="J15" s="2">
        <f t="shared" si="3"/>
        <v>52</v>
      </c>
      <c r="K15" s="2">
        <f t="shared" si="3"/>
        <v>34</v>
      </c>
      <c r="L15" s="2">
        <f t="shared" si="3"/>
        <v>147</v>
      </c>
      <c r="M15" s="2">
        <f t="shared" si="3"/>
        <v>181</v>
      </c>
      <c r="N15" s="2">
        <f t="shared" si="3"/>
        <v>81</v>
      </c>
      <c r="O15" s="2">
        <f t="shared" si="3"/>
        <v>26</v>
      </c>
      <c r="P15" s="2">
        <f t="shared" si="3"/>
        <v>8</v>
      </c>
      <c r="Q15" s="2">
        <f t="shared" si="3"/>
        <v>45</v>
      </c>
      <c r="R15" s="2">
        <f t="shared" si="3"/>
        <v>74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38</v>
      </c>
      <c r="B2" s="2">
        <v>7</v>
      </c>
      <c r="C2" s="2">
        <v>116</v>
      </c>
      <c r="D2" s="2">
        <v>170</v>
      </c>
      <c r="E2" s="2">
        <v>60</v>
      </c>
      <c r="F2" s="2">
        <v>125</v>
      </c>
      <c r="G2" s="2">
        <v>20</v>
      </c>
      <c r="H2" s="2">
        <v>53</v>
      </c>
      <c r="I2" s="2">
        <v>14</v>
      </c>
      <c r="J2" s="2">
        <v>18</v>
      </c>
      <c r="K2" s="2">
        <v>8</v>
      </c>
      <c r="L2" s="2">
        <v>26</v>
      </c>
      <c r="M2" s="2">
        <v>34</v>
      </c>
      <c r="N2" s="2">
        <v>24</v>
      </c>
      <c r="O2" s="2">
        <v>8</v>
      </c>
      <c r="P2" s="2">
        <v>6</v>
      </c>
      <c r="Q2" s="2">
        <v>11</v>
      </c>
      <c r="R2" s="2">
        <v>13</v>
      </c>
      <c r="S2" s="9">
        <f>100*(N2)/((C2/($C$15/3))*$E$15-E2)</f>
        <v>33.216448836467968</v>
      </c>
      <c r="T2" s="9">
        <f>(100*(F2+0.44*J2+Q2)*($C$15/3))/(C2*($F$15+0.44*$J$15+$Q$15))</f>
        <v>42.381281821716989</v>
      </c>
      <c r="U2" s="6">
        <f>S2/T2</f>
        <v>0.78375281276762176</v>
      </c>
    </row>
    <row r="3" spans="1:40" x14ac:dyDescent="0.25">
      <c r="A3" s="5" t="s">
        <v>44</v>
      </c>
      <c r="B3" s="2">
        <v>7</v>
      </c>
      <c r="C3" s="2">
        <v>115</v>
      </c>
      <c r="D3" s="2">
        <v>138</v>
      </c>
      <c r="E3" s="2">
        <v>54</v>
      </c>
      <c r="F3" s="2">
        <v>111</v>
      </c>
      <c r="G3" s="2">
        <v>7</v>
      </c>
      <c r="H3" s="2">
        <v>25</v>
      </c>
      <c r="I3" s="2">
        <v>14</v>
      </c>
      <c r="J3" s="2">
        <v>16</v>
      </c>
      <c r="K3" s="2">
        <v>12</v>
      </c>
      <c r="L3" s="2">
        <v>52</v>
      </c>
      <c r="M3" s="2">
        <v>64</v>
      </c>
      <c r="N3" s="2">
        <v>17</v>
      </c>
      <c r="O3" s="2">
        <v>8</v>
      </c>
      <c r="P3" s="2">
        <v>5</v>
      </c>
      <c r="Q3" s="2">
        <v>12</v>
      </c>
      <c r="R3" s="2">
        <v>12</v>
      </c>
      <c r="S3" s="9">
        <f t="shared" ref="S3:S13" si="0">100*(N3)/((C3/($C$15/3))*$E$15-E3)</f>
        <v>22.045499800876147</v>
      </c>
      <c r="T3" s="9">
        <f t="shared" ref="T3:T13" si="1">(100*(F3+0.44*J3+Q3)*($C$15/3))/(C3*($F$15+0.44*$J$15+$Q$15))</f>
        <v>38.626917068609679</v>
      </c>
      <c r="U3" s="6">
        <f t="shared" ref="U3:U13" si="2">S3/T3</f>
        <v>0.57072894949702091</v>
      </c>
    </row>
    <row r="4" spans="1:40" x14ac:dyDescent="0.25">
      <c r="A4" s="5" t="s">
        <v>54</v>
      </c>
      <c r="B4" s="2">
        <v>7</v>
      </c>
      <c r="C4" s="2">
        <v>94</v>
      </c>
      <c r="D4" s="2">
        <v>89</v>
      </c>
      <c r="E4" s="2">
        <v>35</v>
      </c>
      <c r="F4" s="2">
        <v>83</v>
      </c>
      <c r="G4" s="2">
        <v>13</v>
      </c>
      <c r="H4" s="2">
        <v>36</v>
      </c>
      <c r="I4" s="2">
        <v>3</v>
      </c>
      <c r="J4" s="2">
        <v>6</v>
      </c>
      <c r="K4" s="2">
        <v>5</v>
      </c>
      <c r="L4" s="2">
        <v>12</v>
      </c>
      <c r="M4" s="2">
        <v>17</v>
      </c>
      <c r="N4" s="2">
        <v>15</v>
      </c>
      <c r="O4" s="2">
        <v>8</v>
      </c>
      <c r="P4" s="2">
        <v>1</v>
      </c>
      <c r="Q4" s="2">
        <v>11</v>
      </c>
      <c r="R4" s="2">
        <v>16</v>
      </c>
      <c r="S4" s="9">
        <f t="shared" si="0"/>
        <v>20.78402170155049</v>
      </c>
      <c r="T4" s="9">
        <f t="shared" si="1"/>
        <v>35.118826411325195</v>
      </c>
      <c r="U4" s="6">
        <f t="shared" si="2"/>
        <v>0.59181993891595464</v>
      </c>
    </row>
    <row r="5" spans="1:40" x14ac:dyDescent="0.25">
      <c r="A5" s="5" t="s">
        <v>65</v>
      </c>
      <c r="B5" s="2">
        <v>7</v>
      </c>
      <c r="C5" s="2">
        <v>102</v>
      </c>
      <c r="D5" s="2">
        <v>59</v>
      </c>
      <c r="E5" s="2">
        <v>21</v>
      </c>
      <c r="F5" s="2">
        <v>55</v>
      </c>
      <c r="G5" s="2">
        <v>5</v>
      </c>
      <c r="H5" s="2">
        <v>21</v>
      </c>
      <c r="I5" s="2">
        <v>7</v>
      </c>
      <c r="J5" s="2">
        <v>10</v>
      </c>
      <c r="K5" s="2">
        <v>11</v>
      </c>
      <c r="L5" s="2">
        <v>27</v>
      </c>
      <c r="M5" s="2">
        <v>38</v>
      </c>
      <c r="N5" s="2">
        <v>24</v>
      </c>
      <c r="O5" s="2">
        <v>15</v>
      </c>
      <c r="P5" s="2">
        <v>4</v>
      </c>
      <c r="Q5" s="2">
        <v>5</v>
      </c>
      <c r="R5" s="2">
        <v>17</v>
      </c>
      <c r="S5" s="9">
        <f t="shared" si="0"/>
        <v>25.185811831530607</v>
      </c>
      <c r="T5" s="9">
        <f t="shared" si="1"/>
        <v>21.567341859376853</v>
      </c>
      <c r="U5" s="6">
        <f t="shared" si="2"/>
        <v>1.1677754261858908</v>
      </c>
    </row>
    <row r="6" spans="1:40" x14ac:dyDescent="0.25">
      <c r="A6" s="5" t="s">
        <v>77</v>
      </c>
      <c r="B6" s="2">
        <v>7</v>
      </c>
      <c r="C6" s="2">
        <v>54</v>
      </c>
      <c r="D6" s="2">
        <v>36</v>
      </c>
      <c r="E6" s="2">
        <v>16</v>
      </c>
      <c r="F6" s="2">
        <v>36</v>
      </c>
      <c r="G6" s="2">
        <v>0</v>
      </c>
      <c r="H6" s="2">
        <v>10</v>
      </c>
      <c r="I6" s="2">
        <v>2</v>
      </c>
      <c r="J6" s="2">
        <v>6</v>
      </c>
      <c r="K6" s="2">
        <v>5</v>
      </c>
      <c r="L6" s="2">
        <v>22</v>
      </c>
      <c r="M6" s="2">
        <v>27</v>
      </c>
      <c r="N6" s="2">
        <v>2</v>
      </c>
      <c r="O6" s="2">
        <v>2</v>
      </c>
      <c r="P6" s="2">
        <v>6</v>
      </c>
      <c r="Q6" s="2">
        <v>5</v>
      </c>
      <c r="R6" s="2">
        <v>17</v>
      </c>
      <c r="S6" s="9">
        <f t="shared" si="0"/>
        <v>4.3892165122156692</v>
      </c>
      <c r="T6" s="9">
        <f t="shared" si="1"/>
        <v>27.605899894124388</v>
      </c>
      <c r="U6" s="6">
        <f t="shared" si="2"/>
        <v>0.15899559619680667</v>
      </c>
    </row>
    <row r="7" spans="1:40" x14ac:dyDescent="0.25">
      <c r="A7" s="5" t="s">
        <v>78</v>
      </c>
      <c r="B7" s="2">
        <v>7</v>
      </c>
      <c r="C7" s="2">
        <v>40</v>
      </c>
      <c r="D7" s="2">
        <v>32</v>
      </c>
      <c r="E7" s="2">
        <v>12</v>
      </c>
      <c r="F7" s="2">
        <v>27</v>
      </c>
      <c r="G7" s="2">
        <v>1</v>
      </c>
      <c r="H7" s="2">
        <v>7</v>
      </c>
      <c r="I7" s="2">
        <v>4</v>
      </c>
      <c r="J7" s="2">
        <v>4</v>
      </c>
      <c r="K7" s="2">
        <v>5</v>
      </c>
      <c r="L7" s="2">
        <v>18</v>
      </c>
      <c r="M7" s="2">
        <v>23</v>
      </c>
      <c r="N7" s="2">
        <v>2</v>
      </c>
      <c r="O7" s="2">
        <v>1</v>
      </c>
      <c r="P7" s="2">
        <v>2</v>
      </c>
      <c r="Q7" s="2">
        <v>1</v>
      </c>
      <c r="R7" s="2">
        <v>11</v>
      </c>
      <c r="S7" s="9">
        <f t="shared" si="0"/>
        <v>5.9515649988576644</v>
      </c>
      <c r="T7" s="9">
        <f t="shared" si="1"/>
        <v>25.414634146341463</v>
      </c>
      <c r="U7" s="6">
        <f t="shared" si="2"/>
        <v>0.23417866118345898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42</v>
      </c>
      <c r="C15" s="2">
        <f t="shared" ref="C15:R15" si="3">SUM(C2:C13)</f>
        <v>521</v>
      </c>
      <c r="D15" s="2">
        <f t="shared" si="3"/>
        <v>524</v>
      </c>
      <c r="E15" s="2">
        <f t="shared" si="3"/>
        <v>198</v>
      </c>
      <c r="F15" s="2">
        <f t="shared" si="3"/>
        <v>437</v>
      </c>
      <c r="G15" s="2">
        <f t="shared" si="3"/>
        <v>46</v>
      </c>
      <c r="H15" s="2">
        <f t="shared" si="3"/>
        <v>152</v>
      </c>
      <c r="I15" s="2">
        <f t="shared" si="3"/>
        <v>44</v>
      </c>
      <c r="J15" s="2">
        <f t="shared" si="3"/>
        <v>60</v>
      </c>
      <c r="K15" s="2">
        <f t="shared" si="3"/>
        <v>46</v>
      </c>
      <c r="L15" s="2">
        <f t="shared" si="3"/>
        <v>157</v>
      </c>
      <c r="M15" s="2">
        <f t="shared" si="3"/>
        <v>203</v>
      </c>
      <c r="N15" s="2">
        <f t="shared" si="3"/>
        <v>84</v>
      </c>
      <c r="O15" s="2">
        <f t="shared" si="3"/>
        <v>42</v>
      </c>
      <c r="P15" s="2">
        <f t="shared" si="3"/>
        <v>24</v>
      </c>
      <c r="Q15" s="2">
        <f t="shared" si="3"/>
        <v>45</v>
      </c>
      <c r="R15" s="2">
        <f t="shared" si="3"/>
        <v>86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36</v>
      </c>
      <c r="B2" s="2">
        <v>7</v>
      </c>
      <c r="C2" s="2">
        <v>156</v>
      </c>
      <c r="D2" s="2">
        <v>203</v>
      </c>
      <c r="E2" s="2">
        <v>69</v>
      </c>
      <c r="F2" s="2">
        <v>124</v>
      </c>
      <c r="G2" s="2">
        <v>28</v>
      </c>
      <c r="H2" s="2">
        <v>53</v>
      </c>
      <c r="I2" s="2">
        <v>18</v>
      </c>
      <c r="J2" s="2">
        <v>19</v>
      </c>
      <c r="K2" s="2">
        <v>5</v>
      </c>
      <c r="L2" s="2">
        <v>30</v>
      </c>
      <c r="M2" s="2">
        <v>35</v>
      </c>
      <c r="N2" s="2">
        <v>45</v>
      </c>
      <c r="O2" s="2">
        <v>11</v>
      </c>
      <c r="P2" s="2">
        <v>4</v>
      </c>
      <c r="Q2" s="2">
        <v>19</v>
      </c>
      <c r="R2" s="2">
        <v>16</v>
      </c>
      <c r="S2" s="9">
        <f>100*(N2)/((C2/($C$15/3))*$E$15-E2)</f>
        <v>42.298636587636196</v>
      </c>
      <c r="T2" s="9">
        <f>(100*(F2+0.44*J2+Q2)*($C$15/3))/(C2*($F$15+0.44*$J$15+$Q$15))</f>
        <v>35.675266398364414</v>
      </c>
      <c r="U2" s="6">
        <f>S2/T2</f>
        <v>1.1856572033776163</v>
      </c>
    </row>
    <row r="3" spans="1:40" x14ac:dyDescent="0.25">
      <c r="A3" s="5" t="s">
        <v>55</v>
      </c>
      <c r="B3" s="2">
        <v>7</v>
      </c>
      <c r="C3" s="2">
        <v>93</v>
      </c>
      <c r="D3" s="2">
        <v>88</v>
      </c>
      <c r="E3" s="2">
        <v>35</v>
      </c>
      <c r="F3" s="2">
        <v>67</v>
      </c>
      <c r="G3" s="2">
        <v>0</v>
      </c>
      <c r="H3" s="2">
        <v>3</v>
      </c>
      <c r="I3" s="2">
        <v>11</v>
      </c>
      <c r="J3" s="2">
        <v>18</v>
      </c>
      <c r="K3" s="2">
        <v>9</v>
      </c>
      <c r="L3" s="2">
        <v>40</v>
      </c>
      <c r="M3" s="2">
        <v>49</v>
      </c>
      <c r="N3" s="2">
        <v>7</v>
      </c>
      <c r="O3" s="2">
        <v>3</v>
      </c>
      <c r="P3" s="2">
        <v>2</v>
      </c>
      <c r="Q3" s="2">
        <v>9</v>
      </c>
      <c r="R3" s="2">
        <v>16</v>
      </c>
      <c r="S3" s="9">
        <f t="shared" ref="S3:S13" si="0">100*(N3)/((C3/($C$15/3))*$E$15-E3)</f>
        <v>10.063648037518844</v>
      </c>
      <c r="T3" s="9">
        <f t="shared" ref="T3:T13" si="1">(100*(F3+0.44*J3+Q3)*($C$15/3))/(C3*($F$15+0.44*$J$15+$Q$15))</f>
        <v>33.178995285718848</v>
      </c>
      <c r="U3" s="6">
        <f t="shared" ref="U3:U13" si="2">S3/T3</f>
        <v>0.30331382704196935</v>
      </c>
    </row>
    <row r="4" spans="1:40" x14ac:dyDescent="0.25">
      <c r="A4" s="5" t="s">
        <v>42</v>
      </c>
      <c r="B4" s="2">
        <v>4</v>
      </c>
      <c r="C4" s="2">
        <v>71</v>
      </c>
      <c r="D4" s="2">
        <v>82</v>
      </c>
      <c r="E4" s="2">
        <v>34</v>
      </c>
      <c r="F4" s="2">
        <v>68</v>
      </c>
      <c r="G4" s="2">
        <v>9</v>
      </c>
      <c r="H4" s="2">
        <v>24</v>
      </c>
      <c r="I4" s="2">
        <v>3</v>
      </c>
      <c r="J4" s="2">
        <v>5</v>
      </c>
      <c r="K4" s="2">
        <v>4</v>
      </c>
      <c r="L4" s="2">
        <v>14</v>
      </c>
      <c r="M4" s="2">
        <v>18</v>
      </c>
      <c r="N4" s="2">
        <v>3</v>
      </c>
      <c r="O4" s="2">
        <v>0</v>
      </c>
      <c r="P4" s="2">
        <v>2</v>
      </c>
      <c r="Q4" s="2">
        <v>2</v>
      </c>
      <c r="R4" s="2">
        <v>15</v>
      </c>
      <c r="S4" s="9">
        <f t="shared" si="0"/>
        <v>6.5468875799822026</v>
      </c>
      <c r="T4" s="9">
        <f t="shared" si="1"/>
        <v>37.390351935694582</v>
      </c>
      <c r="U4" s="6">
        <f t="shared" si="2"/>
        <v>0.17509563941098497</v>
      </c>
    </row>
    <row r="5" spans="1:40" x14ac:dyDescent="0.25">
      <c r="A5" s="5" t="s">
        <v>59</v>
      </c>
      <c r="B5" s="2">
        <v>7</v>
      </c>
      <c r="C5" s="2">
        <v>81</v>
      </c>
      <c r="D5" s="2">
        <v>78</v>
      </c>
      <c r="E5" s="2">
        <v>30</v>
      </c>
      <c r="F5" s="2">
        <v>74</v>
      </c>
      <c r="G5" s="2">
        <v>7</v>
      </c>
      <c r="H5" s="2">
        <v>25</v>
      </c>
      <c r="I5" s="2">
        <v>6</v>
      </c>
      <c r="J5" s="2">
        <v>6</v>
      </c>
      <c r="K5" s="2">
        <v>14</v>
      </c>
      <c r="L5" s="2">
        <v>34</v>
      </c>
      <c r="M5" s="2">
        <v>48</v>
      </c>
      <c r="N5" s="2">
        <v>12</v>
      </c>
      <c r="O5" s="2">
        <v>2</v>
      </c>
      <c r="P5" s="2">
        <v>3</v>
      </c>
      <c r="Q5" s="2">
        <v>4</v>
      </c>
      <c r="R5" s="2">
        <v>12</v>
      </c>
      <c r="S5" s="9">
        <f t="shared" si="0"/>
        <v>19.650863302489746</v>
      </c>
      <c r="T5" s="9">
        <f t="shared" si="1"/>
        <v>36.605488284720636</v>
      </c>
      <c r="U5" s="6">
        <f t="shared" si="2"/>
        <v>0.53682833430997123</v>
      </c>
    </row>
    <row r="6" spans="1:40" x14ac:dyDescent="0.25">
      <c r="A6" s="5" t="s">
        <v>74</v>
      </c>
      <c r="B6" s="2">
        <v>6</v>
      </c>
      <c r="C6" s="2">
        <v>65</v>
      </c>
      <c r="D6" s="2">
        <v>34</v>
      </c>
      <c r="E6" s="2">
        <v>12</v>
      </c>
      <c r="F6" s="2">
        <v>39</v>
      </c>
      <c r="G6" s="2">
        <v>4</v>
      </c>
      <c r="H6" s="2">
        <v>19</v>
      </c>
      <c r="I6" s="2">
        <v>3</v>
      </c>
      <c r="J6" s="2">
        <v>3</v>
      </c>
      <c r="K6" s="2">
        <v>9</v>
      </c>
      <c r="L6" s="2">
        <v>15</v>
      </c>
      <c r="M6" s="2">
        <v>24</v>
      </c>
      <c r="N6" s="2">
        <v>5</v>
      </c>
      <c r="O6" s="2">
        <v>11</v>
      </c>
      <c r="P6" s="2">
        <v>2</v>
      </c>
      <c r="Q6" s="2">
        <v>4</v>
      </c>
      <c r="R6" s="2">
        <v>12</v>
      </c>
      <c r="S6" s="9">
        <f t="shared" si="0"/>
        <v>8.1862978858687026</v>
      </c>
      <c r="T6" s="9">
        <f t="shared" si="1"/>
        <v>25.070736893903444</v>
      </c>
      <c r="U6" s="6">
        <f t="shared" si="2"/>
        <v>0.32652801234013185</v>
      </c>
    </row>
    <row r="7" spans="1:40" x14ac:dyDescent="0.25">
      <c r="A7" s="5" t="s">
        <v>76</v>
      </c>
      <c r="B7" s="2">
        <v>6</v>
      </c>
      <c r="C7" s="2">
        <v>49</v>
      </c>
      <c r="D7" s="2">
        <v>33</v>
      </c>
      <c r="E7" s="2">
        <v>13</v>
      </c>
      <c r="F7" s="2">
        <v>32</v>
      </c>
      <c r="G7" s="2">
        <v>5</v>
      </c>
      <c r="H7" s="2">
        <v>18</v>
      </c>
      <c r="I7" s="2">
        <v>1</v>
      </c>
      <c r="J7" s="2">
        <v>1</v>
      </c>
      <c r="K7" s="2">
        <v>0</v>
      </c>
      <c r="L7" s="2">
        <v>7</v>
      </c>
      <c r="M7" s="2">
        <v>7</v>
      </c>
      <c r="N7" s="2">
        <v>12</v>
      </c>
      <c r="O7" s="2">
        <v>6</v>
      </c>
      <c r="P7" s="2">
        <v>0</v>
      </c>
      <c r="Q7" s="2">
        <v>2</v>
      </c>
      <c r="R7" s="2">
        <v>15</v>
      </c>
      <c r="S7" s="9">
        <f t="shared" si="0"/>
        <v>28.510795349695517</v>
      </c>
      <c r="T7" s="9">
        <f t="shared" si="1"/>
        <v>25.84328796631744</v>
      </c>
      <c r="U7" s="6">
        <f t="shared" si="2"/>
        <v>1.1032185760130344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37</v>
      </c>
      <c r="C15" s="2">
        <f t="shared" ref="C15:R15" si="3">SUM(C2:C13)</f>
        <v>515</v>
      </c>
      <c r="D15" s="2">
        <f t="shared" si="3"/>
        <v>518</v>
      </c>
      <c r="E15" s="2">
        <f t="shared" si="3"/>
        <v>193</v>
      </c>
      <c r="F15" s="2">
        <f t="shared" si="3"/>
        <v>404</v>
      </c>
      <c r="G15" s="2">
        <f t="shared" si="3"/>
        <v>53</v>
      </c>
      <c r="H15" s="2">
        <f t="shared" si="3"/>
        <v>142</v>
      </c>
      <c r="I15" s="2">
        <f t="shared" si="3"/>
        <v>42</v>
      </c>
      <c r="J15" s="2">
        <f t="shared" si="3"/>
        <v>52</v>
      </c>
      <c r="K15" s="2">
        <f t="shared" si="3"/>
        <v>41</v>
      </c>
      <c r="L15" s="2">
        <f t="shared" si="3"/>
        <v>140</v>
      </c>
      <c r="M15" s="2">
        <f t="shared" si="3"/>
        <v>181</v>
      </c>
      <c r="N15" s="2">
        <f t="shared" si="3"/>
        <v>84</v>
      </c>
      <c r="O15" s="2">
        <f t="shared" si="3"/>
        <v>33</v>
      </c>
      <c r="P15" s="2">
        <f t="shared" si="3"/>
        <v>13</v>
      </c>
      <c r="Q15" s="2">
        <f t="shared" si="3"/>
        <v>40</v>
      </c>
      <c r="R15" s="2">
        <f t="shared" si="3"/>
        <v>86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50</v>
      </c>
      <c r="B2" s="2">
        <v>6</v>
      </c>
      <c r="C2" s="2">
        <v>101</v>
      </c>
      <c r="D2" s="2">
        <v>94</v>
      </c>
      <c r="E2" s="2">
        <v>41</v>
      </c>
      <c r="F2" s="2">
        <v>79</v>
      </c>
      <c r="G2" s="2">
        <v>5</v>
      </c>
      <c r="H2" s="2">
        <v>23</v>
      </c>
      <c r="I2" s="2">
        <v>4</v>
      </c>
      <c r="J2" s="2">
        <v>5</v>
      </c>
      <c r="K2" s="2">
        <v>3</v>
      </c>
      <c r="L2" s="2">
        <v>14</v>
      </c>
      <c r="M2" s="2">
        <v>17</v>
      </c>
      <c r="N2" s="2">
        <v>12</v>
      </c>
      <c r="O2" s="2">
        <v>7</v>
      </c>
      <c r="P2" s="2">
        <v>0</v>
      </c>
      <c r="Q2" s="2">
        <v>6</v>
      </c>
      <c r="R2" s="2">
        <v>15</v>
      </c>
      <c r="S2" s="9">
        <f>100*(N2)/((C2/($C$15/3))*$E$15-E2)</f>
        <v>18.06486930340769</v>
      </c>
      <c r="T2" s="9">
        <f>(100*(F2+0.44*J2+Q2)*($C$15/3))/(C2*($F$15+0.44*$J$15+$Q$15))</f>
        <v>30.83651439369536</v>
      </c>
      <c r="U2" s="6">
        <f>S2/T2</f>
        <v>0.58582721356798739</v>
      </c>
    </row>
    <row r="3" spans="1:40" x14ac:dyDescent="0.25">
      <c r="A3" s="5" t="s">
        <v>51</v>
      </c>
      <c r="B3" s="2">
        <v>6</v>
      </c>
      <c r="C3" s="2">
        <v>96</v>
      </c>
      <c r="D3" s="2">
        <v>86</v>
      </c>
      <c r="E3" s="2">
        <v>33</v>
      </c>
      <c r="F3" s="2">
        <v>78</v>
      </c>
      <c r="G3" s="2">
        <v>5</v>
      </c>
      <c r="H3" s="2">
        <v>27</v>
      </c>
      <c r="I3" s="2">
        <v>8</v>
      </c>
      <c r="J3" s="2">
        <v>9</v>
      </c>
      <c r="K3" s="2">
        <v>1</v>
      </c>
      <c r="L3" s="2">
        <v>26</v>
      </c>
      <c r="M3" s="2">
        <v>27</v>
      </c>
      <c r="N3" s="2">
        <v>15</v>
      </c>
      <c r="O3" s="2">
        <v>6</v>
      </c>
      <c r="P3" s="2">
        <v>5</v>
      </c>
      <c r="Q3" s="2">
        <v>9</v>
      </c>
      <c r="R3" s="2">
        <v>17</v>
      </c>
      <c r="S3" s="9">
        <f t="shared" ref="S3:S13" si="0">100*(N3)/((C3/($C$15/3))*$E$15-E3)</f>
        <v>21.704814522494079</v>
      </c>
      <c r="T3" s="9">
        <f t="shared" ref="T3:T13" si="1">(100*(F3+0.44*J3+Q3)*($C$15/3))/(C3*($F$15+0.44*$J$15+$Q$15))</f>
        <v>33.841483213195659</v>
      </c>
      <c r="U3" s="6">
        <f t="shared" ref="U3:U13" si="2">S3/T3</f>
        <v>0.64136711697171767</v>
      </c>
    </row>
    <row r="4" spans="1:40" x14ac:dyDescent="0.25">
      <c r="A4" s="5" t="s">
        <v>53</v>
      </c>
      <c r="B4" s="2">
        <v>6</v>
      </c>
      <c r="C4" s="2">
        <v>69</v>
      </c>
      <c r="D4" s="2">
        <v>77</v>
      </c>
      <c r="E4" s="2">
        <v>30</v>
      </c>
      <c r="F4" s="2">
        <v>66</v>
      </c>
      <c r="G4" s="2">
        <v>2</v>
      </c>
      <c r="H4" s="2">
        <v>8</v>
      </c>
      <c r="I4" s="2">
        <v>8</v>
      </c>
      <c r="J4" s="2">
        <v>10</v>
      </c>
      <c r="K4" s="2">
        <v>13</v>
      </c>
      <c r="L4" s="2">
        <v>36</v>
      </c>
      <c r="M4" s="2">
        <v>49</v>
      </c>
      <c r="N4" s="2">
        <v>2</v>
      </c>
      <c r="O4" s="2">
        <v>5</v>
      </c>
      <c r="P4" s="2">
        <v>2</v>
      </c>
      <c r="Q4" s="2">
        <v>9</v>
      </c>
      <c r="R4" s="2">
        <v>16</v>
      </c>
      <c r="S4" s="9">
        <f t="shared" si="0"/>
        <v>4.6092604232139118</v>
      </c>
      <c r="T4" s="9">
        <f t="shared" si="1"/>
        <v>41.099977318308838</v>
      </c>
      <c r="U4" s="6">
        <f t="shared" si="2"/>
        <v>0.11214751744304786</v>
      </c>
    </row>
    <row r="5" spans="1:40" x14ac:dyDescent="0.25">
      <c r="A5" s="5" t="s">
        <v>63</v>
      </c>
      <c r="B5" s="2">
        <v>6</v>
      </c>
      <c r="C5" s="2">
        <v>73</v>
      </c>
      <c r="D5" s="2">
        <v>57</v>
      </c>
      <c r="E5" s="2">
        <v>27</v>
      </c>
      <c r="F5" s="2">
        <v>53</v>
      </c>
      <c r="G5" s="2">
        <v>0</v>
      </c>
      <c r="H5" s="2">
        <v>7</v>
      </c>
      <c r="I5" s="2">
        <v>2</v>
      </c>
      <c r="J5" s="2">
        <v>2</v>
      </c>
      <c r="K5" s="2">
        <v>5</v>
      </c>
      <c r="L5" s="2">
        <v>33</v>
      </c>
      <c r="M5" s="2">
        <v>38</v>
      </c>
      <c r="N5" s="2">
        <v>7</v>
      </c>
      <c r="O5" s="2">
        <v>3</v>
      </c>
      <c r="P5" s="2">
        <v>7</v>
      </c>
      <c r="Q5" s="2">
        <v>8</v>
      </c>
      <c r="R5" s="2">
        <v>18</v>
      </c>
      <c r="S5" s="9">
        <f t="shared" si="0"/>
        <v>13.821576018668104</v>
      </c>
      <c r="T5" s="9">
        <f t="shared" si="1"/>
        <v>30.275938572776919</v>
      </c>
      <c r="U5" s="6">
        <f t="shared" si="2"/>
        <v>0.45652015000109653</v>
      </c>
    </row>
    <row r="6" spans="1:40" x14ac:dyDescent="0.25">
      <c r="A6" s="5" t="s">
        <v>73</v>
      </c>
      <c r="B6" s="2">
        <v>6</v>
      </c>
      <c r="C6" s="2">
        <v>53</v>
      </c>
      <c r="D6" s="2">
        <v>34</v>
      </c>
      <c r="E6" s="2">
        <v>15</v>
      </c>
      <c r="F6" s="2">
        <v>44</v>
      </c>
      <c r="G6" s="2">
        <v>2</v>
      </c>
      <c r="H6" s="2">
        <v>12</v>
      </c>
      <c r="I6" s="2">
        <v>1</v>
      </c>
      <c r="J6" s="2">
        <v>3</v>
      </c>
      <c r="K6" s="2">
        <v>2</v>
      </c>
      <c r="L6" s="2">
        <v>17</v>
      </c>
      <c r="M6" s="2">
        <v>19</v>
      </c>
      <c r="N6" s="2">
        <v>5</v>
      </c>
      <c r="O6" s="2">
        <v>5</v>
      </c>
      <c r="P6" s="2">
        <v>10</v>
      </c>
      <c r="Q6" s="2">
        <v>7</v>
      </c>
      <c r="R6" s="2">
        <v>7</v>
      </c>
      <c r="S6" s="9">
        <f t="shared" si="0"/>
        <v>12.085255987695012</v>
      </c>
      <c r="T6" s="9">
        <f t="shared" si="1"/>
        <v>35.258354193546019</v>
      </c>
      <c r="U6" s="6">
        <f t="shared" si="2"/>
        <v>0.34276290723482483</v>
      </c>
    </row>
    <row r="7" spans="1:40" x14ac:dyDescent="0.25">
      <c r="A7" s="5" t="s">
        <v>79</v>
      </c>
      <c r="B7" s="2">
        <v>6</v>
      </c>
      <c r="C7" s="2">
        <v>48</v>
      </c>
      <c r="D7" s="2">
        <v>25</v>
      </c>
      <c r="E7" s="2">
        <v>10</v>
      </c>
      <c r="F7" s="2">
        <v>34</v>
      </c>
      <c r="G7" s="2">
        <v>3</v>
      </c>
      <c r="H7" s="2">
        <v>14</v>
      </c>
      <c r="I7" s="2">
        <v>1</v>
      </c>
      <c r="J7" s="2">
        <v>2</v>
      </c>
      <c r="K7" s="2">
        <v>3</v>
      </c>
      <c r="L7" s="2">
        <v>8</v>
      </c>
      <c r="M7" s="2">
        <v>11</v>
      </c>
      <c r="N7" s="2">
        <v>10</v>
      </c>
      <c r="O7" s="2">
        <v>1</v>
      </c>
      <c r="P7" s="2">
        <v>0</v>
      </c>
      <c r="Q7" s="2">
        <v>4</v>
      </c>
      <c r="R7" s="2">
        <v>11</v>
      </c>
      <c r="S7" s="9">
        <f t="shared" si="0"/>
        <v>24.357838795394155</v>
      </c>
      <c r="T7" s="9">
        <f t="shared" si="1"/>
        <v>28.930450029222676</v>
      </c>
      <c r="U7" s="6">
        <f t="shared" si="2"/>
        <v>0.84194469048322018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36</v>
      </c>
      <c r="C15" s="2">
        <f t="shared" ref="C15:R15" si="3">SUM(C2:C13)</f>
        <v>440</v>
      </c>
      <c r="D15" s="2">
        <f t="shared" si="3"/>
        <v>373</v>
      </c>
      <c r="E15" s="2">
        <f t="shared" si="3"/>
        <v>156</v>
      </c>
      <c r="F15" s="2">
        <f t="shared" si="3"/>
        <v>354</v>
      </c>
      <c r="G15" s="2">
        <f t="shared" si="3"/>
        <v>17</v>
      </c>
      <c r="H15" s="2">
        <f t="shared" si="3"/>
        <v>91</v>
      </c>
      <c r="I15" s="2">
        <f t="shared" si="3"/>
        <v>24</v>
      </c>
      <c r="J15" s="2">
        <f t="shared" si="3"/>
        <v>31</v>
      </c>
      <c r="K15" s="2">
        <f t="shared" si="3"/>
        <v>27</v>
      </c>
      <c r="L15" s="2">
        <f t="shared" si="3"/>
        <v>134</v>
      </c>
      <c r="M15" s="2">
        <f t="shared" si="3"/>
        <v>161</v>
      </c>
      <c r="N15" s="2">
        <f t="shared" si="3"/>
        <v>51</v>
      </c>
      <c r="O15" s="2">
        <f t="shared" si="3"/>
        <v>27</v>
      </c>
      <c r="P15" s="2">
        <f t="shared" si="3"/>
        <v>24</v>
      </c>
      <c r="Q15" s="2">
        <f t="shared" si="3"/>
        <v>43</v>
      </c>
      <c r="R15" s="2">
        <f t="shared" si="3"/>
        <v>84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37</v>
      </c>
      <c r="B2" s="2">
        <v>6</v>
      </c>
      <c r="C2" s="2">
        <v>130</v>
      </c>
      <c r="D2" s="2">
        <v>157</v>
      </c>
      <c r="E2" s="2">
        <v>55</v>
      </c>
      <c r="F2" s="2">
        <v>132</v>
      </c>
      <c r="G2" s="2">
        <v>22</v>
      </c>
      <c r="H2" s="2">
        <v>68</v>
      </c>
      <c r="I2" s="2">
        <v>14</v>
      </c>
      <c r="J2" s="2">
        <v>16</v>
      </c>
      <c r="K2" s="2">
        <v>5</v>
      </c>
      <c r="L2" s="2">
        <v>39</v>
      </c>
      <c r="M2" s="2">
        <v>44</v>
      </c>
      <c r="N2" s="2">
        <v>37</v>
      </c>
      <c r="O2" s="2">
        <v>2</v>
      </c>
      <c r="P2" s="2">
        <v>0</v>
      </c>
      <c r="Q2" s="2">
        <v>25</v>
      </c>
      <c r="R2" s="2">
        <v>22</v>
      </c>
      <c r="S2" s="9">
        <f>100*(N2)/((C2/($C$15/3))*$E$15-E2)</f>
        <v>45.474860335195544</v>
      </c>
      <c r="T2" s="9">
        <f>(100*(F2+0.44*J2+Q2)*($C$15/3))/(C2*($F$15+0.44*$J$15+$Q$15))</f>
        <v>42.345818079414251</v>
      </c>
      <c r="U2" s="6">
        <f>S2/T2</f>
        <v>1.0738925919417395</v>
      </c>
    </row>
    <row r="3" spans="1:40" x14ac:dyDescent="0.25">
      <c r="A3" s="5" t="s">
        <v>40</v>
      </c>
      <c r="B3" s="2">
        <v>6</v>
      </c>
      <c r="C3" s="2">
        <v>115</v>
      </c>
      <c r="D3" s="2">
        <v>132</v>
      </c>
      <c r="E3" s="2">
        <v>56</v>
      </c>
      <c r="F3" s="2">
        <v>99</v>
      </c>
      <c r="G3" s="2">
        <v>1</v>
      </c>
      <c r="H3" s="2">
        <v>2</v>
      </c>
      <c r="I3" s="2">
        <v>12</v>
      </c>
      <c r="J3" s="2">
        <v>18</v>
      </c>
      <c r="K3" s="2">
        <v>25</v>
      </c>
      <c r="L3" s="2">
        <v>52</v>
      </c>
      <c r="M3" s="2">
        <v>77</v>
      </c>
      <c r="N3" s="2">
        <v>12</v>
      </c>
      <c r="O3" s="2">
        <v>6</v>
      </c>
      <c r="P3" s="2">
        <v>3</v>
      </c>
      <c r="Q3" s="2">
        <v>21</v>
      </c>
      <c r="R3" s="2">
        <v>22</v>
      </c>
      <c r="S3" s="9">
        <f t="shared" ref="S3:S13" si="0">100*(N3)/((C3/($C$15/3))*$E$15-E3)</f>
        <v>18.567409651590566</v>
      </c>
      <c r="T3" s="9">
        <f t="shared" ref="T3:T13" si="1">(100*(F3+0.44*J3+Q3)*($C$15/3))/(C3*($F$15+0.44*$J$15+$Q$15))</f>
        <v>37.328860210840787</v>
      </c>
      <c r="U3" s="6">
        <f t="shared" ref="U3:U13" si="2">S3/T3</f>
        <v>0.49740092643381456</v>
      </c>
    </row>
    <row r="4" spans="1:40" x14ac:dyDescent="0.25">
      <c r="A4" s="5" t="s">
        <v>75</v>
      </c>
      <c r="B4" s="2">
        <v>6</v>
      </c>
      <c r="C4" s="2">
        <v>79</v>
      </c>
      <c r="D4" s="2">
        <v>33</v>
      </c>
      <c r="E4" s="2">
        <v>13</v>
      </c>
      <c r="F4" s="2">
        <v>36</v>
      </c>
      <c r="G4" s="2">
        <v>7</v>
      </c>
      <c r="H4" s="2">
        <v>19</v>
      </c>
      <c r="I4" s="2">
        <v>0</v>
      </c>
      <c r="J4" s="2">
        <v>0</v>
      </c>
      <c r="K4" s="2">
        <v>4</v>
      </c>
      <c r="L4" s="2">
        <v>14</v>
      </c>
      <c r="M4" s="2">
        <v>18</v>
      </c>
      <c r="N4" s="2">
        <v>8</v>
      </c>
      <c r="O4" s="2">
        <v>2</v>
      </c>
      <c r="P4" s="2">
        <v>8</v>
      </c>
      <c r="Q4" s="2">
        <v>12</v>
      </c>
      <c r="R4" s="2">
        <v>22</v>
      </c>
      <c r="S4" s="9">
        <f t="shared" si="0"/>
        <v>11.450305274747276</v>
      </c>
      <c r="T4" s="9">
        <f t="shared" si="1"/>
        <v>20.390048800658754</v>
      </c>
      <c r="U4" s="6">
        <f t="shared" si="2"/>
        <v>0.56156340706635988</v>
      </c>
    </row>
    <row r="5" spans="1:40" x14ac:dyDescent="0.25">
      <c r="A5" s="5" t="s">
        <v>62</v>
      </c>
      <c r="B5" s="2">
        <v>3</v>
      </c>
      <c r="C5" s="2">
        <v>37</v>
      </c>
      <c r="D5" s="2">
        <v>31</v>
      </c>
      <c r="E5" s="2">
        <v>9</v>
      </c>
      <c r="F5" s="2">
        <v>34</v>
      </c>
      <c r="G5" s="2">
        <v>2</v>
      </c>
      <c r="H5" s="2">
        <v>13</v>
      </c>
      <c r="I5" s="2">
        <v>7</v>
      </c>
      <c r="J5" s="2">
        <v>9</v>
      </c>
      <c r="K5" s="2">
        <v>3</v>
      </c>
      <c r="L5" s="2">
        <v>5</v>
      </c>
      <c r="M5" s="2">
        <v>8</v>
      </c>
      <c r="N5" s="2">
        <v>7</v>
      </c>
      <c r="O5" s="2">
        <v>4</v>
      </c>
      <c r="P5" s="2">
        <v>2</v>
      </c>
      <c r="Q5" s="2">
        <v>5</v>
      </c>
      <c r="R5" s="2">
        <v>9</v>
      </c>
      <c r="S5" s="9">
        <f t="shared" si="0"/>
        <v>23.481116584564859</v>
      </c>
      <c r="T5" s="9">
        <f t="shared" si="1"/>
        <v>38.964281093258847</v>
      </c>
      <c r="U5" s="6">
        <f t="shared" si="2"/>
        <v>0.60263184449275753</v>
      </c>
    </row>
    <row r="6" spans="1:40" x14ac:dyDescent="0.25">
      <c r="A6" s="5" t="s">
        <v>80</v>
      </c>
      <c r="B6" s="2">
        <v>6</v>
      </c>
      <c r="C6" s="2">
        <v>38</v>
      </c>
      <c r="D6" s="2">
        <v>22</v>
      </c>
      <c r="E6" s="2">
        <v>10</v>
      </c>
      <c r="F6" s="2">
        <v>16</v>
      </c>
      <c r="G6" s="2">
        <v>0</v>
      </c>
      <c r="H6" s="2">
        <v>2</v>
      </c>
      <c r="I6" s="2">
        <v>1</v>
      </c>
      <c r="J6" s="2">
        <v>4</v>
      </c>
      <c r="K6" s="2">
        <v>8</v>
      </c>
      <c r="L6" s="2">
        <v>13</v>
      </c>
      <c r="M6" s="2">
        <v>21</v>
      </c>
      <c r="N6" s="2">
        <v>1</v>
      </c>
      <c r="O6" s="2">
        <v>4</v>
      </c>
      <c r="P6" s="2">
        <v>2</v>
      </c>
      <c r="Q6" s="2">
        <v>7</v>
      </c>
      <c r="R6" s="2">
        <v>11</v>
      </c>
      <c r="S6" s="9">
        <f t="shared" si="0"/>
        <v>3.3489461358313819</v>
      </c>
      <c r="T6" s="9">
        <f t="shared" si="1"/>
        <v>21.866091587741533</v>
      </c>
      <c r="U6" s="6">
        <f t="shared" si="2"/>
        <v>0.15315705243404598</v>
      </c>
    </row>
    <row r="7" spans="1:40" x14ac:dyDescent="0.25">
      <c r="A7" s="5" t="s">
        <v>81</v>
      </c>
      <c r="B7" s="2">
        <v>6</v>
      </c>
      <c r="C7" s="2">
        <v>30</v>
      </c>
      <c r="D7" s="2">
        <v>20</v>
      </c>
      <c r="E7" s="2">
        <v>7</v>
      </c>
      <c r="F7" s="2">
        <v>15</v>
      </c>
      <c r="G7" s="2">
        <v>6</v>
      </c>
      <c r="H7" s="2">
        <v>14</v>
      </c>
      <c r="I7" s="2">
        <v>0</v>
      </c>
      <c r="J7" s="2">
        <v>1</v>
      </c>
      <c r="K7" s="2">
        <v>0</v>
      </c>
      <c r="L7" s="2">
        <v>10</v>
      </c>
      <c r="M7" s="2">
        <v>10</v>
      </c>
      <c r="N7" s="2">
        <v>3</v>
      </c>
      <c r="O7" s="2">
        <v>0</v>
      </c>
      <c r="P7" s="2">
        <v>0</v>
      </c>
      <c r="Q7" s="2">
        <v>3</v>
      </c>
      <c r="R7" s="2">
        <v>12</v>
      </c>
      <c r="S7" s="9">
        <f t="shared" si="0"/>
        <v>12.260645898828235</v>
      </c>
      <c r="T7" s="9">
        <f t="shared" si="1"/>
        <v>20.62736631308864</v>
      </c>
      <c r="U7" s="6">
        <f t="shared" si="2"/>
        <v>0.59438736447165885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33</v>
      </c>
      <c r="C15" s="2">
        <f t="shared" ref="C15:R15" si="3">SUM(C2:C13)</f>
        <v>429</v>
      </c>
      <c r="D15" s="2">
        <f t="shared" si="3"/>
        <v>395</v>
      </c>
      <c r="E15" s="2">
        <f t="shared" si="3"/>
        <v>150</v>
      </c>
      <c r="F15" s="2">
        <f t="shared" si="3"/>
        <v>332</v>
      </c>
      <c r="G15" s="2">
        <f t="shared" si="3"/>
        <v>38</v>
      </c>
      <c r="H15" s="2">
        <f t="shared" si="3"/>
        <v>118</v>
      </c>
      <c r="I15" s="2">
        <f t="shared" si="3"/>
        <v>34</v>
      </c>
      <c r="J15" s="2">
        <f t="shared" si="3"/>
        <v>48</v>
      </c>
      <c r="K15" s="2">
        <f t="shared" si="3"/>
        <v>45</v>
      </c>
      <c r="L15" s="2">
        <f t="shared" si="3"/>
        <v>133</v>
      </c>
      <c r="M15" s="2">
        <f t="shared" si="3"/>
        <v>178</v>
      </c>
      <c r="N15" s="2">
        <f t="shared" si="3"/>
        <v>68</v>
      </c>
      <c r="O15" s="2">
        <f t="shared" si="3"/>
        <v>18</v>
      </c>
      <c r="P15" s="2">
        <f t="shared" si="3"/>
        <v>15</v>
      </c>
      <c r="Q15" s="2">
        <f t="shared" si="3"/>
        <v>73</v>
      </c>
      <c r="R15" s="2">
        <f t="shared" si="3"/>
        <v>98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41</v>
      </c>
      <c r="B2" s="2">
        <v>7</v>
      </c>
      <c r="C2" s="2">
        <v>124</v>
      </c>
      <c r="D2" s="2">
        <v>148</v>
      </c>
      <c r="E2" s="2">
        <v>60</v>
      </c>
      <c r="F2" s="2">
        <v>122</v>
      </c>
      <c r="G2" s="2">
        <v>18</v>
      </c>
      <c r="H2" s="2">
        <v>51</v>
      </c>
      <c r="I2" s="2">
        <v>7</v>
      </c>
      <c r="J2" s="2">
        <v>7</v>
      </c>
      <c r="K2" s="2">
        <v>5</v>
      </c>
      <c r="L2" s="2">
        <v>31</v>
      </c>
      <c r="M2" s="2">
        <v>36</v>
      </c>
      <c r="N2" s="2">
        <v>38</v>
      </c>
      <c r="O2" s="2">
        <v>3</v>
      </c>
      <c r="P2" s="2">
        <v>0</v>
      </c>
      <c r="Q2" s="2">
        <v>8</v>
      </c>
      <c r="R2" s="2">
        <v>20</v>
      </c>
      <c r="S2" s="9">
        <f>100*(N2)/((C2/($C$15/3))*$E$15-E2)</f>
        <v>44.524521802193817</v>
      </c>
      <c r="T2" s="9">
        <f>(100*(F2+0.44*J2+Q2)*($C$15/3))/(C2*($F$15+0.44*$J$15+$Q$15))</f>
        <v>39.036002668881657</v>
      </c>
      <c r="U2" s="6">
        <f>S2/T2</f>
        <v>1.1406014642397657</v>
      </c>
    </row>
    <row r="3" spans="1:40" x14ac:dyDescent="0.25">
      <c r="A3" s="5" t="s">
        <v>47</v>
      </c>
      <c r="B3" s="2">
        <v>7</v>
      </c>
      <c r="C3" s="2">
        <v>120</v>
      </c>
      <c r="D3" s="2">
        <v>132</v>
      </c>
      <c r="E3" s="2">
        <v>56</v>
      </c>
      <c r="F3" s="2">
        <v>108</v>
      </c>
      <c r="G3" s="2">
        <v>6</v>
      </c>
      <c r="H3" s="2">
        <v>22</v>
      </c>
      <c r="I3" s="2">
        <v>7</v>
      </c>
      <c r="J3" s="2">
        <v>9</v>
      </c>
      <c r="K3" s="2">
        <v>15</v>
      </c>
      <c r="L3" s="2">
        <v>53</v>
      </c>
      <c r="M3" s="2">
        <v>68</v>
      </c>
      <c r="N3" s="2">
        <v>15</v>
      </c>
      <c r="O3" s="2">
        <v>9</v>
      </c>
      <c r="P3" s="2">
        <v>13</v>
      </c>
      <c r="Q3" s="2">
        <v>12</v>
      </c>
      <c r="R3" s="2">
        <v>22</v>
      </c>
      <c r="S3" s="9">
        <f t="shared" ref="S3:S13" si="0">100*(N3)/((C3/($C$15/3))*$E$15-E3)</f>
        <v>17.718424419667336</v>
      </c>
      <c r="T3" s="9">
        <f t="shared" ref="T3:T13" si="1">(100*(F3+0.44*J3+Q3)*($C$15/3))/(C3*($F$15+0.44*$J$15+$Q$15))</f>
        <v>37.572885887153511</v>
      </c>
      <c r="U3" s="6">
        <f t="shared" ref="U3:U13" si="2">S3/T3</f>
        <v>0.47157475400965715</v>
      </c>
    </row>
    <row r="4" spans="1:40" x14ac:dyDescent="0.25">
      <c r="A4" s="5" t="s">
        <v>56</v>
      </c>
      <c r="B4" s="2">
        <v>7</v>
      </c>
      <c r="C4" s="2">
        <v>83</v>
      </c>
      <c r="D4" s="2">
        <v>84</v>
      </c>
      <c r="E4" s="2">
        <v>28</v>
      </c>
      <c r="F4" s="2">
        <v>61</v>
      </c>
      <c r="G4" s="2">
        <v>12</v>
      </c>
      <c r="H4" s="2">
        <v>32</v>
      </c>
      <c r="I4" s="2">
        <v>9</v>
      </c>
      <c r="J4" s="2">
        <v>9</v>
      </c>
      <c r="K4" s="2">
        <v>6</v>
      </c>
      <c r="L4" s="2">
        <v>15</v>
      </c>
      <c r="M4" s="2">
        <v>21</v>
      </c>
      <c r="N4" s="2">
        <v>21</v>
      </c>
      <c r="O4" s="2">
        <v>7</v>
      </c>
      <c r="P4" s="2">
        <v>3</v>
      </c>
      <c r="Q4" s="2">
        <v>5</v>
      </c>
      <c r="R4" s="2">
        <v>17</v>
      </c>
      <c r="S4" s="9">
        <f t="shared" si="0"/>
        <v>30.308190497459666</v>
      </c>
      <c r="T4" s="9">
        <f t="shared" si="1"/>
        <v>30.65814969459942</v>
      </c>
      <c r="U4" s="6">
        <f t="shared" si="2"/>
        <v>0.98858511682453554</v>
      </c>
    </row>
    <row r="5" spans="1:40" x14ac:dyDescent="0.25">
      <c r="A5" s="5" t="s">
        <v>60</v>
      </c>
      <c r="B5" s="2">
        <v>7</v>
      </c>
      <c r="C5" s="2">
        <v>119</v>
      </c>
      <c r="D5" s="2">
        <v>77</v>
      </c>
      <c r="E5" s="2">
        <v>29</v>
      </c>
      <c r="F5" s="2">
        <v>56</v>
      </c>
      <c r="G5" s="2">
        <v>15</v>
      </c>
      <c r="H5" s="2">
        <v>32</v>
      </c>
      <c r="I5" s="2">
        <v>2</v>
      </c>
      <c r="J5" s="2">
        <v>3</v>
      </c>
      <c r="K5" s="2">
        <v>1</v>
      </c>
      <c r="L5" s="2">
        <v>32</v>
      </c>
      <c r="M5" s="2">
        <v>33</v>
      </c>
      <c r="N5" s="2">
        <v>30</v>
      </c>
      <c r="O5" s="2">
        <v>3</v>
      </c>
      <c r="P5" s="2">
        <v>1</v>
      </c>
      <c r="Q5" s="2">
        <v>9</v>
      </c>
      <c r="R5" s="2">
        <v>23</v>
      </c>
      <c r="S5" s="9">
        <f t="shared" si="0"/>
        <v>27.152885978886925</v>
      </c>
      <c r="T5" s="9">
        <f t="shared" si="1"/>
        <v>20.270841979679162</v>
      </c>
      <c r="U5" s="6">
        <f t="shared" si="2"/>
        <v>1.3395045951276607</v>
      </c>
    </row>
    <row r="6" spans="1:40" x14ac:dyDescent="0.25">
      <c r="A6" s="5" t="s">
        <v>61</v>
      </c>
      <c r="B6" s="2">
        <v>7</v>
      </c>
      <c r="C6" s="2">
        <v>71</v>
      </c>
      <c r="D6" s="2">
        <v>77</v>
      </c>
      <c r="E6" s="2">
        <v>29</v>
      </c>
      <c r="F6" s="2">
        <v>67</v>
      </c>
      <c r="G6" s="2">
        <v>2</v>
      </c>
      <c r="H6" s="2">
        <v>9</v>
      </c>
      <c r="I6" s="2">
        <v>9</v>
      </c>
      <c r="J6" s="2">
        <v>17</v>
      </c>
      <c r="K6" s="2">
        <v>13</v>
      </c>
      <c r="L6" s="2">
        <v>17</v>
      </c>
      <c r="M6" s="2">
        <v>30</v>
      </c>
      <c r="N6" s="2">
        <v>4</v>
      </c>
      <c r="O6" s="2">
        <v>3</v>
      </c>
      <c r="P6" s="2">
        <v>1</v>
      </c>
      <c r="Q6" s="2">
        <v>6</v>
      </c>
      <c r="R6" s="2">
        <v>21</v>
      </c>
      <c r="S6" s="9">
        <f t="shared" si="0"/>
        <v>7.3770199407840771</v>
      </c>
      <c r="T6" s="9">
        <f t="shared" si="1"/>
        <v>41.229099657746673</v>
      </c>
      <c r="U6" s="6">
        <f t="shared" si="2"/>
        <v>0.17892750513648398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35</v>
      </c>
      <c r="C15" s="2">
        <f t="shared" ref="C15:R15" si="3">SUM(C2:C13)</f>
        <v>517</v>
      </c>
      <c r="D15" s="2">
        <f t="shared" si="3"/>
        <v>518</v>
      </c>
      <c r="E15" s="2">
        <f t="shared" si="3"/>
        <v>202</v>
      </c>
      <c r="F15" s="2">
        <f t="shared" si="3"/>
        <v>414</v>
      </c>
      <c r="G15" s="2">
        <f t="shared" si="3"/>
        <v>53</v>
      </c>
      <c r="H15" s="2">
        <f t="shared" si="3"/>
        <v>146</v>
      </c>
      <c r="I15" s="2">
        <f t="shared" si="3"/>
        <v>34</v>
      </c>
      <c r="J15" s="2">
        <f t="shared" si="3"/>
        <v>45</v>
      </c>
      <c r="K15" s="2">
        <f t="shared" si="3"/>
        <v>40</v>
      </c>
      <c r="L15" s="2">
        <f t="shared" si="3"/>
        <v>148</v>
      </c>
      <c r="M15" s="2">
        <f t="shared" si="3"/>
        <v>188</v>
      </c>
      <c r="N15" s="2">
        <f t="shared" si="3"/>
        <v>108</v>
      </c>
      <c r="O15" s="2">
        <f t="shared" si="3"/>
        <v>25</v>
      </c>
      <c r="P15" s="2">
        <f t="shared" si="3"/>
        <v>18</v>
      </c>
      <c r="Q15" s="2">
        <f t="shared" si="3"/>
        <v>40</v>
      </c>
      <c r="R15" s="2">
        <f t="shared" si="3"/>
        <v>103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2" t="s">
        <v>94</v>
      </c>
      <c r="B1" s="12" t="s">
        <v>95</v>
      </c>
      <c r="C1" s="12" t="s">
        <v>96</v>
      </c>
      <c r="D1" s="12" t="s">
        <v>24</v>
      </c>
      <c r="E1" s="12" t="s">
        <v>97</v>
      </c>
      <c r="F1" s="12" t="s">
        <v>6</v>
      </c>
      <c r="G1" s="12" t="s">
        <v>98</v>
      </c>
      <c r="H1" s="12" t="s">
        <v>9</v>
      </c>
      <c r="I1" s="12" t="s">
        <v>99</v>
      </c>
      <c r="J1" s="12" t="s">
        <v>15</v>
      </c>
      <c r="K1" s="12" t="s">
        <v>100</v>
      </c>
      <c r="L1" s="12" t="s">
        <v>101</v>
      </c>
      <c r="M1" s="12" t="s">
        <v>102</v>
      </c>
      <c r="N1" s="12" t="s">
        <v>19</v>
      </c>
      <c r="O1" s="12" t="s">
        <v>20</v>
      </c>
      <c r="P1" s="12" t="s">
        <v>21</v>
      </c>
      <c r="Q1" s="12" t="s">
        <v>103</v>
      </c>
      <c r="R1" s="12" t="s">
        <v>23</v>
      </c>
      <c r="S1" s="12" t="s">
        <v>104</v>
      </c>
      <c r="T1" s="12" t="s">
        <v>105</v>
      </c>
      <c r="U1" s="12" t="s">
        <v>106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43</v>
      </c>
      <c r="B2" s="2">
        <v>7</v>
      </c>
      <c r="C2" s="2">
        <v>146</v>
      </c>
      <c r="D2" s="2">
        <v>140</v>
      </c>
      <c r="E2" s="2">
        <v>50</v>
      </c>
      <c r="F2" s="2">
        <v>113</v>
      </c>
      <c r="G2" s="2">
        <v>27</v>
      </c>
      <c r="H2" s="2">
        <v>61</v>
      </c>
      <c r="I2" s="2">
        <v>9</v>
      </c>
      <c r="J2" s="2">
        <v>12</v>
      </c>
      <c r="K2" s="2">
        <v>4</v>
      </c>
      <c r="L2" s="2">
        <v>31</v>
      </c>
      <c r="M2" s="2">
        <v>35</v>
      </c>
      <c r="N2" s="2">
        <v>16</v>
      </c>
      <c r="O2" s="2">
        <v>11</v>
      </c>
      <c r="P2" s="2">
        <v>5</v>
      </c>
      <c r="Q2" s="2">
        <v>10</v>
      </c>
      <c r="R2" s="2">
        <v>19</v>
      </c>
      <c r="S2" s="9">
        <f>100*(N2)/((C2/($C$15/3))*$E$15-E2)</f>
        <v>15.050907481186369</v>
      </c>
      <c r="T2" s="9">
        <f>(100*(F2+0.44*J2+Q2)*($C$15/3))/(C2*($F$15+0.44*$J$15+$Q$15))</f>
        <v>32.669974472369034</v>
      </c>
      <c r="U2" s="6">
        <f>S2/T2</f>
        <v>0.46069541602843395</v>
      </c>
    </row>
    <row r="3" spans="1:40" x14ac:dyDescent="0.25">
      <c r="A3" s="5" t="s">
        <v>45</v>
      </c>
      <c r="B3" s="2">
        <v>7</v>
      </c>
      <c r="C3" s="2">
        <v>114</v>
      </c>
      <c r="D3" s="2">
        <v>138</v>
      </c>
      <c r="E3" s="2">
        <v>54</v>
      </c>
      <c r="F3" s="2">
        <v>100</v>
      </c>
      <c r="G3" s="2">
        <v>2</v>
      </c>
      <c r="H3" s="2">
        <v>12</v>
      </c>
      <c r="I3" s="2">
        <v>15</v>
      </c>
      <c r="J3" s="2">
        <v>22</v>
      </c>
      <c r="K3" s="2">
        <v>12</v>
      </c>
      <c r="L3" s="2">
        <v>43</v>
      </c>
      <c r="M3" s="2">
        <v>55</v>
      </c>
      <c r="N3" s="2">
        <v>6</v>
      </c>
      <c r="O3" s="2">
        <v>6</v>
      </c>
      <c r="P3" s="2">
        <v>0</v>
      </c>
      <c r="Q3" s="2">
        <v>7</v>
      </c>
      <c r="R3" s="2">
        <v>23</v>
      </c>
      <c r="S3" s="9">
        <f t="shared" ref="S3:S13" si="0">100*(N3)/((C3/($C$15/3))*$E$15-E3)</f>
        <v>8.8174273858921186</v>
      </c>
      <c r="T3" s="9">
        <f t="shared" ref="T3:T13" si="1">(100*(F3+0.44*J3+Q3)*($C$15/3))/(C3*($F$15+0.44*$J$15+$Q$15))</f>
        <v>38.056975334223573</v>
      </c>
      <c r="U3" s="6">
        <f t="shared" ref="U3:U13" si="2">S3/T3</f>
        <v>0.23169017790972088</v>
      </c>
    </row>
    <row r="4" spans="1:40" x14ac:dyDescent="0.25">
      <c r="A4" s="5" t="s">
        <v>66</v>
      </c>
      <c r="B4" s="2">
        <v>7</v>
      </c>
      <c r="C4" s="2">
        <v>90</v>
      </c>
      <c r="D4" s="2">
        <v>55</v>
      </c>
      <c r="E4" s="2">
        <v>26</v>
      </c>
      <c r="F4" s="2">
        <v>59</v>
      </c>
      <c r="G4" s="2">
        <v>3</v>
      </c>
      <c r="H4" s="2">
        <v>10</v>
      </c>
      <c r="I4" s="2">
        <v>0</v>
      </c>
      <c r="J4" s="2">
        <v>1</v>
      </c>
      <c r="K4" s="2">
        <v>3</v>
      </c>
      <c r="L4" s="2">
        <v>36</v>
      </c>
      <c r="M4" s="2">
        <v>39</v>
      </c>
      <c r="N4" s="2">
        <v>34</v>
      </c>
      <c r="O4" s="2">
        <v>2</v>
      </c>
      <c r="P4" s="2">
        <v>1</v>
      </c>
      <c r="Q4" s="2">
        <v>11</v>
      </c>
      <c r="R4" s="2">
        <v>16</v>
      </c>
      <c r="S4" s="9">
        <f t="shared" si="0"/>
        <v>48.327759197324411</v>
      </c>
      <c r="T4" s="9">
        <f t="shared" si="1"/>
        <v>29.10177894429863</v>
      </c>
      <c r="U4" s="6">
        <f t="shared" si="2"/>
        <v>1.660646219938124</v>
      </c>
    </row>
    <row r="5" spans="1:40" x14ac:dyDescent="0.25">
      <c r="A5" s="5" t="s">
        <v>68</v>
      </c>
      <c r="B5" s="2">
        <v>7</v>
      </c>
      <c r="C5" s="2">
        <v>70</v>
      </c>
      <c r="D5" s="2">
        <v>53</v>
      </c>
      <c r="E5" s="2">
        <v>19</v>
      </c>
      <c r="F5" s="2">
        <v>49</v>
      </c>
      <c r="G5" s="2">
        <v>8</v>
      </c>
      <c r="H5" s="2">
        <v>22</v>
      </c>
      <c r="I5" s="2">
        <v>4</v>
      </c>
      <c r="J5" s="2">
        <v>5</v>
      </c>
      <c r="K5" s="2">
        <v>6</v>
      </c>
      <c r="L5" s="2">
        <v>18</v>
      </c>
      <c r="M5" s="2">
        <v>24</v>
      </c>
      <c r="N5" s="2">
        <v>21</v>
      </c>
      <c r="O5" s="2">
        <v>3</v>
      </c>
      <c r="P5" s="2">
        <v>0</v>
      </c>
      <c r="Q5" s="2">
        <v>5</v>
      </c>
      <c r="R5" s="2">
        <v>11</v>
      </c>
      <c r="S5" s="9">
        <f t="shared" si="0"/>
        <v>37.539432176656156</v>
      </c>
      <c r="T5" s="9">
        <f t="shared" si="1"/>
        <v>29.852518435195602</v>
      </c>
      <c r="U5" s="6">
        <f t="shared" si="2"/>
        <v>1.2574963234055929</v>
      </c>
    </row>
    <row r="6" spans="1:40" x14ac:dyDescent="0.25">
      <c r="A6" s="5" t="s">
        <v>71</v>
      </c>
      <c r="B6" s="2">
        <v>7</v>
      </c>
      <c r="C6" s="2">
        <v>57</v>
      </c>
      <c r="D6" s="2">
        <v>46</v>
      </c>
      <c r="E6" s="2">
        <v>17</v>
      </c>
      <c r="F6" s="2">
        <v>42</v>
      </c>
      <c r="G6" s="2">
        <v>3</v>
      </c>
      <c r="H6" s="2">
        <v>11</v>
      </c>
      <c r="I6" s="2">
        <v>5</v>
      </c>
      <c r="J6" s="2">
        <v>6</v>
      </c>
      <c r="K6" s="2">
        <v>6</v>
      </c>
      <c r="L6" s="2">
        <v>16</v>
      </c>
      <c r="M6" s="2">
        <v>22</v>
      </c>
      <c r="N6" s="2">
        <v>12</v>
      </c>
      <c r="O6" s="2">
        <v>4</v>
      </c>
      <c r="P6" s="2">
        <v>1</v>
      </c>
      <c r="Q6" s="2">
        <v>5</v>
      </c>
      <c r="R6" s="2">
        <v>8</v>
      </c>
      <c r="S6" s="9">
        <f t="shared" si="0"/>
        <v>27.258150721539288</v>
      </c>
      <c r="T6" s="9">
        <f t="shared" si="1"/>
        <v>32.381697901797367</v>
      </c>
      <c r="U6" s="6">
        <f t="shared" si="2"/>
        <v>0.84177645051855998</v>
      </c>
    </row>
    <row r="7" spans="1:40" x14ac:dyDescent="0.25">
      <c r="A7" s="5" t="s">
        <v>70</v>
      </c>
      <c r="B7" s="2">
        <v>6</v>
      </c>
      <c r="C7" s="2">
        <v>33</v>
      </c>
      <c r="D7" s="2">
        <v>44</v>
      </c>
      <c r="E7" s="2">
        <v>16</v>
      </c>
      <c r="F7" s="2">
        <v>25</v>
      </c>
      <c r="G7" s="2">
        <v>0</v>
      </c>
      <c r="H7" s="2">
        <v>1</v>
      </c>
      <c r="I7" s="2">
        <v>7</v>
      </c>
      <c r="J7" s="2">
        <v>9</v>
      </c>
      <c r="K7" s="2">
        <v>6</v>
      </c>
      <c r="L7" s="2">
        <v>13</v>
      </c>
      <c r="M7" s="2">
        <v>19</v>
      </c>
      <c r="N7" s="2">
        <v>0</v>
      </c>
      <c r="O7" s="2">
        <v>0</v>
      </c>
      <c r="P7" s="2">
        <v>4</v>
      </c>
      <c r="Q7" s="2">
        <v>7</v>
      </c>
      <c r="R7" s="2">
        <v>13</v>
      </c>
      <c r="S7" s="9">
        <f t="shared" si="0"/>
        <v>0</v>
      </c>
      <c r="T7" s="9">
        <f t="shared" si="1"/>
        <v>40.518041305442878</v>
      </c>
      <c r="U7" s="6">
        <f t="shared" si="2"/>
        <v>0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83</v>
      </c>
      <c r="B15" s="2">
        <f>SUM(B2:B13)</f>
        <v>41</v>
      </c>
      <c r="C15" s="2">
        <f t="shared" ref="C15:R15" si="3">SUM(C2:C13)</f>
        <v>510</v>
      </c>
      <c r="D15" s="2">
        <f t="shared" si="3"/>
        <v>476</v>
      </c>
      <c r="E15" s="2">
        <f t="shared" si="3"/>
        <v>182</v>
      </c>
      <c r="F15" s="2">
        <f t="shared" si="3"/>
        <v>388</v>
      </c>
      <c r="G15" s="2">
        <f t="shared" si="3"/>
        <v>43</v>
      </c>
      <c r="H15" s="2">
        <f t="shared" si="3"/>
        <v>117</v>
      </c>
      <c r="I15" s="2">
        <f t="shared" si="3"/>
        <v>40</v>
      </c>
      <c r="J15" s="2">
        <f t="shared" si="3"/>
        <v>55</v>
      </c>
      <c r="K15" s="2">
        <f t="shared" si="3"/>
        <v>37</v>
      </c>
      <c r="L15" s="2">
        <f t="shared" si="3"/>
        <v>157</v>
      </c>
      <c r="M15" s="2">
        <f t="shared" si="3"/>
        <v>194</v>
      </c>
      <c r="N15" s="2">
        <f t="shared" si="3"/>
        <v>89</v>
      </c>
      <c r="O15" s="2">
        <f t="shared" si="3"/>
        <v>26</v>
      </c>
      <c r="P15" s="2">
        <f t="shared" si="3"/>
        <v>11</v>
      </c>
      <c r="Q15" s="2">
        <f t="shared" si="3"/>
        <v>45</v>
      </c>
      <c r="R15" s="2">
        <f t="shared" si="3"/>
        <v>90</v>
      </c>
    </row>
    <row r="21" spans="3:4" x14ac:dyDescent="0.25">
      <c r="C21" s="13"/>
      <c r="D21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2026-01-26T12:26:32Z</dcterms:modified>
</cp:coreProperties>
</file>