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"/>
    </mc:Choice>
  </mc:AlternateContent>
  <xr:revisionPtr revIDLastSave="0" documentId="13_ncr:1_{78F861D2-4799-46F0-90CE-C6418554A438}" xr6:coauthVersionLast="47" xr6:coauthVersionMax="47" xr10:uidLastSave="{00000000-0000-0000-0000-000000000000}"/>
  <bookViews>
    <workbookView xWindow="735" yWindow="735" windowWidth="21600" windowHeight="11295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ADVANCED!$A$2:$I$2</definedName>
    <definedName name="_xlnm._FilterDatabase" localSheetId="2" hidden="1">PER_GAME_BASIC!$A$2:$BO$2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O4" i="8" l="1"/>
  <c r="BO5" i="8"/>
  <c r="BO6" i="8"/>
  <c r="BO7" i="8"/>
  <c r="BO8" i="8"/>
  <c r="BO9" i="8"/>
  <c r="BO10" i="8"/>
  <c r="BO11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3" i="8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3" i="17"/>
  <c r="I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3" i="17"/>
  <c r="S8" i="16"/>
  <c r="S10" i="13"/>
  <c r="S12" i="11"/>
  <c r="S10" i="10"/>
  <c r="S8" i="9"/>
  <c r="S10" i="9"/>
  <c r="S13" i="9"/>
  <c r="R15" i="16"/>
  <c r="Q15" i="16"/>
  <c r="P15" i="16"/>
  <c r="O15" i="16"/>
  <c r="N15" i="16"/>
  <c r="M15" i="16"/>
  <c r="L15" i="16"/>
  <c r="K15" i="16"/>
  <c r="J15" i="16"/>
  <c r="T12" i="16" s="1"/>
  <c r="I15" i="16"/>
  <c r="H15" i="16"/>
  <c r="G15" i="16"/>
  <c r="F15" i="16"/>
  <c r="E15" i="16"/>
  <c r="D15" i="16"/>
  <c r="C15" i="16"/>
  <c r="S10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S13" i="15" s="1"/>
  <c r="D15" i="15"/>
  <c r="C15" i="15"/>
  <c r="B15" i="15"/>
  <c r="R15" i="14"/>
  <c r="Q15" i="14"/>
  <c r="T9" i="14" s="1"/>
  <c r="P15" i="14"/>
  <c r="O15" i="14"/>
  <c r="N15" i="14"/>
  <c r="M15" i="14"/>
  <c r="L15" i="14"/>
  <c r="K15" i="14"/>
  <c r="J15" i="14"/>
  <c r="I15" i="14"/>
  <c r="H15" i="14"/>
  <c r="G15" i="14"/>
  <c r="F15" i="14"/>
  <c r="T10" i="14" s="1"/>
  <c r="E15" i="14"/>
  <c r="D15" i="14"/>
  <c r="C15" i="14"/>
  <c r="B15" i="14"/>
  <c r="R15" i="13"/>
  <c r="Q15" i="13"/>
  <c r="P15" i="13"/>
  <c r="O15" i="13"/>
  <c r="N15" i="13"/>
  <c r="M15" i="13"/>
  <c r="L15" i="13"/>
  <c r="K15" i="13"/>
  <c r="J15" i="13"/>
  <c r="T8" i="13" s="1"/>
  <c r="I15" i="13"/>
  <c r="H15" i="13"/>
  <c r="G15" i="13"/>
  <c r="F15" i="13"/>
  <c r="E15" i="13"/>
  <c r="D15" i="13"/>
  <c r="C15" i="13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S5" i="12" s="1"/>
  <c r="B15" i="12"/>
  <c r="S7" i="12"/>
  <c r="S3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S9" i="11" s="1"/>
  <c r="B15" i="11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S2" i="9"/>
  <c r="T5" i="9"/>
  <c r="S4" i="9"/>
  <c r="S6" i="9"/>
  <c r="S7" i="9"/>
  <c r="C15" i="9"/>
  <c r="S9" i="9" s="1"/>
  <c r="D15" i="9"/>
  <c r="E15" i="9"/>
  <c r="F15" i="9"/>
  <c r="G15" i="9"/>
  <c r="H15" i="9"/>
  <c r="I15" i="9"/>
  <c r="J15" i="9"/>
  <c r="T8" i="9" s="1"/>
  <c r="K15" i="9"/>
  <c r="L15" i="9"/>
  <c r="M15" i="9"/>
  <c r="N15" i="9"/>
  <c r="O15" i="9"/>
  <c r="P15" i="9"/>
  <c r="Q15" i="9"/>
  <c r="R15" i="9"/>
  <c r="B15" i="9"/>
  <c r="BE4" i="8"/>
  <c r="BE5" i="8"/>
  <c r="BE6" i="8"/>
  <c r="BE7" i="8"/>
  <c r="BE8" i="8"/>
  <c r="BE9" i="8"/>
  <c r="BE10" i="8"/>
  <c r="BE11" i="8"/>
  <c r="BE12" i="8"/>
  <c r="BE13" i="8"/>
  <c r="BE14" i="8"/>
  <c r="BE15" i="8"/>
  <c r="BE16" i="8"/>
  <c r="BE17" i="8"/>
  <c r="BE18" i="8"/>
  <c r="BE19" i="8"/>
  <c r="BE20" i="8"/>
  <c r="BE21" i="8"/>
  <c r="BE22" i="8"/>
  <c r="BE23" i="8"/>
  <c r="BE24" i="8"/>
  <c r="BE25" i="8"/>
  <c r="BE26" i="8"/>
  <c r="BE27" i="8"/>
  <c r="BE28" i="8"/>
  <c r="BE29" i="8"/>
  <c r="BE30" i="8"/>
  <c r="BE31" i="8"/>
  <c r="BE32" i="8"/>
  <c r="BE33" i="8"/>
  <c r="BE34" i="8"/>
  <c r="BE35" i="8"/>
  <c r="BE36" i="8"/>
  <c r="BE37" i="8"/>
  <c r="BE38" i="8"/>
  <c r="BE39" i="8"/>
  <c r="BE40" i="8"/>
  <c r="BE41" i="8"/>
  <c r="BE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3" i="8"/>
  <c r="D80" i="7"/>
  <c r="E80" i="7"/>
  <c r="F80" i="7"/>
  <c r="G80" i="7"/>
  <c r="C81" i="7" s="1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3" i="8"/>
  <c r="AM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AA3" i="8"/>
  <c r="AB3" i="8" s="1"/>
  <c r="AC3" i="8"/>
  <c r="X3" i="8"/>
  <c r="W3" i="8"/>
  <c r="U3" i="7"/>
  <c r="T3" i="7"/>
  <c r="T5" i="16" l="1"/>
  <c r="T5" i="15"/>
  <c r="T11" i="15"/>
  <c r="T13" i="14"/>
  <c r="T11" i="14"/>
  <c r="S11" i="14"/>
  <c r="S12" i="14"/>
  <c r="U12" i="14" s="1"/>
  <c r="S11" i="12"/>
  <c r="T9" i="12"/>
  <c r="S11" i="11"/>
  <c r="T8" i="11"/>
  <c r="T9" i="11"/>
  <c r="U9" i="11" s="1"/>
  <c r="S13" i="11"/>
  <c r="T13" i="10"/>
  <c r="T9" i="10"/>
  <c r="S9" i="10"/>
  <c r="S13" i="16"/>
  <c r="T11" i="16"/>
  <c r="S12" i="16"/>
  <c r="U12" i="16" s="1"/>
  <c r="T10" i="16"/>
  <c r="U10" i="16" s="1"/>
  <c r="S11" i="16"/>
  <c r="U11" i="16" s="1"/>
  <c r="T9" i="16"/>
  <c r="T8" i="16"/>
  <c r="U8" i="16" s="1"/>
  <c r="S9" i="16"/>
  <c r="T13" i="16"/>
  <c r="S12" i="15"/>
  <c r="S11" i="15"/>
  <c r="U11" i="15" s="1"/>
  <c r="T9" i="15"/>
  <c r="T10" i="15"/>
  <c r="S10" i="15"/>
  <c r="T8" i="15"/>
  <c r="S9" i="15"/>
  <c r="U9" i="15" s="1"/>
  <c r="S8" i="15"/>
  <c r="T13" i="15"/>
  <c r="U13" i="15" s="1"/>
  <c r="T12" i="15"/>
  <c r="U11" i="14"/>
  <c r="S10" i="14"/>
  <c r="U10" i="14" s="1"/>
  <c r="S9" i="14"/>
  <c r="U9" i="14" s="1"/>
  <c r="T8" i="14"/>
  <c r="S8" i="14"/>
  <c r="T12" i="14"/>
  <c r="S13" i="14"/>
  <c r="U13" i="14" s="1"/>
  <c r="T5" i="13"/>
  <c r="S9" i="13"/>
  <c r="S8" i="13"/>
  <c r="U8" i="13" s="1"/>
  <c r="T12" i="13"/>
  <c r="T13" i="13"/>
  <c r="S13" i="13"/>
  <c r="U13" i="13" s="1"/>
  <c r="T11" i="13"/>
  <c r="S12" i="13"/>
  <c r="U12" i="13" s="1"/>
  <c r="T10" i="13"/>
  <c r="U10" i="13" s="1"/>
  <c r="S11" i="13"/>
  <c r="T9" i="13"/>
  <c r="T12" i="12"/>
  <c r="S13" i="12"/>
  <c r="T11" i="12"/>
  <c r="U11" i="12" s="1"/>
  <c r="S12" i="12"/>
  <c r="T10" i="12"/>
  <c r="S10" i="12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U12" i="11" s="1"/>
  <c r="U9" i="10"/>
  <c r="T8" i="10"/>
  <c r="T2" i="10"/>
  <c r="S8" i="10"/>
  <c r="T12" i="10"/>
  <c r="S13" i="10"/>
  <c r="U13" i="10" s="1"/>
  <c r="T11" i="10"/>
  <c r="S12" i="10"/>
  <c r="T10" i="10"/>
  <c r="U10" i="10" s="1"/>
  <c r="S11" i="10"/>
  <c r="U8" i="9"/>
  <c r="U2" i="9"/>
  <c r="U6" i="9"/>
  <c r="U4" i="9"/>
  <c r="T4" i="9"/>
  <c r="T13" i="9"/>
  <c r="U13" i="9" s="1"/>
  <c r="S5" i="9"/>
  <c r="U5" i="9" s="1"/>
  <c r="T3" i="9"/>
  <c r="T12" i="9"/>
  <c r="T11" i="9"/>
  <c r="S3" i="9"/>
  <c r="U3" i="9" s="1"/>
  <c r="S12" i="9"/>
  <c r="U12" i="9" s="1"/>
  <c r="T10" i="9"/>
  <c r="U10" i="9" s="1"/>
  <c r="T2" i="9"/>
  <c r="S11" i="9"/>
  <c r="T9" i="9"/>
  <c r="U9" i="9" s="1"/>
  <c r="T7" i="9"/>
  <c r="U7" i="9" s="1"/>
  <c r="T6" i="9"/>
  <c r="C83" i="7"/>
  <c r="S3" i="16"/>
  <c r="S3" i="15"/>
  <c r="T5" i="14"/>
  <c r="T5" i="12"/>
  <c r="U5" i="12" s="1"/>
  <c r="S4" i="12"/>
  <c r="T3" i="16"/>
  <c r="S6" i="16"/>
  <c r="T6" i="16"/>
  <c r="S4" i="16"/>
  <c r="T4" i="16"/>
  <c r="S7" i="16"/>
  <c r="S2" i="16"/>
  <c r="T7" i="16"/>
  <c r="T2" i="16"/>
  <c r="S5" i="16"/>
  <c r="T3" i="15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T7" i="14"/>
  <c r="T2" i="14"/>
  <c r="S5" i="14"/>
  <c r="T3" i="13"/>
  <c r="S6" i="13"/>
  <c r="T6" i="13"/>
  <c r="S4" i="13"/>
  <c r="S3" i="13"/>
  <c r="T4" i="13"/>
  <c r="S7" i="13"/>
  <c r="S2" i="13"/>
  <c r="T7" i="13"/>
  <c r="T2" i="13"/>
  <c r="S5" i="13"/>
  <c r="U5" i="13" s="1"/>
  <c r="T3" i="12"/>
  <c r="U3" i="12" s="1"/>
  <c r="S6" i="12"/>
  <c r="T6" i="12"/>
  <c r="T4" i="12"/>
  <c r="S2" i="12"/>
  <c r="T7" i="12"/>
  <c r="U7" i="12" s="1"/>
  <c r="T2" i="12"/>
  <c r="T6" i="11"/>
  <c r="S3" i="11"/>
  <c r="S4" i="11"/>
  <c r="S6" i="11"/>
  <c r="U6" i="11" s="1"/>
  <c r="T4" i="11"/>
  <c r="S7" i="1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T7" i="10"/>
  <c r="Y10" i="8"/>
  <c r="Y41" i="8"/>
  <c r="Y25" i="8"/>
  <c r="BM23" i="8"/>
  <c r="BM39" i="8"/>
  <c r="BJ12" i="8"/>
  <c r="BN38" i="8"/>
  <c r="BN30" i="8"/>
  <c r="BI38" i="8"/>
  <c r="BI30" i="8"/>
  <c r="BJ28" i="8"/>
  <c r="Y21" i="8"/>
  <c r="BF38" i="8"/>
  <c r="BF30" i="8"/>
  <c r="BF22" i="8"/>
  <c r="BG36" i="8"/>
  <c r="BG28" i="8"/>
  <c r="BG20" i="8"/>
  <c r="BG12" i="8"/>
  <c r="BI22" i="8"/>
  <c r="BM7" i="8"/>
  <c r="BF29" i="8"/>
  <c r="BF5" i="8"/>
  <c r="BG11" i="8"/>
  <c r="BJ27" i="8"/>
  <c r="BN37" i="8"/>
  <c r="BN29" i="8"/>
  <c r="BN21" i="8"/>
  <c r="BN13" i="8"/>
  <c r="BN5" i="8"/>
  <c r="BI37" i="8"/>
  <c r="BI29" i="8"/>
  <c r="BI21" i="8"/>
  <c r="BI13" i="8"/>
  <c r="BI5" i="8"/>
  <c r="C85" i="7"/>
  <c r="BM38" i="8"/>
  <c r="BM22" i="8"/>
  <c r="BM6" i="8"/>
  <c r="BL27" i="8"/>
  <c r="BF21" i="8"/>
  <c r="BG27" i="8"/>
  <c r="BJ11" i="8"/>
  <c r="BL26" i="8"/>
  <c r="Y3" i="8"/>
  <c r="BF36" i="8"/>
  <c r="BF12" i="8"/>
  <c r="BG34" i="8"/>
  <c r="BG18" i="8"/>
  <c r="BL9" i="8"/>
  <c r="BN28" i="8"/>
  <c r="BN20" i="8"/>
  <c r="BN4" i="8"/>
  <c r="BI36" i="8"/>
  <c r="BI28" i="8"/>
  <c r="BI20" i="8"/>
  <c r="BI12" i="8"/>
  <c r="BI4" i="8"/>
  <c r="C82" i="7"/>
  <c r="AF31" i="8" s="1"/>
  <c r="BM37" i="8"/>
  <c r="BM21" i="8"/>
  <c r="BM5" i="8"/>
  <c r="BL11" i="8"/>
  <c r="BN22" i="8"/>
  <c r="BI14" i="8"/>
  <c r="BF3" i="8"/>
  <c r="Y37" i="8"/>
  <c r="BF13" i="8"/>
  <c r="BG35" i="8"/>
  <c r="BG19" i="8"/>
  <c r="BL10" i="8"/>
  <c r="BF28" i="8"/>
  <c r="BF20" i="8"/>
  <c r="BF4" i="8"/>
  <c r="BG26" i="8"/>
  <c r="BG10" i="8"/>
  <c r="BJ26" i="8"/>
  <c r="BJ10" i="8"/>
  <c r="BL41" i="8"/>
  <c r="BL25" i="8"/>
  <c r="BN36" i="8"/>
  <c r="BN12" i="8"/>
  <c r="BF35" i="8"/>
  <c r="BF27" i="8"/>
  <c r="BF19" i="8"/>
  <c r="BF11" i="8"/>
  <c r="BG41" i="8"/>
  <c r="BG33" i="8"/>
  <c r="BG25" i="8"/>
  <c r="BG17" i="8"/>
  <c r="BG9" i="8"/>
  <c r="BJ41" i="8"/>
  <c r="BJ33" i="8"/>
  <c r="BJ25" i="8"/>
  <c r="BJ9" i="8"/>
  <c r="BL40" i="8"/>
  <c r="BL24" i="8"/>
  <c r="BL8" i="8"/>
  <c r="BN35" i="8"/>
  <c r="BN27" i="8"/>
  <c r="BN19" i="8"/>
  <c r="BN11" i="8"/>
  <c r="BI35" i="8"/>
  <c r="BI27" i="8"/>
  <c r="BI19" i="8"/>
  <c r="BI11" i="8"/>
  <c r="BM36" i="8"/>
  <c r="BM20" i="8"/>
  <c r="BM4" i="8"/>
  <c r="BF6" i="8"/>
  <c r="BF10" i="8"/>
  <c r="BG32" i="8"/>
  <c r="BG16" i="8"/>
  <c r="BG8" i="8"/>
  <c r="BJ40" i="8"/>
  <c r="BJ24" i="8"/>
  <c r="BJ8" i="8"/>
  <c r="BL39" i="8"/>
  <c r="BL23" i="8"/>
  <c r="BL7" i="8"/>
  <c r="BN3" i="8"/>
  <c r="BN34" i="8"/>
  <c r="BN26" i="8"/>
  <c r="BN18" i="8"/>
  <c r="BN10" i="8"/>
  <c r="BI3" i="8"/>
  <c r="BI34" i="8"/>
  <c r="BI26" i="8"/>
  <c r="BI18" i="8"/>
  <c r="BI10" i="8"/>
  <c r="BM27" i="8"/>
  <c r="BM11" i="8"/>
  <c r="BF26" i="8"/>
  <c r="BG24" i="8"/>
  <c r="BF33" i="8"/>
  <c r="BF17" i="8"/>
  <c r="BG23" i="8"/>
  <c r="BL38" i="8"/>
  <c r="BL6" i="8"/>
  <c r="T80" i="7"/>
  <c r="BN41" i="8"/>
  <c r="BN33" i="8"/>
  <c r="BN25" i="8"/>
  <c r="BN17" i="8"/>
  <c r="BN9" i="8"/>
  <c r="BI41" i="8"/>
  <c r="BI33" i="8"/>
  <c r="BI25" i="8"/>
  <c r="BI17" i="8"/>
  <c r="BI9" i="8"/>
  <c r="C87" i="7"/>
  <c r="AG34" i="8" s="1"/>
  <c r="BM26" i="8"/>
  <c r="BM10" i="8"/>
  <c r="BF14" i="8"/>
  <c r="BG4" i="8"/>
  <c r="BN6" i="8"/>
  <c r="BF34" i="8"/>
  <c r="BF18" i="8"/>
  <c r="BG40" i="8"/>
  <c r="BF9" i="8"/>
  <c r="BG31" i="8"/>
  <c r="BG15" i="8"/>
  <c r="BJ39" i="8"/>
  <c r="BJ23" i="8"/>
  <c r="BJ7" i="8"/>
  <c r="BL22" i="8"/>
  <c r="Y40" i="8"/>
  <c r="BF32" i="8"/>
  <c r="BF24" i="8"/>
  <c r="BF16" i="8"/>
  <c r="Y8" i="8"/>
  <c r="BG38" i="8"/>
  <c r="BG30" i="8"/>
  <c r="BG22" i="8"/>
  <c r="BG14" i="8"/>
  <c r="BG6" i="8"/>
  <c r="AE38" i="8"/>
  <c r="AE22" i="8"/>
  <c r="AE6" i="8"/>
  <c r="BL29" i="8"/>
  <c r="BL13" i="8"/>
  <c r="U80" i="7"/>
  <c r="BN40" i="8"/>
  <c r="BN32" i="8"/>
  <c r="BN24" i="8"/>
  <c r="BN16" i="8"/>
  <c r="BN8" i="8"/>
  <c r="BI40" i="8"/>
  <c r="BI32" i="8"/>
  <c r="BI24" i="8"/>
  <c r="BI16" i="8"/>
  <c r="BI8" i="8"/>
  <c r="BM41" i="8"/>
  <c r="BM25" i="8"/>
  <c r="BM9" i="8"/>
  <c r="BN14" i="8"/>
  <c r="BI6" i="8"/>
  <c r="BF39" i="8"/>
  <c r="BF31" i="8"/>
  <c r="BF23" i="8"/>
  <c r="BF15" i="8"/>
  <c r="BF7" i="8"/>
  <c r="BG37" i="8"/>
  <c r="BG29" i="8"/>
  <c r="BG21" i="8"/>
  <c r="BG13" i="8"/>
  <c r="BJ29" i="8"/>
  <c r="BJ13" i="8"/>
  <c r="BL28" i="8"/>
  <c r="BL12" i="8"/>
  <c r="BN39" i="8"/>
  <c r="BN31" i="8"/>
  <c r="BN23" i="8"/>
  <c r="BN15" i="8"/>
  <c r="BN7" i="8"/>
  <c r="BI39" i="8"/>
  <c r="BI31" i="8"/>
  <c r="BI23" i="8"/>
  <c r="BI15" i="8"/>
  <c r="BI7" i="8"/>
  <c r="BM40" i="8"/>
  <c r="BM24" i="8"/>
  <c r="BM8" i="8"/>
  <c r="AG35" i="8"/>
  <c r="AG29" i="8"/>
  <c r="AG26" i="8"/>
  <c r="AG40" i="8"/>
  <c r="AG22" i="8"/>
  <c r="C86" i="7"/>
  <c r="AE18" i="8"/>
  <c r="AE35" i="8"/>
  <c r="AE19" i="8"/>
  <c r="AF34" i="8"/>
  <c r="AE36" i="8"/>
  <c r="AE20" i="8"/>
  <c r="AE4" i="8"/>
  <c r="AE37" i="8"/>
  <c r="AE21" i="8"/>
  <c r="AE5" i="8"/>
  <c r="BJ34" i="8"/>
  <c r="BJ18" i="8"/>
  <c r="BL30" i="8"/>
  <c r="BL14" i="8"/>
  <c r="BM28" i="8"/>
  <c r="BM12" i="8"/>
  <c r="AE39" i="8"/>
  <c r="AE23" i="8"/>
  <c r="AE7" i="8"/>
  <c r="BJ35" i="8"/>
  <c r="BJ19" i="8"/>
  <c r="BL31" i="8"/>
  <c r="BL15" i="8"/>
  <c r="BM29" i="8"/>
  <c r="BM13" i="8"/>
  <c r="AE40" i="8"/>
  <c r="AE24" i="8"/>
  <c r="AE8" i="8"/>
  <c r="AF23" i="8"/>
  <c r="AB18" i="8"/>
  <c r="BJ36" i="8"/>
  <c r="BJ20" i="8"/>
  <c r="BJ4" i="8"/>
  <c r="BL32" i="8"/>
  <c r="BL16" i="8"/>
  <c r="BM30" i="8"/>
  <c r="BM14" i="8"/>
  <c r="AE41" i="8"/>
  <c r="AE25" i="8"/>
  <c r="AE9" i="8"/>
  <c r="AF24" i="8"/>
  <c r="BJ37" i="8"/>
  <c r="BJ21" i="8"/>
  <c r="BJ5" i="8"/>
  <c r="BL33" i="8"/>
  <c r="BL17" i="8"/>
  <c r="BM31" i="8"/>
  <c r="BM15" i="8"/>
  <c r="AE26" i="8"/>
  <c r="AE10" i="8"/>
  <c r="AF9" i="8"/>
  <c r="AB35" i="8"/>
  <c r="BJ38" i="8"/>
  <c r="BJ22" i="8"/>
  <c r="BJ6" i="8"/>
  <c r="BL34" i="8"/>
  <c r="BL18" i="8"/>
  <c r="BM32" i="8"/>
  <c r="BM16" i="8"/>
  <c r="AE27" i="8"/>
  <c r="AE11" i="8"/>
  <c r="BL35" i="8"/>
  <c r="BL19" i="8"/>
  <c r="BM33" i="8"/>
  <c r="BM17" i="8"/>
  <c r="AE28" i="8"/>
  <c r="AE12" i="8"/>
  <c r="BL36" i="8"/>
  <c r="BL20" i="8"/>
  <c r="BL4" i="8"/>
  <c r="BM34" i="8"/>
  <c r="BM18" i="8"/>
  <c r="AE29" i="8"/>
  <c r="AE13" i="8"/>
  <c r="Y5" i="8"/>
  <c r="BG3" i="8"/>
  <c r="BL37" i="8"/>
  <c r="BL21" i="8"/>
  <c r="BL5" i="8"/>
  <c r="BM35" i="8"/>
  <c r="BM19" i="8"/>
  <c r="AE30" i="8"/>
  <c r="AE14" i="8"/>
  <c r="AE31" i="8"/>
  <c r="AE15" i="8"/>
  <c r="Y39" i="8"/>
  <c r="Y7" i="8"/>
  <c r="AE32" i="8"/>
  <c r="AE16" i="8"/>
  <c r="BJ3" i="8"/>
  <c r="AE33" i="8"/>
  <c r="AE17" i="8"/>
  <c r="BF37" i="8"/>
  <c r="AE3" i="8"/>
  <c r="AE34" i="8"/>
  <c r="Y26" i="8"/>
  <c r="BL3" i="8"/>
  <c r="BJ30" i="8"/>
  <c r="BJ14" i="8"/>
  <c r="BM3" i="8"/>
  <c r="BG5" i="8"/>
  <c r="BJ31" i="8"/>
  <c r="BJ15" i="8"/>
  <c r="BF40" i="8"/>
  <c r="BF8" i="8"/>
  <c r="BJ32" i="8"/>
  <c r="BJ16" i="8"/>
  <c r="BF41" i="8"/>
  <c r="BF25" i="8"/>
  <c r="BG39" i="8"/>
  <c r="BG7" i="8"/>
  <c r="BJ17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11" i="8"/>
  <c r="AB12" i="8"/>
  <c r="Y23" i="8"/>
  <c r="AB33" i="8"/>
  <c r="Y9" i="8"/>
  <c r="Y27" i="8"/>
  <c r="Y11" i="8"/>
  <c r="AB37" i="8"/>
  <c r="AB21" i="8"/>
  <c r="AB5" i="8"/>
  <c r="AB38" i="8"/>
  <c r="AB6" i="8"/>
  <c r="Y29" i="8"/>
  <c r="Y13" i="8"/>
  <c r="AB39" i="8"/>
  <c r="AB23" i="8"/>
  <c r="AB7" i="8"/>
  <c r="Y12" i="8"/>
  <c r="AB22" i="8"/>
  <c r="Y14" i="8"/>
  <c r="AB24" i="8"/>
  <c r="AB8" i="8"/>
  <c r="Y15" i="8"/>
  <c r="Y28" i="8"/>
  <c r="Y30" i="8"/>
  <c r="AB40" i="8"/>
  <c r="Y31" i="8"/>
  <c r="Y32" i="8"/>
  <c r="Y16" i="8"/>
  <c r="AB26" i="8"/>
  <c r="AB10" i="8"/>
  <c r="AB29" i="8"/>
  <c r="AB13" i="8"/>
  <c r="Y35" i="8"/>
  <c r="Y19" i="8"/>
  <c r="U5" i="16" l="1"/>
  <c r="U9" i="16"/>
  <c r="U12" i="15"/>
  <c r="U5" i="14"/>
  <c r="U10" i="12"/>
  <c r="U12" i="12"/>
  <c r="U8" i="10"/>
  <c r="AG23" i="8"/>
  <c r="AG27" i="8"/>
  <c r="AG19" i="8"/>
  <c r="AG7" i="8"/>
  <c r="AG28" i="8"/>
  <c r="AG8" i="8"/>
  <c r="AG30" i="8"/>
  <c r="AG37" i="8"/>
  <c r="AG41" i="8"/>
  <c r="AG14" i="8"/>
  <c r="AG21" i="8"/>
  <c r="AG20" i="8"/>
  <c r="AG15" i="8"/>
  <c r="AG38" i="8"/>
  <c r="AG33" i="8"/>
  <c r="AG12" i="8"/>
  <c r="AG3" i="8"/>
  <c r="AG5" i="8"/>
  <c r="AG24" i="8"/>
  <c r="AG10" i="8"/>
  <c r="AG36" i="8"/>
  <c r="AG31" i="8"/>
  <c r="AG18" i="8"/>
  <c r="AH8" i="8"/>
  <c r="AG6" i="8"/>
  <c r="AG25" i="8"/>
  <c r="AG11" i="8"/>
  <c r="AG13" i="8"/>
  <c r="AG32" i="8"/>
  <c r="AG39" i="8"/>
  <c r="AG9" i="8"/>
  <c r="AG4" i="8"/>
  <c r="AG16" i="8"/>
  <c r="U13" i="16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17" i="8"/>
  <c r="AF13" i="8"/>
  <c r="AF11" i="8"/>
  <c r="AF6" i="8"/>
  <c r="AF36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H25" i="8"/>
  <c r="AH28" i="8"/>
  <c r="BH35" i="8"/>
  <c r="BH32" i="8"/>
  <c r="BK13" i="8"/>
  <c r="BH33" i="8"/>
  <c r="BH21" i="8"/>
  <c r="AH34" i="8"/>
  <c r="AH20" i="8"/>
  <c r="AH18" i="8"/>
  <c r="AH30" i="8"/>
  <c r="AH12" i="8"/>
  <c r="AH5" i="8"/>
  <c r="AH3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29" i="8"/>
  <c r="AH41" i="8"/>
  <c r="AH25" i="8"/>
  <c r="AH23" i="8"/>
  <c r="AH32" i="8"/>
  <c r="AH36" i="8"/>
  <c r="AH10" i="8"/>
  <c r="AH9" i="8"/>
  <c r="AH40" i="8"/>
  <c r="AH7" i="8"/>
  <c r="AH16" i="8"/>
  <c r="AH21" i="8"/>
  <c r="AH11" i="8"/>
  <c r="AH24" i="8"/>
  <c r="BK16" i="8"/>
  <c r="BK24" i="8"/>
  <c r="BH19" i="8"/>
  <c r="BH22" i="8"/>
  <c r="BH36" i="8"/>
  <c r="BK9" i="8"/>
  <c r="BK30" i="8"/>
  <c r="BH28" i="8"/>
  <c r="BK38" i="8"/>
  <c r="BH6" i="8"/>
  <c r="BH4" i="8"/>
  <c r="BK32" i="8"/>
  <c r="BK14" i="8"/>
  <c r="BK37" i="8"/>
  <c r="BK21" i="8"/>
  <c r="BK5" i="8"/>
  <c r="BH15" i="8"/>
  <c r="BH30" i="8"/>
  <c r="BK6" i="8"/>
  <c r="BH20" i="8"/>
  <c r="BK8" i="8"/>
  <c r="BH37" i="8"/>
  <c r="BH38" i="8"/>
  <c r="BK4" i="8"/>
  <c r="BK31" i="8"/>
  <c r="BH34" i="8"/>
  <c r="BH41" i="8"/>
  <c r="BH31" i="8"/>
  <c r="BH29" i="8"/>
  <c r="BK41" i="8"/>
  <c r="BK18" i="8"/>
  <c r="BK15" i="8"/>
  <c r="BK40" i="8"/>
  <c r="BK11" i="8"/>
  <c r="BK36" i="8"/>
  <c r="BH13" i="8"/>
  <c r="BK12" i="8"/>
  <c r="BH17" i="8"/>
  <c r="BH40" i="8"/>
  <c r="BH23" i="8"/>
  <c r="BH5" i="8"/>
  <c r="BK17" i="8"/>
  <c r="BK35" i="8"/>
  <c r="BH3" i="8"/>
  <c r="BH18" i="8"/>
  <c r="BK7" i="8"/>
  <c r="BH12" i="8"/>
  <c r="BH39" i="8"/>
  <c r="BH10" i="8"/>
  <c r="BK19" i="8"/>
  <c r="BH16" i="8"/>
  <c r="BH26" i="8"/>
  <c r="BK20" i="8"/>
  <c r="BH9" i="8"/>
  <c r="BK10" i="8"/>
  <c r="BH27" i="8"/>
  <c r="BK27" i="8"/>
  <c r="BH7" i="8"/>
  <c r="BK34" i="8"/>
  <c r="BK39" i="8"/>
  <c r="BK3" i="8"/>
  <c r="BK23" i="8"/>
  <c r="BK33" i="8"/>
  <c r="BK26" i="8"/>
  <c r="BK25" i="8"/>
  <c r="BK22" i="8"/>
  <c r="BH24" i="8"/>
  <c r="BK29" i="8"/>
  <c r="BH14" i="8"/>
  <c r="BH11" i="8"/>
  <c r="BK28" i="8"/>
  <c r="BH8" i="8"/>
</calcChain>
</file>

<file path=xl/sharedStrings.xml><?xml version="1.0" encoding="utf-8"?>
<sst xmlns="http://schemas.openxmlformats.org/spreadsheetml/2006/main" count="444" uniqueCount="105">
  <si>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</si>
  <si>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</si>
  <si>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</si>
  <si>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</si>
  <si>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</si>
  <si>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</si>
  <si>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</si>
  <si>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</si>
  <si>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</si>
  <si>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</si>
  <si>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</si>
  <si>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</si>
  <si>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</si>
  <si>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</si>
  <si>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</si>
  <si>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</si>
  <si>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</si>
  <si>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</si>
  <si>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</si>
  <si>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</si>
  <si>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</si>
  <si>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</si>
  <si>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</si>
  <si>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</si>
  <si>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</si>
  <si>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</si>
  <si>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</si>
  <si>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</si>
  <si>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</si>
  <si>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</si>
  <si>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</si>
  <si>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</si>
  <si>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</si>
  <si>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</si>
  <si>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</si>
  <si>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</si>
  <si>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</si>
  <si>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</si>
  <si>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</si>
  <si>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</si>
  <si>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</si>
  <si>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</si>
  <si>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</si>
  <si>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</si>
  <si>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</si>
  <si>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</si>
  <si>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</si>
  <si>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</si>
  <si>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</si>
  <si>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</si>
  <si>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</si>
  <si>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</si>
  <si>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</si>
  <si>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</si>
  <si>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</si>
  <si>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</si>
  <si>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</si>
  <si>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</si>
  <si>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</si>
  <si>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</si>
  <si>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</si>
  <si>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</si>
  <si>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</si>
  <si>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</si>
  <si>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</si>
  <si>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Napheesa Collier</t>
  </si>
  <si>
    <t>Chelsea Gray</t>
  </si>
  <si>
    <t>Kayla McBride</t>
  </si>
  <si>
    <t>Allisha Gray</t>
  </si>
  <si>
    <t>Breanna Stewart</t>
  </si>
  <si>
    <t>Rhyne Howard</t>
  </si>
  <si>
    <t>Skylar Diggins</t>
  </si>
  <si>
    <t>Dearica Hamby</t>
  </si>
  <si>
    <t>Brittney Griner</t>
  </si>
  <si>
    <t>Satou Sabally</t>
  </si>
  <si>
    <t>Rickea Jackson</t>
  </si>
  <si>
    <t>Angel Reese</t>
  </si>
  <si>
    <t>Sabrina Ionescu</t>
  </si>
  <si>
    <t>Tiffany Hayes</t>
  </si>
  <si>
    <t>Jewell Loyd</t>
  </si>
  <si>
    <t>Courtney Vandersloot</t>
  </si>
  <si>
    <t>Brittney Sykes</t>
  </si>
  <si>
    <t>Natasha Cloud</t>
  </si>
  <si>
    <t>Courtney Williams</t>
  </si>
  <si>
    <t>Azurá Stevens</t>
  </si>
  <si>
    <t>Shakira Austin</t>
  </si>
  <si>
    <t>Kahleah Copper</t>
  </si>
  <si>
    <t>Jordin Canada</t>
  </si>
  <si>
    <t>Rae Burrell</t>
  </si>
  <si>
    <t>Stefanie Dolson</t>
  </si>
  <si>
    <t>Aaliyah Edwards</t>
  </si>
  <si>
    <t>DiJonai Carrington</t>
  </si>
  <si>
    <t>Katie Lou Samuelson</t>
  </si>
  <si>
    <t>Natisha Hiedeman</t>
  </si>
  <si>
    <t>Jackie Young</t>
  </si>
  <si>
    <t>Alyssa Thomas</t>
  </si>
  <si>
    <t>Lexie Hull</t>
  </si>
  <si>
    <t>Arike Ogunbowale</t>
  </si>
  <si>
    <t>Aliyah Boston</t>
  </si>
  <si>
    <t>Kate Martin</t>
  </si>
  <si>
    <t>Marina Mabrey</t>
  </si>
  <si>
    <t>Kiki Jefferson</t>
  </si>
  <si>
    <t>Ariel Atkins</t>
  </si>
  <si>
    <t>NaLyssa Smith</t>
  </si>
  <si>
    <t>TOV%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</si>
</sst>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>
        <v>1</v>
      </c>
      <c r="B3" s="5" t="s">
        <v>65</v>
      </c>
      <c r="C3" s="2">
        <v>14</v>
      </c>
      <c r="D3" s="2">
        <v>296</v>
      </c>
      <c r="E3" s="2">
        <v>360</v>
      </c>
      <c r="F3" s="2">
        <v>146</v>
      </c>
      <c r="G3" s="2">
        <v>239</v>
      </c>
      <c r="H3" s="2">
        <v>17</v>
      </c>
      <c r="I3" s="2">
        <v>54</v>
      </c>
      <c r="J3" s="2">
        <v>32</v>
      </c>
      <c r="K3" s="2">
        <v>40</v>
      </c>
      <c r="L3" s="2">
        <v>23</v>
      </c>
      <c r="M3" s="2">
        <v>127</v>
      </c>
      <c r="N3" s="2">
        <v>150</v>
      </c>
      <c r="O3" s="2">
        <v>39</v>
      </c>
      <c r="P3" s="2">
        <v>28</v>
      </c>
      <c r="Q3" s="2">
        <v>20</v>
      </c>
      <c r="R3" s="2">
        <v>22</v>
      </c>
      <c r="S3" s="2">
        <v>48</v>
      </c>
      <c r="T3" s="2">
        <f>F3-H3</f>
        <v>129</v>
      </c>
      <c r="U3" s="2">
        <f>G3-I3</f>
        <v>185</v>
      </c>
    </row>
    <row r="4" spans="1:21" x14ac:dyDescent="0.25">
      <c r="A4" s="2">
        <v>2</v>
      </c>
      <c r="B4" s="5" t="s">
        <v>66</v>
      </c>
      <c r="C4" s="2">
        <v>14</v>
      </c>
      <c r="D4" s="2">
        <v>279</v>
      </c>
      <c r="E4" s="2">
        <v>300</v>
      </c>
      <c r="F4" s="2">
        <v>115</v>
      </c>
      <c r="G4" s="2">
        <v>253</v>
      </c>
      <c r="H4" s="2">
        <v>36</v>
      </c>
      <c r="I4" s="2">
        <v>78</v>
      </c>
      <c r="J4" s="2">
        <v>22</v>
      </c>
      <c r="K4" s="2">
        <v>23</v>
      </c>
      <c r="L4" s="2">
        <v>14</v>
      </c>
      <c r="M4" s="2">
        <v>58</v>
      </c>
      <c r="N4" s="2">
        <v>72</v>
      </c>
      <c r="O4" s="2">
        <v>77</v>
      </c>
      <c r="P4" s="2">
        <v>18</v>
      </c>
      <c r="Q4" s="2">
        <v>5</v>
      </c>
      <c r="R4" s="2">
        <v>39</v>
      </c>
      <c r="S4" s="2">
        <v>31</v>
      </c>
      <c r="T4" s="2">
        <f t="shared" ref="T4:T41" si="0">F4-H4</f>
        <v>79</v>
      </c>
      <c r="U4" s="2">
        <f t="shared" ref="U4:U41" si="1">G4-I4</f>
        <v>175</v>
      </c>
    </row>
    <row r="5" spans="1:21" x14ac:dyDescent="0.25">
      <c r="A5" s="2">
        <v>3</v>
      </c>
      <c r="B5" s="5" t="s">
        <v>67</v>
      </c>
      <c r="C5" s="2">
        <v>13</v>
      </c>
      <c r="D5" s="2">
        <v>249</v>
      </c>
      <c r="E5" s="2">
        <v>291</v>
      </c>
      <c r="F5" s="2">
        <v>102</v>
      </c>
      <c r="G5" s="2">
        <v>222</v>
      </c>
      <c r="H5" s="2">
        <v>41</v>
      </c>
      <c r="I5" s="2">
        <v>108</v>
      </c>
      <c r="J5" s="2">
        <v>27</v>
      </c>
      <c r="K5" s="2">
        <v>28</v>
      </c>
      <c r="L5" s="2">
        <v>7</v>
      </c>
      <c r="M5" s="2">
        <v>68</v>
      </c>
      <c r="N5" s="2">
        <v>75</v>
      </c>
      <c r="O5" s="2">
        <v>38</v>
      </c>
      <c r="P5" s="2">
        <v>14</v>
      </c>
      <c r="Q5" s="2">
        <v>2</v>
      </c>
      <c r="R5" s="2">
        <v>21</v>
      </c>
      <c r="S5" s="2">
        <v>17</v>
      </c>
      <c r="T5" s="2">
        <f t="shared" si="0"/>
        <v>61</v>
      </c>
      <c r="U5" s="2">
        <f t="shared" si="1"/>
        <v>114</v>
      </c>
    </row>
    <row r="6" spans="1:21" x14ac:dyDescent="0.25">
      <c r="A6" s="2">
        <v>4</v>
      </c>
      <c r="B6" s="5" t="s">
        <v>68</v>
      </c>
      <c r="C6" s="2">
        <v>14</v>
      </c>
      <c r="D6" s="2">
        <v>274</v>
      </c>
      <c r="E6" s="2">
        <v>271</v>
      </c>
      <c r="F6" s="2">
        <v>94</v>
      </c>
      <c r="G6" s="2">
        <v>200</v>
      </c>
      <c r="H6" s="2">
        <v>33</v>
      </c>
      <c r="I6" s="2">
        <v>87</v>
      </c>
      <c r="J6" s="2">
        <v>27</v>
      </c>
      <c r="K6" s="2">
        <v>31</v>
      </c>
      <c r="L6" s="2">
        <v>10</v>
      </c>
      <c r="M6" s="2">
        <v>70</v>
      </c>
      <c r="N6" s="2">
        <v>80</v>
      </c>
      <c r="O6" s="2">
        <v>38</v>
      </c>
      <c r="P6" s="2">
        <v>17</v>
      </c>
      <c r="Q6" s="2">
        <v>2</v>
      </c>
      <c r="R6" s="2">
        <v>21</v>
      </c>
      <c r="S6" s="2">
        <v>43</v>
      </c>
      <c r="T6" s="2">
        <f t="shared" si="0"/>
        <v>61</v>
      </c>
      <c r="U6" s="2">
        <f t="shared" si="1"/>
        <v>113</v>
      </c>
    </row>
    <row r="7" spans="1:21" x14ac:dyDescent="0.25">
      <c r="A7" s="2">
        <v>5</v>
      </c>
      <c r="B7" s="5" t="s">
        <v>69</v>
      </c>
      <c r="C7" s="2">
        <v>14</v>
      </c>
      <c r="D7" s="2">
        <v>260</v>
      </c>
      <c r="E7" s="2">
        <v>268</v>
      </c>
      <c r="F7" s="2">
        <v>98</v>
      </c>
      <c r="G7" s="2">
        <v>224</v>
      </c>
      <c r="H7" s="2">
        <v>8</v>
      </c>
      <c r="I7" s="2">
        <v>42</v>
      </c>
      <c r="J7" s="2">
        <v>37</v>
      </c>
      <c r="K7" s="2">
        <v>47</v>
      </c>
      <c r="L7" s="2">
        <v>15</v>
      </c>
      <c r="M7" s="2">
        <v>141</v>
      </c>
      <c r="N7" s="2">
        <v>156</v>
      </c>
      <c r="O7" s="2">
        <v>44</v>
      </c>
      <c r="P7" s="2">
        <v>16</v>
      </c>
      <c r="Q7" s="2">
        <v>15</v>
      </c>
      <c r="R7" s="2">
        <v>21</v>
      </c>
      <c r="S7" s="2">
        <v>27</v>
      </c>
      <c r="T7" s="2">
        <f t="shared" si="0"/>
        <v>90</v>
      </c>
      <c r="U7" s="2">
        <f t="shared" si="1"/>
        <v>182</v>
      </c>
    </row>
    <row r="8" spans="1:21" x14ac:dyDescent="0.25">
      <c r="A8" s="2">
        <v>6</v>
      </c>
      <c r="B8" s="5" t="s">
        <v>70</v>
      </c>
      <c r="C8" s="2">
        <v>13</v>
      </c>
      <c r="D8" s="2">
        <v>258</v>
      </c>
      <c r="E8" s="2">
        <v>267</v>
      </c>
      <c r="F8" s="2">
        <v>88</v>
      </c>
      <c r="G8" s="2">
        <v>226</v>
      </c>
      <c r="H8" s="2">
        <v>46</v>
      </c>
      <c r="I8" s="2">
        <v>124</v>
      </c>
      <c r="J8" s="2">
        <v>23</v>
      </c>
      <c r="K8" s="2">
        <v>27</v>
      </c>
      <c r="L8" s="2">
        <v>14</v>
      </c>
      <c r="M8" s="2">
        <v>60</v>
      </c>
      <c r="N8" s="2">
        <v>74</v>
      </c>
      <c r="O8" s="2">
        <v>29</v>
      </c>
      <c r="P8" s="2">
        <v>15</v>
      </c>
      <c r="Q8" s="2">
        <v>14</v>
      </c>
      <c r="R8" s="2">
        <v>21</v>
      </c>
      <c r="S8" s="2">
        <v>42</v>
      </c>
      <c r="T8" s="2">
        <f t="shared" si="0"/>
        <v>42</v>
      </c>
      <c r="U8" s="2">
        <f t="shared" si="1"/>
        <v>102</v>
      </c>
    </row>
    <row r="9" spans="1:21" x14ac:dyDescent="0.25">
      <c r="A9" s="2">
        <v>7</v>
      </c>
      <c r="B9" s="5" t="s">
        <v>71</v>
      </c>
      <c r="C9" s="2">
        <v>14</v>
      </c>
      <c r="D9" s="2">
        <v>226</v>
      </c>
      <c r="E9" s="2">
        <v>251</v>
      </c>
      <c r="F9" s="2">
        <v>96</v>
      </c>
      <c r="G9" s="2">
        <v>184</v>
      </c>
      <c r="H9" s="2">
        <v>16</v>
      </c>
      <c r="I9" s="2">
        <v>50</v>
      </c>
      <c r="J9" s="2">
        <v>23</v>
      </c>
      <c r="K9" s="2">
        <v>29</v>
      </c>
      <c r="L9" s="2">
        <v>15</v>
      </c>
      <c r="M9" s="2">
        <v>22</v>
      </c>
      <c r="N9" s="2">
        <v>37</v>
      </c>
      <c r="O9" s="2">
        <v>66</v>
      </c>
      <c r="P9" s="2">
        <v>21</v>
      </c>
      <c r="Q9" s="2">
        <v>6</v>
      </c>
      <c r="R9" s="2">
        <v>19</v>
      </c>
      <c r="S9" s="2">
        <v>47</v>
      </c>
      <c r="T9" s="2">
        <f t="shared" si="0"/>
        <v>80</v>
      </c>
      <c r="U9" s="2">
        <f t="shared" si="1"/>
        <v>134</v>
      </c>
    </row>
    <row r="10" spans="1:21" x14ac:dyDescent="0.25">
      <c r="A10" s="2">
        <v>8</v>
      </c>
      <c r="B10" s="5" t="s">
        <v>72</v>
      </c>
      <c r="C10" s="2">
        <v>12</v>
      </c>
      <c r="D10" s="2">
        <v>205</v>
      </c>
      <c r="E10" s="2">
        <v>239</v>
      </c>
      <c r="F10" s="2">
        <v>92</v>
      </c>
      <c r="G10" s="2">
        <v>164</v>
      </c>
      <c r="H10" s="2">
        <v>10</v>
      </c>
      <c r="I10" s="2">
        <v>25</v>
      </c>
      <c r="J10" s="2">
        <v>26</v>
      </c>
      <c r="K10" s="2">
        <v>40</v>
      </c>
      <c r="L10" s="2">
        <v>28</v>
      </c>
      <c r="M10" s="2">
        <v>91</v>
      </c>
      <c r="N10" s="2">
        <v>119</v>
      </c>
      <c r="O10" s="2">
        <v>27</v>
      </c>
      <c r="P10" s="2">
        <v>15</v>
      </c>
      <c r="Q10" s="2">
        <v>4</v>
      </c>
      <c r="R10" s="2">
        <v>24</v>
      </c>
      <c r="S10" s="2">
        <v>36</v>
      </c>
      <c r="T10" s="2">
        <f t="shared" si="0"/>
        <v>82</v>
      </c>
      <c r="U10" s="2">
        <f t="shared" si="1"/>
        <v>139</v>
      </c>
    </row>
    <row r="11" spans="1:21" x14ac:dyDescent="0.25">
      <c r="A11" s="2">
        <v>9</v>
      </c>
      <c r="B11" s="5" t="s">
        <v>73</v>
      </c>
      <c r="C11" s="2">
        <v>14</v>
      </c>
      <c r="D11" s="2">
        <v>215</v>
      </c>
      <c r="E11" s="2">
        <v>234</v>
      </c>
      <c r="F11" s="2">
        <v>100</v>
      </c>
      <c r="G11" s="2">
        <v>155</v>
      </c>
      <c r="H11" s="2">
        <v>5</v>
      </c>
      <c r="I11" s="2">
        <v>9</v>
      </c>
      <c r="J11" s="2">
        <v>16</v>
      </c>
      <c r="K11" s="2">
        <v>21</v>
      </c>
      <c r="L11" s="2">
        <v>13</v>
      </c>
      <c r="M11" s="2">
        <v>68</v>
      </c>
      <c r="N11" s="2">
        <v>81</v>
      </c>
      <c r="O11" s="2">
        <v>19</v>
      </c>
      <c r="P11" s="2">
        <v>4</v>
      </c>
      <c r="Q11" s="2">
        <v>18</v>
      </c>
      <c r="R11" s="2">
        <v>24</v>
      </c>
      <c r="S11" s="2">
        <v>25</v>
      </c>
      <c r="T11" s="2">
        <f t="shared" si="0"/>
        <v>95</v>
      </c>
      <c r="U11" s="2">
        <f t="shared" si="1"/>
        <v>146</v>
      </c>
    </row>
    <row r="12" spans="1:21" x14ac:dyDescent="0.25">
      <c r="A12" s="2">
        <v>10</v>
      </c>
      <c r="B12" s="5" t="s">
        <v>74</v>
      </c>
      <c r="C12" s="2">
        <v>14</v>
      </c>
      <c r="D12" s="2">
        <v>189</v>
      </c>
      <c r="E12" s="2">
        <v>214</v>
      </c>
      <c r="F12" s="2">
        <v>79</v>
      </c>
      <c r="G12" s="2">
        <v>185</v>
      </c>
      <c r="H12" s="2">
        <v>25</v>
      </c>
      <c r="I12" s="2">
        <v>66</v>
      </c>
      <c r="J12" s="2">
        <v>17</v>
      </c>
      <c r="K12" s="2">
        <v>27</v>
      </c>
      <c r="L12" s="2">
        <v>12</v>
      </c>
      <c r="M12" s="2">
        <v>68</v>
      </c>
      <c r="N12" s="2">
        <v>80</v>
      </c>
      <c r="O12" s="2">
        <v>27</v>
      </c>
      <c r="P12" s="2">
        <v>8</v>
      </c>
      <c r="Q12" s="2">
        <v>2</v>
      </c>
      <c r="R12" s="2">
        <v>32</v>
      </c>
      <c r="S12" s="2">
        <v>48</v>
      </c>
      <c r="T12" s="2">
        <f t="shared" si="0"/>
        <v>54</v>
      </c>
      <c r="U12" s="2">
        <f t="shared" si="1"/>
        <v>119</v>
      </c>
    </row>
    <row r="13" spans="1:21" x14ac:dyDescent="0.25">
      <c r="A13" s="2">
        <v>11</v>
      </c>
      <c r="B13" s="5" t="s">
        <v>75</v>
      </c>
      <c r="C13" s="2">
        <v>14</v>
      </c>
      <c r="D13" s="2">
        <v>199</v>
      </c>
      <c r="E13" s="2">
        <v>192</v>
      </c>
      <c r="F13" s="2">
        <v>74</v>
      </c>
      <c r="G13" s="2">
        <v>174</v>
      </c>
      <c r="H13" s="2">
        <v>16</v>
      </c>
      <c r="I13" s="2">
        <v>47</v>
      </c>
      <c r="J13" s="2">
        <v>15</v>
      </c>
      <c r="K13" s="2">
        <v>16</v>
      </c>
      <c r="L13" s="2">
        <v>14</v>
      </c>
      <c r="M13" s="2">
        <v>43</v>
      </c>
      <c r="N13" s="2">
        <v>57</v>
      </c>
      <c r="O13" s="2">
        <v>14</v>
      </c>
      <c r="P13" s="2">
        <v>7</v>
      </c>
      <c r="Q13" s="2">
        <v>5</v>
      </c>
      <c r="R13" s="2">
        <v>24</v>
      </c>
      <c r="S13" s="2">
        <v>31</v>
      </c>
      <c r="T13" s="2">
        <f t="shared" si="0"/>
        <v>58</v>
      </c>
      <c r="U13" s="2">
        <f t="shared" si="1"/>
        <v>127</v>
      </c>
    </row>
    <row r="14" spans="1:21" x14ac:dyDescent="0.25">
      <c r="A14" s="2">
        <v>12</v>
      </c>
      <c r="B14" s="5" t="s">
        <v>76</v>
      </c>
      <c r="C14" s="2">
        <v>14</v>
      </c>
      <c r="D14" s="2">
        <v>220</v>
      </c>
      <c r="E14" s="2">
        <v>186</v>
      </c>
      <c r="F14" s="2">
        <v>69</v>
      </c>
      <c r="G14" s="2">
        <v>147</v>
      </c>
      <c r="H14" s="2">
        <v>2</v>
      </c>
      <c r="I14" s="2">
        <v>9</v>
      </c>
      <c r="J14" s="2">
        <v>25</v>
      </c>
      <c r="K14" s="2">
        <v>34</v>
      </c>
      <c r="L14" s="2">
        <v>53</v>
      </c>
      <c r="M14" s="2">
        <v>120</v>
      </c>
      <c r="N14" s="2">
        <v>173</v>
      </c>
      <c r="O14" s="2">
        <v>26</v>
      </c>
      <c r="P14" s="2">
        <v>10</v>
      </c>
      <c r="Q14" s="2">
        <v>6</v>
      </c>
      <c r="R14" s="2">
        <v>34</v>
      </c>
      <c r="S14" s="2">
        <v>53</v>
      </c>
      <c r="T14" s="2">
        <f t="shared" si="0"/>
        <v>67</v>
      </c>
      <c r="U14" s="2">
        <f t="shared" si="1"/>
        <v>138</v>
      </c>
    </row>
    <row r="15" spans="1:21" x14ac:dyDescent="0.25">
      <c r="A15" s="2">
        <v>13</v>
      </c>
      <c r="B15" s="5" t="s">
        <v>77</v>
      </c>
      <c r="C15" s="2">
        <v>9</v>
      </c>
      <c r="D15" s="2">
        <v>173</v>
      </c>
      <c r="E15" s="2">
        <v>164</v>
      </c>
      <c r="F15" s="2">
        <v>59</v>
      </c>
      <c r="G15" s="2">
        <v>143</v>
      </c>
      <c r="H15" s="2">
        <v>23</v>
      </c>
      <c r="I15" s="2">
        <v>64</v>
      </c>
      <c r="J15" s="2">
        <v>13</v>
      </c>
      <c r="K15" s="2">
        <v>16</v>
      </c>
      <c r="L15" s="2">
        <v>13</v>
      </c>
      <c r="M15" s="2">
        <v>50</v>
      </c>
      <c r="N15" s="2">
        <v>63</v>
      </c>
      <c r="O15" s="2">
        <v>37</v>
      </c>
      <c r="P15" s="2">
        <v>4</v>
      </c>
      <c r="Q15" s="2">
        <v>2</v>
      </c>
      <c r="R15" s="2">
        <v>15</v>
      </c>
      <c r="S15" s="2">
        <v>16</v>
      </c>
      <c r="T15" s="2">
        <f t="shared" si="0"/>
        <v>36</v>
      </c>
      <c r="U15" s="2">
        <f t="shared" si="1"/>
        <v>79</v>
      </c>
    </row>
    <row r="16" spans="1:21" x14ac:dyDescent="0.25">
      <c r="A16" s="2">
        <v>14</v>
      </c>
      <c r="B16" s="5" t="s">
        <v>78</v>
      </c>
      <c r="C16" s="2">
        <v>10</v>
      </c>
      <c r="D16" s="2">
        <v>158</v>
      </c>
      <c r="E16" s="2">
        <v>161</v>
      </c>
      <c r="F16" s="2">
        <v>62</v>
      </c>
      <c r="G16" s="2">
        <v>157</v>
      </c>
      <c r="H16" s="2">
        <v>13</v>
      </c>
      <c r="I16" s="2">
        <v>53</v>
      </c>
      <c r="J16" s="2">
        <v>13</v>
      </c>
      <c r="K16" s="2">
        <v>22</v>
      </c>
      <c r="L16" s="2">
        <v>8</v>
      </c>
      <c r="M16" s="2">
        <v>45</v>
      </c>
      <c r="N16" s="2">
        <v>53</v>
      </c>
      <c r="O16" s="2">
        <v>26</v>
      </c>
      <c r="P16" s="2">
        <v>11</v>
      </c>
      <c r="Q16" s="2">
        <v>1</v>
      </c>
      <c r="R16" s="2">
        <v>18</v>
      </c>
      <c r="S16" s="2">
        <v>28</v>
      </c>
      <c r="T16" s="2">
        <f t="shared" si="0"/>
        <v>49</v>
      </c>
      <c r="U16" s="2">
        <f t="shared" si="1"/>
        <v>104</v>
      </c>
    </row>
    <row r="17" spans="1:21" x14ac:dyDescent="0.25">
      <c r="A17" s="2">
        <v>15</v>
      </c>
      <c r="B17" s="5" t="s">
        <v>79</v>
      </c>
      <c r="C17" s="2">
        <v>12</v>
      </c>
      <c r="D17" s="2">
        <v>163</v>
      </c>
      <c r="E17" s="2">
        <v>146</v>
      </c>
      <c r="F17" s="2">
        <v>52</v>
      </c>
      <c r="G17" s="2">
        <v>117</v>
      </c>
      <c r="H17" s="2">
        <v>15</v>
      </c>
      <c r="I17" s="2">
        <v>40</v>
      </c>
      <c r="J17" s="2">
        <v>15</v>
      </c>
      <c r="K17" s="2">
        <v>17</v>
      </c>
      <c r="L17" s="2">
        <v>9</v>
      </c>
      <c r="M17" s="2">
        <v>23</v>
      </c>
      <c r="N17" s="2">
        <v>32</v>
      </c>
      <c r="O17" s="2">
        <v>28</v>
      </c>
      <c r="P17" s="2">
        <v>6</v>
      </c>
      <c r="Q17" s="2">
        <v>1</v>
      </c>
      <c r="R17" s="2">
        <v>22</v>
      </c>
      <c r="S17" s="2">
        <v>21</v>
      </c>
      <c r="T17" s="2">
        <f t="shared" si="0"/>
        <v>37</v>
      </c>
      <c r="U17" s="2">
        <f t="shared" si="1"/>
        <v>77</v>
      </c>
    </row>
    <row r="18" spans="1:21" x14ac:dyDescent="0.25">
      <c r="A18" s="2">
        <v>16</v>
      </c>
      <c r="B18" s="5" t="s">
        <v>80</v>
      </c>
      <c r="C18" s="2">
        <v>14</v>
      </c>
      <c r="D18" s="2">
        <v>170</v>
      </c>
      <c r="E18" s="2">
        <v>140</v>
      </c>
      <c r="F18" s="2">
        <v>57</v>
      </c>
      <c r="G18" s="2">
        <v>126</v>
      </c>
      <c r="H18" s="2">
        <v>10</v>
      </c>
      <c r="I18" s="2">
        <v>32</v>
      </c>
      <c r="J18" s="2">
        <v>9</v>
      </c>
      <c r="K18" s="2">
        <v>11</v>
      </c>
      <c r="L18" s="2">
        <v>6</v>
      </c>
      <c r="M18" s="2">
        <v>36</v>
      </c>
      <c r="N18" s="2">
        <v>42</v>
      </c>
      <c r="O18" s="2">
        <v>44</v>
      </c>
      <c r="P18" s="2">
        <v>8</v>
      </c>
      <c r="Q18" s="2">
        <v>6</v>
      </c>
      <c r="R18" s="2">
        <v>17</v>
      </c>
      <c r="S18" s="2">
        <v>25</v>
      </c>
      <c r="T18" s="2">
        <f t="shared" si="0"/>
        <v>47</v>
      </c>
      <c r="U18" s="2">
        <f t="shared" si="1"/>
        <v>94</v>
      </c>
    </row>
    <row r="19" spans="1:21" x14ac:dyDescent="0.25">
      <c r="A19" s="2">
        <v>17</v>
      </c>
      <c r="B19" s="5" t="s">
        <v>81</v>
      </c>
      <c r="C19" s="2">
        <v>12</v>
      </c>
      <c r="D19" s="2">
        <v>153</v>
      </c>
      <c r="E19" s="2">
        <v>139</v>
      </c>
      <c r="F19" s="2">
        <v>55</v>
      </c>
      <c r="G19" s="2">
        <v>131</v>
      </c>
      <c r="H19" s="2">
        <v>6</v>
      </c>
      <c r="I19" s="2">
        <v>26</v>
      </c>
      <c r="J19" s="2">
        <v>13</v>
      </c>
      <c r="K19" s="2">
        <v>17</v>
      </c>
      <c r="L19" s="2">
        <v>14</v>
      </c>
      <c r="M19" s="2">
        <v>32</v>
      </c>
      <c r="N19" s="2">
        <v>46</v>
      </c>
      <c r="O19" s="2">
        <v>23</v>
      </c>
      <c r="P19" s="2">
        <v>7</v>
      </c>
      <c r="Q19" s="2">
        <v>1</v>
      </c>
      <c r="R19" s="2">
        <v>21</v>
      </c>
      <c r="S19" s="2">
        <v>41</v>
      </c>
      <c r="T19" s="2">
        <f t="shared" si="0"/>
        <v>49</v>
      </c>
      <c r="U19" s="2">
        <f t="shared" si="1"/>
        <v>105</v>
      </c>
    </row>
    <row r="20" spans="1:21" x14ac:dyDescent="0.25">
      <c r="A20" s="2">
        <v>18</v>
      </c>
      <c r="B20" s="5" t="s">
        <v>82</v>
      </c>
      <c r="C20" s="2">
        <v>14</v>
      </c>
      <c r="D20" s="2">
        <v>202</v>
      </c>
      <c r="E20" s="2">
        <v>136</v>
      </c>
      <c r="F20" s="2">
        <v>50</v>
      </c>
      <c r="G20" s="2">
        <v>126</v>
      </c>
      <c r="H20" s="2">
        <v>14</v>
      </c>
      <c r="I20" s="2">
        <v>58</v>
      </c>
      <c r="J20" s="2">
        <v>12</v>
      </c>
      <c r="K20" s="2">
        <v>15</v>
      </c>
      <c r="L20" s="2">
        <v>10</v>
      </c>
      <c r="M20" s="2">
        <v>59</v>
      </c>
      <c r="N20" s="2">
        <v>69</v>
      </c>
      <c r="O20" s="2">
        <v>66</v>
      </c>
      <c r="P20" s="2">
        <v>6</v>
      </c>
      <c r="Q20" s="2">
        <v>2</v>
      </c>
      <c r="R20" s="2">
        <v>26</v>
      </c>
      <c r="S20" s="2">
        <v>27</v>
      </c>
      <c r="T20" s="2">
        <f t="shared" si="0"/>
        <v>36</v>
      </c>
      <c r="U20" s="2">
        <f t="shared" si="1"/>
        <v>68</v>
      </c>
    </row>
    <row r="21" spans="1:21" x14ac:dyDescent="0.25">
      <c r="A21" s="2">
        <v>19</v>
      </c>
      <c r="B21" s="5" t="s">
        <v>83</v>
      </c>
      <c r="C21" s="2">
        <v>14</v>
      </c>
      <c r="D21" s="2">
        <v>143</v>
      </c>
      <c r="E21" s="2">
        <v>131</v>
      </c>
      <c r="F21" s="2">
        <v>57</v>
      </c>
      <c r="G21" s="2">
        <v>117</v>
      </c>
      <c r="H21" s="2">
        <v>6</v>
      </c>
      <c r="I21" s="2">
        <v>15</v>
      </c>
      <c r="J21" s="2">
        <v>6</v>
      </c>
      <c r="K21" s="2">
        <v>6</v>
      </c>
      <c r="L21" s="2">
        <v>3</v>
      </c>
      <c r="M21" s="2">
        <v>54</v>
      </c>
      <c r="N21" s="2">
        <v>57</v>
      </c>
      <c r="O21" s="2">
        <v>64</v>
      </c>
      <c r="P21" s="2">
        <v>5</v>
      </c>
      <c r="Q21" s="2">
        <v>1</v>
      </c>
      <c r="R21" s="2">
        <v>11</v>
      </c>
      <c r="S21" s="2">
        <v>29</v>
      </c>
      <c r="T21" s="2">
        <f t="shared" si="0"/>
        <v>51</v>
      </c>
      <c r="U21" s="2">
        <f t="shared" si="1"/>
        <v>102</v>
      </c>
    </row>
    <row r="22" spans="1:21" x14ac:dyDescent="0.25">
      <c r="A22" s="2">
        <v>20</v>
      </c>
      <c r="B22" s="5" t="s">
        <v>84</v>
      </c>
      <c r="C22" s="2">
        <v>10</v>
      </c>
      <c r="D22" s="2">
        <v>109</v>
      </c>
      <c r="E22" s="2">
        <v>117</v>
      </c>
      <c r="F22" s="2">
        <v>49</v>
      </c>
      <c r="G22" s="2">
        <v>101</v>
      </c>
      <c r="H22" s="2">
        <v>6</v>
      </c>
      <c r="I22" s="2">
        <v>33</v>
      </c>
      <c r="J22" s="2">
        <v>8</v>
      </c>
      <c r="K22" s="2">
        <v>12</v>
      </c>
      <c r="L22" s="2">
        <v>17</v>
      </c>
      <c r="M22" s="2">
        <v>56</v>
      </c>
      <c r="N22" s="2">
        <v>73</v>
      </c>
      <c r="O22" s="2">
        <v>11</v>
      </c>
      <c r="P22" s="2">
        <v>7</v>
      </c>
      <c r="Q22" s="2">
        <v>7</v>
      </c>
      <c r="R22" s="2">
        <v>10</v>
      </c>
      <c r="S22" s="2">
        <v>18</v>
      </c>
      <c r="T22" s="2">
        <f t="shared" si="0"/>
        <v>43</v>
      </c>
      <c r="U22" s="2">
        <f t="shared" si="1"/>
        <v>68</v>
      </c>
    </row>
    <row r="23" spans="1:21" x14ac:dyDescent="0.25">
      <c r="A23" s="2">
        <v>21</v>
      </c>
      <c r="B23" s="5" t="s">
        <v>85</v>
      </c>
      <c r="C23" s="2">
        <v>14</v>
      </c>
      <c r="D23" s="2">
        <v>130</v>
      </c>
      <c r="E23" s="2">
        <v>117</v>
      </c>
      <c r="F23" s="2">
        <v>45</v>
      </c>
      <c r="G23" s="2">
        <v>89</v>
      </c>
      <c r="H23" s="2">
        <v>0</v>
      </c>
      <c r="I23" s="2">
        <v>3</v>
      </c>
      <c r="J23" s="2">
        <v>17</v>
      </c>
      <c r="K23" s="2">
        <v>23</v>
      </c>
      <c r="L23" s="2">
        <v>26</v>
      </c>
      <c r="M23" s="2">
        <v>34</v>
      </c>
      <c r="N23" s="2">
        <v>60</v>
      </c>
      <c r="O23" s="2">
        <v>9</v>
      </c>
      <c r="P23" s="2">
        <v>6</v>
      </c>
      <c r="Q23" s="2">
        <v>9</v>
      </c>
      <c r="R23" s="2">
        <v>19</v>
      </c>
      <c r="S23" s="2">
        <v>37</v>
      </c>
      <c r="T23" s="2">
        <f t="shared" si="0"/>
        <v>45</v>
      </c>
      <c r="U23" s="2">
        <f t="shared" si="1"/>
        <v>86</v>
      </c>
    </row>
    <row r="24" spans="1:21" x14ac:dyDescent="0.25">
      <c r="A24" s="2">
        <v>22</v>
      </c>
      <c r="B24" s="5" t="s">
        <v>86</v>
      </c>
      <c r="C24" s="2">
        <v>7</v>
      </c>
      <c r="D24" s="2">
        <v>111</v>
      </c>
      <c r="E24" s="2">
        <v>116</v>
      </c>
      <c r="F24" s="2">
        <v>48</v>
      </c>
      <c r="G24" s="2">
        <v>106</v>
      </c>
      <c r="H24" s="2">
        <v>6</v>
      </c>
      <c r="I24" s="2">
        <v>25</v>
      </c>
      <c r="J24" s="2">
        <v>7</v>
      </c>
      <c r="K24" s="2">
        <v>11</v>
      </c>
      <c r="L24" s="2">
        <v>7</v>
      </c>
      <c r="M24" s="2">
        <v>40</v>
      </c>
      <c r="N24" s="2">
        <v>47</v>
      </c>
      <c r="O24" s="2">
        <v>5</v>
      </c>
      <c r="P24" s="2">
        <v>5</v>
      </c>
      <c r="Q24" s="2">
        <v>1</v>
      </c>
      <c r="R24" s="2">
        <v>14</v>
      </c>
      <c r="S24" s="2">
        <v>20</v>
      </c>
      <c r="T24" s="2">
        <f t="shared" si="0"/>
        <v>42</v>
      </c>
      <c r="U24" s="2">
        <f t="shared" si="1"/>
        <v>81</v>
      </c>
    </row>
    <row r="25" spans="1:21" x14ac:dyDescent="0.25">
      <c r="A25" s="2">
        <v>23</v>
      </c>
      <c r="B25" s="5" t="s">
        <v>87</v>
      </c>
      <c r="C25" s="2">
        <v>12</v>
      </c>
      <c r="D25" s="2">
        <v>150</v>
      </c>
      <c r="E25" s="2">
        <v>115</v>
      </c>
      <c r="F25" s="2">
        <v>46</v>
      </c>
      <c r="G25" s="2">
        <v>104</v>
      </c>
      <c r="H25" s="2">
        <v>4</v>
      </c>
      <c r="I25" s="2">
        <v>20</v>
      </c>
      <c r="J25" s="2">
        <v>11</v>
      </c>
      <c r="K25" s="2">
        <v>16</v>
      </c>
      <c r="L25" s="2">
        <v>10</v>
      </c>
      <c r="M25" s="2">
        <v>32</v>
      </c>
      <c r="N25" s="2">
        <v>42</v>
      </c>
      <c r="O25" s="2">
        <v>42</v>
      </c>
      <c r="P25" s="2">
        <v>7</v>
      </c>
      <c r="Q25" s="2">
        <v>2</v>
      </c>
      <c r="R25" s="2">
        <v>16</v>
      </c>
      <c r="S25" s="2">
        <v>25</v>
      </c>
      <c r="T25" s="2">
        <f t="shared" si="0"/>
        <v>42</v>
      </c>
      <c r="U25" s="2">
        <f t="shared" si="1"/>
        <v>84</v>
      </c>
    </row>
    <row r="26" spans="1:21" x14ac:dyDescent="0.25">
      <c r="A26" s="2">
        <v>24</v>
      </c>
      <c r="B26" s="5" t="s">
        <v>88</v>
      </c>
      <c r="C26" s="2">
        <v>13</v>
      </c>
      <c r="D26" s="2">
        <v>125</v>
      </c>
      <c r="E26" s="2">
        <v>111</v>
      </c>
      <c r="F26" s="2">
        <v>38</v>
      </c>
      <c r="G26" s="2">
        <v>101</v>
      </c>
      <c r="H26" s="2">
        <v>9</v>
      </c>
      <c r="I26" s="2">
        <v>28</v>
      </c>
      <c r="J26" s="2">
        <v>13</v>
      </c>
      <c r="K26" s="2">
        <v>19</v>
      </c>
      <c r="L26" s="2">
        <v>8</v>
      </c>
      <c r="M26" s="2">
        <v>24</v>
      </c>
      <c r="N26" s="2">
        <v>32</v>
      </c>
      <c r="O26" s="2">
        <v>19</v>
      </c>
      <c r="P26" s="2">
        <v>9</v>
      </c>
      <c r="Q26" s="2">
        <v>6</v>
      </c>
      <c r="R26" s="2">
        <v>13</v>
      </c>
      <c r="S26" s="2">
        <v>18</v>
      </c>
      <c r="T26" s="2">
        <f t="shared" si="0"/>
        <v>29</v>
      </c>
      <c r="U26" s="2">
        <f t="shared" si="1"/>
        <v>73</v>
      </c>
    </row>
    <row r="27" spans="1:21" x14ac:dyDescent="0.25">
      <c r="A27" s="2">
        <v>25</v>
      </c>
      <c r="B27" s="5" t="s">
        <v>89</v>
      </c>
      <c r="C27" s="2">
        <v>13</v>
      </c>
      <c r="D27" s="2">
        <v>151</v>
      </c>
      <c r="E27" s="2">
        <v>109</v>
      </c>
      <c r="F27" s="2">
        <v>41</v>
      </c>
      <c r="G27" s="2">
        <v>69</v>
      </c>
      <c r="H27" s="2">
        <v>10</v>
      </c>
      <c r="I27" s="2">
        <v>22</v>
      </c>
      <c r="J27" s="2">
        <v>9</v>
      </c>
      <c r="K27" s="2">
        <v>9</v>
      </c>
      <c r="L27" s="2">
        <v>14</v>
      </c>
      <c r="M27" s="2">
        <v>48</v>
      </c>
      <c r="N27" s="2">
        <v>62</v>
      </c>
      <c r="O27" s="2">
        <v>15</v>
      </c>
      <c r="P27" s="2">
        <v>2</v>
      </c>
      <c r="Q27" s="2">
        <v>4</v>
      </c>
      <c r="R27" s="2">
        <v>18</v>
      </c>
      <c r="S27" s="2">
        <v>28</v>
      </c>
      <c r="T27" s="2">
        <f t="shared" si="0"/>
        <v>31</v>
      </c>
      <c r="U27" s="2">
        <f t="shared" si="1"/>
        <v>47</v>
      </c>
    </row>
    <row r="28" spans="1:21" x14ac:dyDescent="0.25">
      <c r="A28" s="2">
        <v>26</v>
      </c>
      <c r="B28" s="5" t="s">
        <v>90</v>
      </c>
      <c r="C28" s="2">
        <v>14</v>
      </c>
      <c r="D28" s="2">
        <v>133</v>
      </c>
      <c r="E28" s="2">
        <v>107</v>
      </c>
      <c r="F28" s="2">
        <v>45</v>
      </c>
      <c r="G28" s="2">
        <v>79</v>
      </c>
      <c r="H28" s="2">
        <v>1</v>
      </c>
      <c r="I28" s="2">
        <v>1</v>
      </c>
      <c r="J28" s="2">
        <v>8</v>
      </c>
      <c r="K28" s="2">
        <v>17</v>
      </c>
      <c r="L28" s="2">
        <v>15</v>
      </c>
      <c r="M28" s="2">
        <v>60</v>
      </c>
      <c r="N28" s="2">
        <v>75</v>
      </c>
      <c r="O28" s="2">
        <v>15</v>
      </c>
      <c r="P28" s="2">
        <v>9</v>
      </c>
      <c r="Q28" s="2">
        <v>5</v>
      </c>
      <c r="R28" s="2">
        <v>19</v>
      </c>
      <c r="S28" s="2">
        <v>30</v>
      </c>
      <c r="T28" s="2">
        <f t="shared" si="0"/>
        <v>44</v>
      </c>
      <c r="U28" s="2">
        <f t="shared" si="1"/>
        <v>78</v>
      </c>
    </row>
    <row r="29" spans="1:21" x14ac:dyDescent="0.25">
      <c r="A29" s="2">
        <v>27</v>
      </c>
      <c r="B29" s="5" t="s">
        <v>91</v>
      </c>
      <c r="C29" s="2">
        <v>11</v>
      </c>
      <c r="D29" s="2">
        <v>102</v>
      </c>
      <c r="E29" s="2">
        <v>104</v>
      </c>
      <c r="F29" s="2">
        <v>40</v>
      </c>
      <c r="G29" s="2">
        <v>90</v>
      </c>
      <c r="H29" s="2">
        <v>8</v>
      </c>
      <c r="I29" s="2">
        <v>24</v>
      </c>
      <c r="J29" s="2">
        <v>9</v>
      </c>
      <c r="K29" s="2">
        <v>15</v>
      </c>
      <c r="L29" s="2">
        <v>9</v>
      </c>
      <c r="M29" s="2">
        <v>39</v>
      </c>
      <c r="N29" s="2">
        <v>48</v>
      </c>
      <c r="O29" s="2">
        <v>20</v>
      </c>
      <c r="P29" s="2">
        <v>18</v>
      </c>
      <c r="Q29" s="2">
        <v>3</v>
      </c>
      <c r="R29" s="2">
        <v>21</v>
      </c>
      <c r="S29" s="2">
        <v>31</v>
      </c>
      <c r="T29" s="2">
        <f t="shared" si="0"/>
        <v>32</v>
      </c>
      <c r="U29" s="2">
        <f t="shared" si="1"/>
        <v>66</v>
      </c>
    </row>
    <row r="30" spans="1:21" x14ac:dyDescent="0.25">
      <c r="A30" s="2">
        <v>28</v>
      </c>
      <c r="B30" s="5" t="s">
        <v>92</v>
      </c>
      <c r="C30" s="2">
        <v>14</v>
      </c>
      <c r="D30" s="2">
        <v>161</v>
      </c>
      <c r="E30" s="2">
        <v>100</v>
      </c>
      <c r="F30" s="2">
        <v>43</v>
      </c>
      <c r="G30" s="2">
        <v>88</v>
      </c>
      <c r="H30" s="2">
        <v>10</v>
      </c>
      <c r="I30" s="2">
        <v>28</v>
      </c>
      <c r="J30" s="2">
        <v>3</v>
      </c>
      <c r="K30" s="2">
        <v>8</v>
      </c>
      <c r="L30" s="2">
        <v>12</v>
      </c>
      <c r="M30" s="2">
        <v>28</v>
      </c>
      <c r="N30" s="2">
        <v>40</v>
      </c>
      <c r="O30" s="2">
        <v>24</v>
      </c>
      <c r="P30" s="2">
        <v>10</v>
      </c>
      <c r="Q30" s="2">
        <v>5</v>
      </c>
      <c r="R30" s="2">
        <v>10</v>
      </c>
      <c r="S30" s="2">
        <v>29</v>
      </c>
      <c r="T30" s="2">
        <f t="shared" si="0"/>
        <v>33</v>
      </c>
      <c r="U30" s="2">
        <f t="shared" si="1"/>
        <v>60</v>
      </c>
    </row>
    <row r="31" spans="1:21" x14ac:dyDescent="0.25">
      <c r="A31" s="2">
        <v>29</v>
      </c>
      <c r="B31" s="5" t="s">
        <v>93</v>
      </c>
      <c r="C31" s="2">
        <v>12</v>
      </c>
      <c r="D31" s="2">
        <v>123</v>
      </c>
      <c r="E31" s="2">
        <v>94</v>
      </c>
      <c r="F31" s="2">
        <v>37</v>
      </c>
      <c r="G31" s="2">
        <v>92</v>
      </c>
      <c r="H31" s="2">
        <v>14</v>
      </c>
      <c r="I31" s="2">
        <v>41</v>
      </c>
      <c r="J31" s="2">
        <v>4</v>
      </c>
      <c r="K31" s="2">
        <v>4</v>
      </c>
      <c r="L31" s="2">
        <v>2</v>
      </c>
      <c r="M31" s="2">
        <v>39</v>
      </c>
      <c r="N31" s="2">
        <v>41</v>
      </c>
      <c r="O31" s="2">
        <v>26</v>
      </c>
      <c r="P31" s="2">
        <v>4</v>
      </c>
      <c r="Q31" s="2">
        <v>5</v>
      </c>
      <c r="R31" s="2">
        <v>11</v>
      </c>
      <c r="S31" s="2">
        <v>24</v>
      </c>
      <c r="T31" s="2">
        <f t="shared" si="0"/>
        <v>23</v>
      </c>
      <c r="U31" s="2">
        <f t="shared" si="1"/>
        <v>51</v>
      </c>
    </row>
    <row r="32" spans="1:21" x14ac:dyDescent="0.25">
      <c r="A32" s="2">
        <v>30</v>
      </c>
      <c r="B32" s="5" t="s">
        <v>94</v>
      </c>
      <c r="C32" s="2">
        <v>6</v>
      </c>
      <c r="D32" s="2">
        <v>79</v>
      </c>
      <c r="E32" s="2">
        <v>93</v>
      </c>
      <c r="F32" s="2">
        <v>33</v>
      </c>
      <c r="G32" s="2">
        <v>61</v>
      </c>
      <c r="H32" s="2">
        <v>15</v>
      </c>
      <c r="I32" s="2">
        <v>29</v>
      </c>
      <c r="J32" s="2">
        <v>7</v>
      </c>
      <c r="K32" s="2">
        <v>9</v>
      </c>
      <c r="L32" s="2">
        <v>6</v>
      </c>
      <c r="M32" s="2">
        <v>12</v>
      </c>
      <c r="N32" s="2">
        <v>18</v>
      </c>
      <c r="O32" s="2">
        <v>18</v>
      </c>
      <c r="P32" s="2">
        <v>3</v>
      </c>
      <c r="Q32" s="2">
        <v>0</v>
      </c>
      <c r="R32" s="2">
        <v>5</v>
      </c>
      <c r="S32" s="2">
        <v>18</v>
      </c>
      <c r="T32" s="2">
        <f t="shared" si="0"/>
        <v>18</v>
      </c>
      <c r="U32" s="2">
        <f t="shared" si="1"/>
        <v>32</v>
      </c>
    </row>
    <row r="33" spans="1:21" x14ac:dyDescent="0.25">
      <c r="A33" s="2">
        <v>31</v>
      </c>
      <c r="B33" s="5" t="s">
        <v>95</v>
      </c>
      <c r="C33" s="2">
        <v>8</v>
      </c>
      <c r="D33" s="2">
        <v>131</v>
      </c>
      <c r="E33" s="2">
        <v>90</v>
      </c>
      <c r="F33" s="2">
        <v>41</v>
      </c>
      <c r="G33" s="2">
        <v>79</v>
      </c>
      <c r="H33" s="2">
        <v>0</v>
      </c>
      <c r="I33" s="2">
        <v>0</v>
      </c>
      <c r="J33" s="2">
        <v>4</v>
      </c>
      <c r="K33" s="2">
        <v>11</v>
      </c>
      <c r="L33" s="2">
        <v>26</v>
      </c>
      <c r="M33" s="2">
        <v>64</v>
      </c>
      <c r="N33" s="2">
        <v>90</v>
      </c>
      <c r="O33" s="2">
        <v>36</v>
      </c>
      <c r="P33" s="2">
        <v>8</v>
      </c>
      <c r="Q33" s="2">
        <v>2</v>
      </c>
      <c r="R33" s="2">
        <v>21</v>
      </c>
      <c r="S33" s="2">
        <v>17</v>
      </c>
      <c r="T33" s="2">
        <f t="shared" si="0"/>
        <v>41</v>
      </c>
      <c r="U33" s="2">
        <f t="shared" si="1"/>
        <v>79</v>
      </c>
    </row>
    <row r="34" spans="1:21" x14ac:dyDescent="0.25">
      <c r="A34" s="2">
        <v>32</v>
      </c>
      <c r="B34" s="5" t="s">
        <v>96</v>
      </c>
      <c r="C34" s="2">
        <v>14</v>
      </c>
      <c r="D34" s="2">
        <v>161</v>
      </c>
      <c r="E34" s="2">
        <v>89</v>
      </c>
      <c r="F34" s="2">
        <v>35</v>
      </c>
      <c r="G34" s="2">
        <v>98</v>
      </c>
      <c r="H34" s="2">
        <v>9</v>
      </c>
      <c r="I34" s="2">
        <v>39</v>
      </c>
      <c r="J34" s="2">
        <v>5</v>
      </c>
      <c r="K34" s="2">
        <v>7</v>
      </c>
      <c r="L34" s="2">
        <v>14</v>
      </c>
      <c r="M34" s="2">
        <v>29</v>
      </c>
      <c r="N34" s="2">
        <v>43</v>
      </c>
      <c r="O34" s="2">
        <v>23</v>
      </c>
      <c r="P34" s="2">
        <v>4</v>
      </c>
      <c r="Q34" s="2">
        <v>1</v>
      </c>
      <c r="R34" s="2">
        <v>8</v>
      </c>
      <c r="S34" s="2">
        <v>41</v>
      </c>
      <c r="T34" s="2">
        <f t="shared" si="0"/>
        <v>26</v>
      </c>
      <c r="U34" s="2">
        <f t="shared" si="1"/>
        <v>59</v>
      </c>
    </row>
    <row r="35" spans="1:21" x14ac:dyDescent="0.25">
      <c r="A35" s="2">
        <v>33</v>
      </c>
      <c r="B35" s="5" t="s">
        <v>97</v>
      </c>
      <c r="C35" s="2">
        <v>8</v>
      </c>
      <c r="D35" s="2">
        <v>115</v>
      </c>
      <c r="E35" s="2">
        <v>80</v>
      </c>
      <c r="F35" s="2">
        <v>33</v>
      </c>
      <c r="G35" s="2">
        <v>93</v>
      </c>
      <c r="H35" s="2">
        <v>9</v>
      </c>
      <c r="I35" s="2">
        <v>36</v>
      </c>
      <c r="J35" s="2">
        <v>3</v>
      </c>
      <c r="K35" s="2">
        <v>4</v>
      </c>
      <c r="L35" s="2">
        <v>1</v>
      </c>
      <c r="M35" s="2">
        <v>22</v>
      </c>
      <c r="N35" s="2">
        <v>23</v>
      </c>
      <c r="O35" s="2">
        <v>27</v>
      </c>
      <c r="P35" s="2">
        <v>6</v>
      </c>
      <c r="Q35" s="2">
        <v>2</v>
      </c>
      <c r="R35" s="2">
        <v>10</v>
      </c>
      <c r="S35" s="2">
        <v>17</v>
      </c>
      <c r="T35" s="2">
        <f t="shared" si="0"/>
        <v>24</v>
      </c>
      <c r="U35" s="2">
        <f t="shared" si="1"/>
        <v>57</v>
      </c>
    </row>
    <row r="36" spans="1:21" x14ac:dyDescent="0.25">
      <c r="A36" s="2">
        <v>34</v>
      </c>
      <c r="B36" s="5" t="s">
        <v>98</v>
      </c>
      <c r="C36" s="2">
        <v>13</v>
      </c>
      <c r="D36" s="2">
        <v>119</v>
      </c>
      <c r="E36" s="2">
        <v>77</v>
      </c>
      <c r="F36" s="2">
        <v>32</v>
      </c>
      <c r="G36" s="2">
        <v>66</v>
      </c>
      <c r="H36" s="2">
        <v>1</v>
      </c>
      <c r="I36" s="2">
        <v>2</v>
      </c>
      <c r="J36" s="2">
        <v>7</v>
      </c>
      <c r="K36" s="2">
        <v>10</v>
      </c>
      <c r="L36" s="2">
        <v>18</v>
      </c>
      <c r="M36" s="2">
        <v>52</v>
      </c>
      <c r="N36" s="2">
        <v>70</v>
      </c>
      <c r="O36" s="2">
        <v>8</v>
      </c>
      <c r="P36" s="2">
        <v>3</v>
      </c>
      <c r="Q36" s="2">
        <v>5</v>
      </c>
      <c r="R36" s="2">
        <v>7</v>
      </c>
      <c r="S36" s="2">
        <v>23</v>
      </c>
      <c r="T36" s="2">
        <f t="shared" si="0"/>
        <v>31</v>
      </c>
      <c r="U36" s="2">
        <f t="shared" si="1"/>
        <v>64</v>
      </c>
    </row>
    <row r="37" spans="1:21" x14ac:dyDescent="0.25">
      <c r="A37" s="2">
        <v>35</v>
      </c>
      <c r="B37" s="5" t="s">
        <v>99</v>
      </c>
      <c r="C37" s="2">
        <v>6</v>
      </c>
      <c r="D37" s="2">
        <v>78</v>
      </c>
      <c r="E37" s="2">
        <v>52</v>
      </c>
      <c r="F37" s="2">
        <v>20</v>
      </c>
      <c r="G37" s="2">
        <v>55</v>
      </c>
      <c r="H37" s="2">
        <v>6</v>
      </c>
      <c r="I37" s="2">
        <v>30</v>
      </c>
      <c r="J37" s="2">
        <v>3</v>
      </c>
      <c r="K37" s="2">
        <v>4</v>
      </c>
      <c r="L37" s="2">
        <v>4</v>
      </c>
      <c r="M37" s="2">
        <v>27</v>
      </c>
      <c r="N37" s="2">
        <v>31</v>
      </c>
      <c r="O37" s="2">
        <v>5</v>
      </c>
      <c r="P37" s="2">
        <v>7</v>
      </c>
      <c r="Q37" s="2">
        <v>0</v>
      </c>
      <c r="R37" s="2">
        <v>7</v>
      </c>
      <c r="S37" s="2">
        <v>15</v>
      </c>
      <c r="T37" s="2">
        <f t="shared" si="0"/>
        <v>14</v>
      </c>
      <c r="U37" s="2">
        <f t="shared" si="1"/>
        <v>25</v>
      </c>
    </row>
    <row r="38" spans="1:21" x14ac:dyDescent="0.25">
      <c r="A38" s="2">
        <v>36</v>
      </c>
      <c r="B38" s="5" t="s">
        <v>100</v>
      </c>
      <c r="C38" s="2">
        <v>3</v>
      </c>
      <c r="D38" s="2">
        <v>37</v>
      </c>
      <c r="E38" s="2">
        <v>44</v>
      </c>
      <c r="F38" s="2">
        <v>15</v>
      </c>
      <c r="G38" s="2">
        <v>39</v>
      </c>
      <c r="H38" s="2">
        <v>8</v>
      </c>
      <c r="I38" s="2">
        <v>23</v>
      </c>
      <c r="J38" s="2">
        <v>3</v>
      </c>
      <c r="K38" s="2">
        <v>3</v>
      </c>
      <c r="L38" s="2">
        <v>2</v>
      </c>
      <c r="M38" s="2">
        <v>11</v>
      </c>
      <c r="N38" s="2">
        <v>13</v>
      </c>
      <c r="O38" s="2">
        <v>9</v>
      </c>
      <c r="P38" s="2">
        <v>0</v>
      </c>
      <c r="Q38" s="2">
        <v>1</v>
      </c>
      <c r="R38" s="2">
        <v>2</v>
      </c>
      <c r="S38" s="2">
        <v>8</v>
      </c>
      <c r="T38" s="2">
        <f t="shared" si="0"/>
        <v>7</v>
      </c>
      <c r="U38" s="2">
        <f t="shared" si="1"/>
        <v>16</v>
      </c>
    </row>
    <row r="39" spans="1:21" x14ac:dyDescent="0.25">
      <c r="A39" s="2">
        <v>37</v>
      </c>
      <c r="B39" s="5" t="s">
        <v>101</v>
      </c>
      <c r="C39" s="2">
        <v>2</v>
      </c>
      <c r="D39" s="2">
        <v>17</v>
      </c>
      <c r="E39" s="2">
        <v>20</v>
      </c>
      <c r="F39" s="2">
        <v>6</v>
      </c>
      <c r="G39" s="2">
        <v>11</v>
      </c>
      <c r="H39" s="2">
        <v>2</v>
      </c>
      <c r="I39" s="2">
        <v>4</v>
      </c>
      <c r="J39" s="2">
        <v>3</v>
      </c>
      <c r="K39" s="2">
        <v>3</v>
      </c>
      <c r="L39" s="2">
        <v>1</v>
      </c>
      <c r="M39" s="2">
        <v>6</v>
      </c>
      <c r="N39" s="2">
        <v>7</v>
      </c>
      <c r="O39" s="2">
        <v>1</v>
      </c>
      <c r="P39" s="2">
        <v>1</v>
      </c>
      <c r="Q39" s="2">
        <v>0</v>
      </c>
      <c r="R39" s="2">
        <v>2</v>
      </c>
      <c r="S39" s="2">
        <v>3</v>
      </c>
      <c r="T39" s="2">
        <f t="shared" si="0"/>
        <v>4</v>
      </c>
      <c r="U39" s="2">
        <f t="shared" si="1"/>
        <v>7</v>
      </c>
    </row>
    <row r="40" spans="1:21" x14ac:dyDescent="0.25">
      <c r="A40" s="2">
        <v>38</v>
      </c>
      <c r="B40" s="5" t="s">
        <v>102</v>
      </c>
      <c r="C40" s="2">
        <v>4</v>
      </c>
      <c r="D40" s="2">
        <v>30</v>
      </c>
      <c r="E40" s="2">
        <v>12</v>
      </c>
      <c r="F40" s="2">
        <v>4</v>
      </c>
      <c r="G40" s="2">
        <v>19</v>
      </c>
      <c r="H40" s="2">
        <v>2</v>
      </c>
      <c r="I40" s="2">
        <v>9</v>
      </c>
      <c r="J40" s="2">
        <v>1</v>
      </c>
      <c r="K40" s="2">
        <v>1</v>
      </c>
      <c r="L40" s="2">
        <v>2</v>
      </c>
      <c r="M40" s="2">
        <v>5</v>
      </c>
      <c r="N40" s="2">
        <v>7</v>
      </c>
      <c r="O40" s="2">
        <v>6</v>
      </c>
      <c r="P40" s="2">
        <v>2</v>
      </c>
      <c r="Q40" s="2">
        <v>0</v>
      </c>
      <c r="R40" s="2">
        <v>6</v>
      </c>
      <c r="S40" s="2">
        <v>9</v>
      </c>
      <c r="T40" s="2">
        <f t="shared" si="0"/>
        <v>2</v>
      </c>
      <c r="U40" s="2">
        <f t="shared" si="1"/>
        <v>10</v>
      </c>
    </row>
    <row r="41" spans="1:21" x14ac:dyDescent="0.25">
      <c r="A41" s="2">
        <v>39</v>
      </c>
      <c r="B41" s="5" t="s">
        <v>103</v>
      </c>
      <c r="C41" s="2">
        <v>1</v>
      </c>
      <c r="D41" s="2">
        <v>5</v>
      </c>
      <c r="E41" s="2">
        <v>2</v>
      </c>
      <c r="F41" s="2">
        <v>1</v>
      </c>
      <c r="G41" s="2">
        <v>2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1</v>
      </c>
      <c r="P41" s="2">
        <v>0</v>
      </c>
      <c r="Q41" s="2">
        <v>0</v>
      </c>
      <c r="R41" s="2">
        <v>2</v>
      </c>
      <c r="S41" s="2">
        <v>3</v>
      </c>
      <c r="T41" s="2">
        <f t="shared" si="0"/>
        <v>1</v>
      </c>
      <c r="U41" s="2">
        <f t="shared" si="1"/>
        <v>2</v>
      </c>
    </row>
    <row r="42" spans="1:21" x14ac:dyDescent="0.25">
      <c r="A42" s="2"/>
      <c r="B42" s="5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5">
      <c r="A43" s="2"/>
      <c r="B43" s="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5">
      <c r="A44" s="2"/>
      <c r="B44" s="5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5">
      <c r="A45" s="2"/>
      <c r="B45" s="5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5">
      <c r="A46" s="2"/>
      <c r="B46" s="5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5">
      <c r="A47" s="2"/>
      <c r="B47" s="5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5">
      <c r="A48" s="2"/>
      <c r="B48" s="5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5">
      <c r="A49" s="2"/>
      <c r="B49" s="5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80" spans="2:31" x14ac:dyDescent="0.25">
      <c r="B80" t="s">
        <v>36</v>
      </c>
      <c r="C80" s="6">
        <f>SUM(C3:C49)</f>
        <v>434</v>
      </c>
      <c r="D80" s="6">
        <f t="shared" ref="D80:U80" si="2">SUM(D3:D49)</f>
        <v>6099</v>
      </c>
      <c r="E80" s="6">
        <f t="shared" si="2"/>
        <v>5739</v>
      </c>
      <c r="F80" s="6">
        <f t="shared" si="2"/>
        <v>2197</v>
      </c>
      <c r="G80" s="6">
        <f t="shared" si="2"/>
        <v>4732</v>
      </c>
      <c r="H80" s="6">
        <f t="shared" si="2"/>
        <v>462</v>
      </c>
      <c r="I80" s="6">
        <f t="shared" si="2"/>
        <v>1384</v>
      </c>
      <c r="J80" s="6">
        <f t="shared" si="2"/>
        <v>496</v>
      </c>
      <c r="K80" s="6">
        <f t="shared" si="2"/>
        <v>653</v>
      </c>
      <c r="L80" s="6">
        <f t="shared" si="2"/>
        <v>475</v>
      </c>
      <c r="M80" s="6">
        <f t="shared" si="2"/>
        <v>1863</v>
      </c>
      <c r="N80" s="6">
        <f t="shared" si="2"/>
        <v>2338</v>
      </c>
      <c r="O80" s="6">
        <f t="shared" si="2"/>
        <v>1052</v>
      </c>
      <c r="P80" s="6">
        <f t="shared" si="2"/>
        <v>331</v>
      </c>
      <c r="Q80" s="6">
        <f t="shared" si="2"/>
        <v>171</v>
      </c>
      <c r="R80" s="6">
        <f t="shared" si="2"/>
        <v>653</v>
      </c>
      <c r="S80" s="6">
        <f t="shared" si="2"/>
        <v>1049</v>
      </c>
      <c r="T80" s="6">
        <f t="shared" si="2"/>
        <v>1735</v>
      </c>
      <c r="U80" s="6">
        <f t="shared" si="2"/>
        <v>3348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>
        <f>100*(E80)/(2*(G80+0.44*K80))</f>
        <v>57.169098602998019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>
        <f>(E80)/((G80+0.44*K80+R80))</f>
        <v>1.0117553311519802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>
        <f>100*(H80/I80)</f>
        <v>33.381502890173408</v>
      </c>
    </row>
    <row r="84" spans="2:31" x14ac:dyDescent="0.25">
      <c r="B84" t="s">
        <v>40</v>
      </c>
      <c r="C84" s="9">
        <f>100*(T80/U80)</f>
        <v>51.821983273596175</v>
      </c>
    </row>
    <row r="85" spans="2:31" x14ac:dyDescent="0.25">
      <c r="B85" t="s">
        <v>41</v>
      </c>
      <c r="C85" s="9">
        <f>100*(F80/G80)</f>
        <v>46.428571428571431</v>
      </c>
    </row>
    <row r="86" spans="2:31" x14ac:dyDescent="0.25">
      <c r="B86" t="s">
        <v>42</v>
      </c>
      <c r="C86" s="9">
        <f>100*(F80+0.5*H80)/(G80)</f>
        <v>51.310228233305153</v>
      </c>
    </row>
    <row r="87" spans="2:31" x14ac:dyDescent="0.25">
      <c r="B87" t="s">
        <v>44</v>
      </c>
      <c r="C87" s="9">
        <f>100*(J80/K80)</f>
        <v>75.957120980091887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I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5" width="7.5703125" customWidth="1"/>
    <col min="36" max="38" width="8.5703125" customWidth="1"/>
    <col min="39" max="60" width="6.5703125" customWidth="1"/>
    <col min="61" max="66" width="7.5703125" customWidth="1"/>
  </cols>
  <sheetData>
    <row r="1" spans="1:67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M1" s="16" t="s">
        <v>30</v>
      </c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104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104</v>
      </c>
    </row>
    <row r="3" spans="1:67" x14ac:dyDescent="0.25">
      <c r="A3" s="2">
        <v>1</v>
      </c>
      <c r="B3" s="5" t="s">
        <v>65</v>
      </c>
      <c r="C3" s="2">
        <v>14</v>
      </c>
      <c r="D3" s="9">
        <v>21.1</v>
      </c>
      <c r="E3" s="9">
        <v>25.7</v>
      </c>
      <c r="F3" s="9">
        <v>10.4</v>
      </c>
      <c r="G3" s="9">
        <v>17.100000000000001</v>
      </c>
      <c r="H3" s="9">
        <v>61.1</v>
      </c>
      <c r="I3" s="9">
        <v>1.2</v>
      </c>
      <c r="J3" s="9">
        <v>3.9</v>
      </c>
      <c r="K3" s="9">
        <v>31.5</v>
      </c>
      <c r="L3" s="9">
        <v>2.2999999999999998</v>
      </c>
      <c r="M3" s="9">
        <v>2.9</v>
      </c>
      <c r="N3" s="9">
        <v>80</v>
      </c>
      <c r="O3" s="9">
        <v>1.6</v>
      </c>
      <c r="P3" s="9">
        <v>9.1</v>
      </c>
      <c r="Q3" s="9">
        <v>10.7</v>
      </c>
      <c r="R3" s="9">
        <v>2.8</v>
      </c>
      <c r="S3" s="9">
        <v>2</v>
      </c>
      <c r="T3" s="9">
        <v>1.4</v>
      </c>
      <c r="U3" s="9">
        <v>1.6</v>
      </c>
      <c r="V3" s="9">
        <v>3.4</v>
      </c>
      <c r="W3" s="9">
        <f>F3-I3</f>
        <v>9.2000000000000011</v>
      </c>
      <c r="X3" s="9">
        <f>G3-J3</f>
        <v>13.200000000000001</v>
      </c>
      <c r="Y3" s="9">
        <f>IF(X3=0,"0",(W3/X3)*100)</f>
        <v>69.696969696969703</v>
      </c>
      <c r="Z3" s="6">
        <f>IF(U3=0,"0",R3/U3)</f>
        <v>1.7499999999999998</v>
      </c>
      <c r="AA3" s="9">
        <f>100*(E3)/(2*(G3+0.44*M3))</f>
        <v>69.928167174575535</v>
      </c>
      <c r="AB3" s="6">
        <f>2*AA3/100</f>
        <v>1.3985633434915108</v>
      </c>
      <c r="AC3" s="6">
        <f>(E3)/(G3+0.44*M3+U3)</f>
        <v>1.2865438526231476</v>
      </c>
      <c r="AD3" s="9">
        <f>100*(F3+0.5*I3)/(G3)</f>
        <v>64.327485380116954</v>
      </c>
      <c r="AE3" s="4">
        <f>100*(AA3/TOTAL_BASIC!$C$81)</f>
        <v>122.31812094883794</v>
      </c>
      <c r="AF3" s="4">
        <f>100*AC3/TOTAL_BASIC!$C$82</f>
        <v>127.15958226365801</v>
      </c>
      <c r="AG3" s="4">
        <f>100*N3/TOTAL_BASIC!$C$87</f>
        <v>105.32258064516128</v>
      </c>
      <c r="AH3" s="4">
        <f>100*AD3/TOTAL_BASIC!$C$86</f>
        <v>125.36971203406648</v>
      </c>
      <c r="AI3" s="3">
        <f>T3/V3</f>
        <v>0.41176470588235292</v>
      </c>
      <c r="AJ3" s="9">
        <f>100*U3/(G3+0.44*M3+U3)</f>
        <v>8.0096115338406069</v>
      </c>
      <c r="AM3" s="4">
        <f t="shared" ref="AM3:AM17" si="0">(PERCENTRANK(D$3:D$78,D3))*100</f>
        <v>100</v>
      </c>
      <c r="AN3" s="4">
        <f t="shared" ref="AN3:AN17" si="1">(PERCENTRANK(E$3:E$78,E3))*100</f>
        <v>100</v>
      </c>
      <c r="AO3" s="4">
        <f t="shared" ref="AO3:AO17" si="2">(PERCENTRANK(F$3:F$78,F3))*100</f>
        <v>100</v>
      </c>
      <c r="AP3" s="4">
        <f t="shared" ref="AP3:AP17" si="3">(PERCENTRANK(G$3:G$78,G3))*100</f>
        <v>92.100000000000009</v>
      </c>
      <c r="AQ3" s="4">
        <f t="shared" ref="AQ3:AQ17" si="4">(PERCENTRANK(H$3:H$78,H3))*100</f>
        <v>97.3</v>
      </c>
      <c r="AR3" s="4">
        <f t="shared" ref="AR3:AR17" si="5">(PERCENTRANK(I$3:I$78,I3))*100</f>
        <v>71</v>
      </c>
      <c r="AS3" s="4">
        <f t="shared" ref="AS3:AS17" si="6">(PERCENTRANK(J$3:J$78,J3))*100</f>
        <v>68.400000000000006</v>
      </c>
      <c r="AT3" s="4">
        <f t="shared" ref="AT3:AT17" si="7">(PERCENTRANK(K$3:K$78,K3))*100</f>
        <v>42.1</v>
      </c>
      <c r="AU3" s="4">
        <f t="shared" ref="AU3:AU17" si="8">(PERCENTRANK(L$3:L$78,L3))*100</f>
        <v>97.3</v>
      </c>
      <c r="AV3" s="4">
        <f t="shared" ref="AV3:AV17" si="9">(PERCENTRANK(M$3:M$78,M3))*100</f>
        <v>94.699999999999989</v>
      </c>
      <c r="AW3" s="4">
        <f t="shared" ref="AW3:AW17" si="10">(PERCENTRANK(N$3:N$78,N3))*100</f>
        <v>60.5</v>
      </c>
      <c r="AX3" s="4">
        <f t="shared" ref="AX3:AX17" si="11">(PERCENTRANK(O$3:O$78,O3))*100</f>
        <v>86.8</v>
      </c>
      <c r="AY3" s="4">
        <f t="shared" ref="AY3:AY17" si="12">(PERCENTRANK(P$3:P$78,P3))*100</f>
        <v>97.3</v>
      </c>
      <c r="AZ3" s="4">
        <f t="shared" ref="AZ3:AZ17" si="13">(PERCENTRANK(Q$3:Q$78,Q3))*100</f>
        <v>92.100000000000009</v>
      </c>
      <c r="BA3" s="4">
        <f t="shared" ref="BA3:BA17" si="14">(PERCENTRANK(R$3:R$78,R3))*100</f>
        <v>65.7</v>
      </c>
      <c r="BB3" s="4">
        <f t="shared" ref="BB3:BB17" si="15">(PERCENTRANK(S$3:S$78,S3))*100</f>
        <v>100</v>
      </c>
      <c r="BC3" s="4">
        <f t="shared" ref="BC3:BC17" si="16">(PERCENTRANK(T$3:T$78,T3))*100</f>
        <v>100</v>
      </c>
      <c r="BD3" s="4">
        <f t="shared" ref="BD3:BD41" si="17">100-(PERCENTRANK(U$3:U$78,U3))*100</f>
        <v>44.8</v>
      </c>
      <c r="BE3" s="4">
        <f t="shared" ref="BE3:BE41" si="18">100-(PERCENTRANK(V$3:V$78,V3))*100</f>
        <v>10.599999999999994</v>
      </c>
      <c r="BF3" s="4">
        <f t="shared" ref="BF3:BF28" si="19">(PERCENTRANK(W$3:W$78,W3))*100</f>
        <v>100</v>
      </c>
      <c r="BG3" s="4">
        <f t="shared" ref="BG3:BG28" si="20">(PERCENTRANK(X$3:X$78,X3))*100</f>
        <v>100</v>
      </c>
      <c r="BH3" s="4">
        <f t="shared" ref="BH3:BH28" si="21">(PERCENTRANK(Y$3:Y$78,Y3))*100</f>
        <v>100</v>
      </c>
      <c r="BI3" s="4">
        <f t="shared" ref="BI3:BI28" si="22">(PERCENTRANK(Z$3:Z$78,Z3))*100</f>
        <v>57.8</v>
      </c>
      <c r="BJ3" s="4">
        <f t="shared" ref="BJ3:BJ28" si="23">(PERCENTRANK(AA$3:AA$78,AA3))*100</f>
        <v>89.4</v>
      </c>
      <c r="BK3" s="4">
        <f t="shared" ref="BK3:BK28" si="24">(PERCENTRANK(AB$3:AB$78,AB3))*100</f>
        <v>89.4</v>
      </c>
      <c r="BL3" s="4">
        <f t="shared" ref="BL3:BL28" si="25">(PERCENTRANK(AC$3:AC$78,AC3))*100</f>
        <v>94.699999999999989</v>
      </c>
      <c r="BM3" s="4">
        <f t="shared" ref="BM3:BM28" si="26">(PERCENTRANK(AD$3:AD$78,AD3))*100</f>
        <v>92.100000000000009</v>
      </c>
      <c r="BN3" s="4">
        <f t="shared" ref="BN3:BN41" si="27">(PERCENTRANK(AI$3:AI$78,AI3))*100</f>
        <v>94.699999999999989</v>
      </c>
      <c r="BO3" s="4">
        <f>100-((PERCENTRANK(AJ$3:AJ$78,AJ3))*100)</f>
        <v>89.5</v>
      </c>
    </row>
    <row r="4" spans="1:67" x14ac:dyDescent="0.25">
      <c r="A4" s="2">
        <v>2</v>
      </c>
      <c r="B4" s="5" t="s">
        <v>67</v>
      </c>
      <c r="C4" s="2">
        <v>13</v>
      </c>
      <c r="D4" s="9">
        <v>19.2</v>
      </c>
      <c r="E4" s="9">
        <v>22.4</v>
      </c>
      <c r="F4" s="9">
        <v>7.8</v>
      </c>
      <c r="G4" s="9">
        <v>17.100000000000001</v>
      </c>
      <c r="H4" s="9">
        <v>45.9</v>
      </c>
      <c r="I4" s="9">
        <v>3.2</v>
      </c>
      <c r="J4" s="9">
        <v>8.3000000000000007</v>
      </c>
      <c r="K4" s="9">
        <v>38</v>
      </c>
      <c r="L4" s="9">
        <v>2.1</v>
      </c>
      <c r="M4" s="9">
        <v>2.2000000000000002</v>
      </c>
      <c r="N4" s="9">
        <v>96.4</v>
      </c>
      <c r="O4" s="9">
        <v>0.5</v>
      </c>
      <c r="P4" s="9">
        <v>5.2</v>
      </c>
      <c r="Q4" s="9">
        <v>5.8</v>
      </c>
      <c r="R4" s="9">
        <v>2.9</v>
      </c>
      <c r="S4" s="9">
        <v>1.1000000000000001</v>
      </c>
      <c r="T4" s="9">
        <v>0.2</v>
      </c>
      <c r="U4" s="9">
        <v>1.6</v>
      </c>
      <c r="V4" s="9">
        <v>1.3</v>
      </c>
      <c r="W4" s="9">
        <f t="shared" ref="W4:W41" si="28">F4-I4</f>
        <v>4.5999999999999996</v>
      </c>
      <c r="X4" s="9">
        <f t="shared" ref="X4:X41" si="29">G4-J4</f>
        <v>8.8000000000000007</v>
      </c>
      <c r="Y4" s="9">
        <f t="shared" ref="Y4:Y41" si="30">IF(X4=0,"0",(W4/X4)*100)</f>
        <v>52.272727272727259</v>
      </c>
      <c r="Z4" s="6">
        <f t="shared" ref="Z4:Z41" si="31">IF(U4=0,"0",R4/U4)</f>
        <v>1.8124999999999998</v>
      </c>
      <c r="AA4" s="9">
        <f t="shared" ref="AA4:AA41" si="32">100*(E4)/(2*(G4+0.44*M4))</f>
        <v>61.988045162718613</v>
      </c>
      <c r="AB4" s="6">
        <f t="shared" ref="AB4:AB41" si="33">2*AA4/100</f>
        <v>1.2397609032543722</v>
      </c>
      <c r="AC4" s="6">
        <f t="shared" ref="AC4:AC41" si="34">(E4)/(G4+0.44*M4+U4)</f>
        <v>1.1389058368924139</v>
      </c>
      <c r="AD4" s="9">
        <f t="shared" ref="AD4:AD41" si="35">100*(F4+0.5*I4)/(G4)</f>
        <v>54.970760233918121</v>
      </c>
      <c r="AE4" s="4">
        <f>100*(AA4/TOTAL_BASIC!$C$81)</f>
        <v>108.42928553620379</v>
      </c>
      <c r="AF4" s="4">
        <f>100*AC4/TOTAL_BASIC!$C$82</f>
        <v>112.56731759403338</v>
      </c>
      <c r="AG4" s="4">
        <f>100*N4/TOTAL_BASIC!$C$87</f>
        <v>126.91370967741935</v>
      </c>
      <c r="AH4" s="4">
        <f>100*AD4/TOTAL_BASIC!$C$86</f>
        <v>107.13411755638408</v>
      </c>
      <c r="AI4" s="3">
        <f t="shared" ref="AI4:AI41" si="36">T4/V4</f>
        <v>0.15384615384615385</v>
      </c>
      <c r="AJ4" s="9">
        <f t="shared" ref="AJ4:AJ41" si="37">100*U4/(G4+0.44*M4+U4)</f>
        <v>8.1350416920886701</v>
      </c>
      <c r="AM4" s="4">
        <f t="shared" si="0"/>
        <v>86.8</v>
      </c>
      <c r="AN4" s="4">
        <f t="shared" si="1"/>
        <v>97.3</v>
      </c>
      <c r="AO4" s="4">
        <f t="shared" si="2"/>
        <v>94.699999999999989</v>
      </c>
      <c r="AP4" s="4">
        <f t="shared" si="3"/>
        <v>92.100000000000009</v>
      </c>
      <c r="AQ4" s="4">
        <f t="shared" si="4"/>
        <v>55.2</v>
      </c>
      <c r="AR4" s="4">
        <f t="shared" si="5"/>
        <v>97.3</v>
      </c>
      <c r="AS4" s="4">
        <f t="shared" si="6"/>
        <v>97.3</v>
      </c>
      <c r="AT4" s="4">
        <f t="shared" si="7"/>
        <v>76.3</v>
      </c>
      <c r="AU4" s="4">
        <f t="shared" si="8"/>
        <v>92.100000000000009</v>
      </c>
      <c r="AV4" s="4">
        <f t="shared" si="9"/>
        <v>84.2</v>
      </c>
      <c r="AW4" s="4">
        <f t="shared" si="10"/>
        <v>84.2</v>
      </c>
      <c r="AX4" s="4">
        <f t="shared" si="11"/>
        <v>13.100000000000001</v>
      </c>
      <c r="AY4" s="4">
        <f t="shared" si="12"/>
        <v>78.900000000000006</v>
      </c>
      <c r="AZ4" s="4">
        <f t="shared" si="13"/>
        <v>76.3</v>
      </c>
      <c r="BA4" s="4">
        <f t="shared" si="14"/>
        <v>68.400000000000006</v>
      </c>
      <c r="BB4" s="4">
        <f t="shared" si="15"/>
        <v>73.599999999999994</v>
      </c>
      <c r="BC4" s="4">
        <f t="shared" si="16"/>
        <v>36.799999999999997</v>
      </c>
      <c r="BD4" s="4">
        <f t="shared" si="17"/>
        <v>44.8</v>
      </c>
      <c r="BE4" s="4">
        <f t="shared" si="18"/>
        <v>100</v>
      </c>
      <c r="BF4" s="4">
        <f t="shared" si="19"/>
        <v>73.599999999999994</v>
      </c>
      <c r="BG4" s="4">
        <f t="shared" si="20"/>
        <v>68.400000000000006</v>
      </c>
      <c r="BH4" s="4">
        <f t="shared" si="21"/>
        <v>65.7</v>
      </c>
      <c r="BI4" s="4">
        <f t="shared" si="22"/>
        <v>63.1</v>
      </c>
      <c r="BJ4" s="4">
        <f t="shared" si="23"/>
        <v>76.3</v>
      </c>
      <c r="BK4" s="4">
        <f t="shared" si="24"/>
        <v>76.3</v>
      </c>
      <c r="BL4" s="4">
        <f t="shared" si="25"/>
        <v>78.900000000000006</v>
      </c>
      <c r="BM4" s="4">
        <f t="shared" si="26"/>
        <v>76.3</v>
      </c>
      <c r="BN4" s="4">
        <f t="shared" si="27"/>
        <v>63.1</v>
      </c>
      <c r="BO4" s="4">
        <f t="shared" ref="BO4:BO41" si="38">100-((PERCENTRANK(AJ$3:AJ$78,AJ4))*100)</f>
        <v>84.3</v>
      </c>
    </row>
    <row r="5" spans="1:67" x14ac:dyDescent="0.25">
      <c r="A5" s="2">
        <v>3</v>
      </c>
      <c r="B5" s="5" t="s">
        <v>66</v>
      </c>
      <c r="C5" s="2">
        <v>14</v>
      </c>
      <c r="D5" s="9">
        <v>19.899999999999999</v>
      </c>
      <c r="E5" s="9">
        <v>21.4</v>
      </c>
      <c r="F5" s="9">
        <v>8.1999999999999993</v>
      </c>
      <c r="G5" s="9">
        <v>18.100000000000001</v>
      </c>
      <c r="H5" s="9">
        <v>45.5</v>
      </c>
      <c r="I5" s="9">
        <v>2.6</v>
      </c>
      <c r="J5" s="9">
        <v>5.6</v>
      </c>
      <c r="K5" s="9">
        <v>46.2</v>
      </c>
      <c r="L5" s="9">
        <v>1.6</v>
      </c>
      <c r="M5" s="9">
        <v>1.6</v>
      </c>
      <c r="N5" s="9">
        <v>95.7</v>
      </c>
      <c r="O5" s="9">
        <v>1</v>
      </c>
      <c r="P5" s="9">
        <v>4.0999999999999996</v>
      </c>
      <c r="Q5" s="9">
        <v>5.0999999999999996</v>
      </c>
      <c r="R5" s="9">
        <v>5.5</v>
      </c>
      <c r="S5" s="9">
        <v>1.3</v>
      </c>
      <c r="T5" s="9">
        <v>0.4</v>
      </c>
      <c r="U5" s="9">
        <v>2.8</v>
      </c>
      <c r="V5" s="9">
        <v>2.2000000000000002</v>
      </c>
      <c r="W5" s="9">
        <f t="shared" si="28"/>
        <v>5.6</v>
      </c>
      <c r="X5" s="9">
        <f t="shared" si="29"/>
        <v>12.500000000000002</v>
      </c>
      <c r="Y5" s="9">
        <f t="shared" si="30"/>
        <v>44.79999999999999</v>
      </c>
      <c r="Z5" s="6">
        <f t="shared" si="31"/>
        <v>1.9642857142857144</v>
      </c>
      <c r="AA5" s="9">
        <f t="shared" si="32"/>
        <v>56.902786641140175</v>
      </c>
      <c r="AB5" s="6">
        <f t="shared" si="33"/>
        <v>1.1380557328228036</v>
      </c>
      <c r="AC5" s="6">
        <f t="shared" si="34"/>
        <v>0.9905573042029252</v>
      </c>
      <c r="AD5" s="9">
        <f t="shared" si="35"/>
        <v>52.48618784530386</v>
      </c>
      <c r="AE5" s="4">
        <f>100*(AA5/TOTAL_BASIC!$C$81)</f>
        <v>99.534167988711502</v>
      </c>
      <c r="AF5" s="4">
        <f>100*AC5/TOTAL_BASIC!$C$82</f>
        <v>97.904826760347376</v>
      </c>
      <c r="AG5" s="4">
        <f>100*N5/TOTAL_BASIC!$C$87</f>
        <v>125.99213709677419</v>
      </c>
      <c r="AH5" s="4">
        <f>100*AD5/TOTAL_BASIC!$C$86</f>
        <v>102.29186197857408</v>
      </c>
      <c r="AI5" s="3">
        <f t="shared" si="36"/>
        <v>0.18181818181818182</v>
      </c>
      <c r="AJ5" s="9">
        <f t="shared" si="37"/>
        <v>12.960562858729864</v>
      </c>
      <c r="AM5" s="4">
        <f t="shared" si="0"/>
        <v>97.3</v>
      </c>
      <c r="AN5" s="4">
        <f t="shared" si="1"/>
        <v>94.699999999999989</v>
      </c>
      <c r="AO5" s="4">
        <f t="shared" si="2"/>
        <v>97.3</v>
      </c>
      <c r="AP5" s="4">
        <f t="shared" si="3"/>
        <v>100</v>
      </c>
      <c r="AQ5" s="4">
        <f t="shared" si="4"/>
        <v>52.6</v>
      </c>
      <c r="AR5" s="4">
        <f t="shared" si="5"/>
        <v>89.4</v>
      </c>
      <c r="AS5" s="4">
        <f t="shared" si="6"/>
        <v>86.8</v>
      </c>
      <c r="AT5" s="4">
        <f t="shared" si="7"/>
        <v>86.8</v>
      </c>
      <c r="AU5" s="4">
        <f t="shared" si="8"/>
        <v>78.900000000000006</v>
      </c>
      <c r="AV5" s="4">
        <f t="shared" si="9"/>
        <v>65.7</v>
      </c>
      <c r="AW5" s="4">
        <f t="shared" si="10"/>
        <v>81.5</v>
      </c>
      <c r="AX5" s="4">
        <f t="shared" si="11"/>
        <v>52.6</v>
      </c>
      <c r="AY5" s="4">
        <f t="shared" si="12"/>
        <v>55.2</v>
      </c>
      <c r="AZ5" s="4">
        <f t="shared" si="13"/>
        <v>55.2</v>
      </c>
      <c r="BA5" s="4">
        <f t="shared" si="14"/>
        <v>100</v>
      </c>
      <c r="BB5" s="4">
        <f t="shared" si="15"/>
        <v>89.4</v>
      </c>
      <c r="BC5" s="4">
        <f t="shared" si="16"/>
        <v>60.5</v>
      </c>
      <c r="BD5" s="4">
        <f t="shared" si="17"/>
        <v>0</v>
      </c>
      <c r="BE5" s="4">
        <f t="shared" si="18"/>
        <v>52.7</v>
      </c>
      <c r="BF5" s="4">
        <f t="shared" si="19"/>
        <v>84.2</v>
      </c>
      <c r="BG5" s="4">
        <f t="shared" si="20"/>
        <v>94.699999999999989</v>
      </c>
      <c r="BH5" s="4">
        <f t="shared" si="21"/>
        <v>18.399999999999999</v>
      </c>
      <c r="BI5" s="4">
        <f t="shared" si="22"/>
        <v>65.7</v>
      </c>
      <c r="BJ5" s="4">
        <f t="shared" si="23"/>
        <v>65.7</v>
      </c>
      <c r="BK5" s="4">
        <f t="shared" si="24"/>
        <v>65.7</v>
      </c>
      <c r="BL5" s="4">
        <f t="shared" si="25"/>
        <v>55.2</v>
      </c>
      <c r="BM5" s="4">
        <f t="shared" si="26"/>
        <v>71</v>
      </c>
      <c r="BN5" s="4">
        <f t="shared" si="27"/>
        <v>65.7</v>
      </c>
      <c r="BO5" s="4">
        <f t="shared" si="38"/>
        <v>34.299999999999997</v>
      </c>
    </row>
    <row r="6" spans="1:67" x14ac:dyDescent="0.25">
      <c r="A6" s="2">
        <v>4</v>
      </c>
      <c r="B6" s="5" t="s">
        <v>70</v>
      </c>
      <c r="C6" s="2">
        <v>13</v>
      </c>
      <c r="D6" s="9">
        <v>19.8</v>
      </c>
      <c r="E6" s="9">
        <v>20.5</v>
      </c>
      <c r="F6" s="9">
        <v>6.8</v>
      </c>
      <c r="G6" s="9">
        <v>17.399999999999999</v>
      </c>
      <c r="H6" s="9">
        <v>38.9</v>
      </c>
      <c r="I6" s="9">
        <v>3.5</v>
      </c>
      <c r="J6" s="9">
        <v>9.5</v>
      </c>
      <c r="K6" s="9">
        <v>37.1</v>
      </c>
      <c r="L6" s="9">
        <v>1.8</v>
      </c>
      <c r="M6" s="9">
        <v>2.1</v>
      </c>
      <c r="N6" s="9">
        <v>85.2</v>
      </c>
      <c r="O6" s="9">
        <v>1.1000000000000001</v>
      </c>
      <c r="P6" s="9">
        <v>4.5999999999999996</v>
      </c>
      <c r="Q6" s="9">
        <v>5.7</v>
      </c>
      <c r="R6" s="9">
        <v>2.2000000000000002</v>
      </c>
      <c r="S6" s="9">
        <v>1.2</v>
      </c>
      <c r="T6" s="9">
        <v>1.1000000000000001</v>
      </c>
      <c r="U6" s="9">
        <v>1.6</v>
      </c>
      <c r="V6" s="9">
        <v>3.2</v>
      </c>
      <c r="W6" s="9">
        <f t="shared" si="28"/>
        <v>3.3</v>
      </c>
      <c r="X6" s="9">
        <f t="shared" si="29"/>
        <v>7.8999999999999986</v>
      </c>
      <c r="Y6" s="9">
        <f t="shared" si="30"/>
        <v>41.772151898734187</v>
      </c>
      <c r="Z6" s="6">
        <f t="shared" si="31"/>
        <v>1.375</v>
      </c>
      <c r="AA6" s="9">
        <f t="shared" si="32"/>
        <v>55.937568216546609</v>
      </c>
      <c r="AB6" s="6">
        <f t="shared" si="33"/>
        <v>1.1187513643309321</v>
      </c>
      <c r="AC6" s="6">
        <f t="shared" si="34"/>
        <v>1.0289098574583417</v>
      </c>
      <c r="AD6" s="9">
        <f t="shared" si="35"/>
        <v>49.137931034482769</v>
      </c>
      <c r="AE6" s="4">
        <f>100*(AA6/TOTAL_BASIC!$C$81)</f>
        <v>97.845811082305872</v>
      </c>
      <c r="AF6" s="4">
        <f>100*AC6/TOTAL_BASIC!$C$82</f>
        <v>101.69552121725214</v>
      </c>
      <c r="AG6" s="4">
        <f>100*N6/TOTAL_BASIC!$C$87</f>
        <v>112.16854838709676</v>
      </c>
      <c r="AH6" s="4">
        <f>100*AD6/TOTAL_BASIC!$C$86</f>
        <v>95.766346645458185</v>
      </c>
      <c r="AI6" s="3">
        <f t="shared" si="36"/>
        <v>0.34375</v>
      </c>
      <c r="AJ6" s="9">
        <f t="shared" si="37"/>
        <v>8.0305159606504724</v>
      </c>
      <c r="AM6" s="4">
        <f t="shared" si="0"/>
        <v>94.699999999999989</v>
      </c>
      <c r="AN6" s="4">
        <f t="shared" si="1"/>
        <v>92.100000000000009</v>
      </c>
      <c r="AO6" s="4">
        <f t="shared" si="2"/>
        <v>78.900000000000006</v>
      </c>
      <c r="AP6" s="4">
        <f t="shared" si="3"/>
        <v>97.3</v>
      </c>
      <c r="AQ6" s="4">
        <f t="shared" si="4"/>
        <v>15.7</v>
      </c>
      <c r="AR6" s="4">
        <f t="shared" si="5"/>
        <v>100</v>
      </c>
      <c r="AS6" s="4">
        <f t="shared" si="6"/>
        <v>100</v>
      </c>
      <c r="AT6" s="4">
        <f t="shared" si="7"/>
        <v>65.7</v>
      </c>
      <c r="AU6" s="4">
        <f t="shared" si="8"/>
        <v>84.2</v>
      </c>
      <c r="AV6" s="4">
        <f t="shared" si="9"/>
        <v>78.900000000000006</v>
      </c>
      <c r="AW6" s="4">
        <f t="shared" si="10"/>
        <v>71</v>
      </c>
      <c r="AX6" s="4">
        <f t="shared" si="11"/>
        <v>65.7</v>
      </c>
      <c r="AY6" s="4">
        <f t="shared" si="12"/>
        <v>68.400000000000006</v>
      </c>
      <c r="AZ6" s="4">
        <f t="shared" si="13"/>
        <v>68.400000000000006</v>
      </c>
      <c r="BA6" s="4">
        <f t="shared" si="14"/>
        <v>50</v>
      </c>
      <c r="BB6" s="4">
        <f t="shared" si="15"/>
        <v>81.5</v>
      </c>
      <c r="BC6" s="4">
        <f t="shared" si="16"/>
        <v>92.100000000000009</v>
      </c>
      <c r="BD6" s="4">
        <f t="shared" si="17"/>
        <v>44.8</v>
      </c>
      <c r="BE6" s="4">
        <f t="shared" si="18"/>
        <v>13.200000000000003</v>
      </c>
      <c r="BF6" s="4">
        <f t="shared" si="19"/>
        <v>47.3</v>
      </c>
      <c r="BG6" s="4">
        <f t="shared" si="20"/>
        <v>57.8</v>
      </c>
      <c r="BH6" s="4">
        <f t="shared" si="21"/>
        <v>5.2</v>
      </c>
      <c r="BI6" s="4">
        <f t="shared" si="22"/>
        <v>47.3</v>
      </c>
      <c r="BJ6" s="4">
        <f t="shared" si="23"/>
        <v>63.1</v>
      </c>
      <c r="BK6" s="4">
        <f t="shared" si="24"/>
        <v>63.1</v>
      </c>
      <c r="BL6" s="4">
        <f t="shared" si="25"/>
        <v>73.599999999999994</v>
      </c>
      <c r="BM6" s="4">
        <f t="shared" si="26"/>
        <v>42.1</v>
      </c>
      <c r="BN6" s="4">
        <f t="shared" si="27"/>
        <v>86.8</v>
      </c>
      <c r="BO6" s="4">
        <f t="shared" si="38"/>
        <v>86.9</v>
      </c>
    </row>
    <row r="7" spans="1:67" x14ac:dyDescent="0.25">
      <c r="A7" s="2">
        <v>5</v>
      </c>
      <c r="B7" s="5" t="s">
        <v>72</v>
      </c>
      <c r="C7" s="2">
        <v>12</v>
      </c>
      <c r="D7" s="9">
        <v>17.100000000000001</v>
      </c>
      <c r="E7" s="9">
        <v>19.899999999999999</v>
      </c>
      <c r="F7" s="9">
        <v>7.7</v>
      </c>
      <c r="G7" s="9">
        <v>13.7</v>
      </c>
      <c r="H7" s="9">
        <v>56.1</v>
      </c>
      <c r="I7" s="9">
        <v>0.8</v>
      </c>
      <c r="J7" s="9">
        <v>2.1</v>
      </c>
      <c r="K7" s="9">
        <v>40</v>
      </c>
      <c r="L7" s="9">
        <v>2.2000000000000002</v>
      </c>
      <c r="M7" s="9">
        <v>3.3</v>
      </c>
      <c r="N7" s="9">
        <v>65</v>
      </c>
      <c r="O7" s="9">
        <v>2.2999999999999998</v>
      </c>
      <c r="P7" s="9">
        <v>7.6</v>
      </c>
      <c r="Q7" s="9">
        <v>9.9</v>
      </c>
      <c r="R7" s="9">
        <v>2.2999999999999998</v>
      </c>
      <c r="S7" s="9">
        <v>1.3</v>
      </c>
      <c r="T7" s="9">
        <v>0.3</v>
      </c>
      <c r="U7" s="9">
        <v>2</v>
      </c>
      <c r="V7" s="9">
        <v>3</v>
      </c>
      <c r="W7" s="9">
        <f t="shared" si="28"/>
        <v>6.9</v>
      </c>
      <c r="X7" s="9">
        <f t="shared" si="29"/>
        <v>11.6</v>
      </c>
      <c r="Y7" s="9">
        <f t="shared" si="30"/>
        <v>59.482758620689658</v>
      </c>
      <c r="Z7" s="6">
        <f t="shared" si="31"/>
        <v>1.1499999999999999</v>
      </c>
      <c r="AA7" s="9">
        <f t="shared" si="32"/>
        <v>65.667898627243929</v>
      </c>
      <c r="AB7" s="6">
        <f t="shared" si="33"/>
        <v>1.3133579725448785</v>
      </c>
      <c r="AC7" s="6">
        <f t="shared" si="34"/>
        <v>1.1602145522388059</v>
      </c>
      <c r="AD7" s="9">
        <f t="shared" si="35"/>
        <v>59.12408759124088</v>
      </c>
      <c r="AE7" s="4">
        <f>100*(AA7/TOTAL_BASIC!$C$81)</f>
        <v>114.86607316176965</v>
      </c>
      <c r="AF7" s="4">
        <f>100*AC7/TOTAL_BASIC!$C$82</f>
        <v>114.67343106735011</v>
      </c>
      <c r="AG7" s="4">
        <f>100*N7/TOTAL_BASIC!$C$87</f>
        <v>85.574596774193552</v>
      </c>
      <c r="AH7" s="4">
        <f>100*AD7/TOTAL_BASIC!$C$86</f>
        <v>115.22865835327507</v>
      </c>
      <c r="AI7" s="3">
        <f t="shared" si="36"/>
        <v>9.9999999999999992E-2</v>
      </c>
      <c r="AJ7" s="9">
        <f t="shared" si="37"/>
        <v>11.66044776119403</v>
      </c>
      <c r="AM7" s="4">
        <f t="shared" si="0"/>
        <v>81.5</v>
      </c>
      <c r="AN7" s="4">
        <f t="shared" si="1"/>
        <v>89.4</v>
      </c>
      <c r="AO7" s="4">
        <f t="shared" si="2"/>
        <v>92.100000000000009</v>
      </c>
      <c r="AP7" s="4">
        <f t="shared" si="3"/>
        <v>76.3</v>
      </c>
      <c r="AQ7" s="4">
        <f t="shared" si="4"/>
        <v>89.4</v>
      </c>
      <c r="AR7" s="4">
        <f t="shared" si="5"/>
        <v>47.3</v>
      </c>
      <c r="AS7" s="4">
        <f t="shared" si="6"/>
        <v>31.5</v>
      </c>
      <c r="AT7" s="4">
        <f t="shared" si="7"/>
        <v>78.900000000000006</v>
      </c>
      <c r="AU7" s="4">
        <f t="shared" si="8"/>
        <v>94.699999999999989</v>
      </c>
      <c r="AV7" s="4">
        <f t="shared" si="9"/>
        <v>97.3</v>
      </c>
      <c r="AW7" s="4">
        <f t="shared" si="10"/>
        <v>21</v>
      </c>
      <c r="AX7" s="4">
        <f t="shared" si="11"/>
        <v>94.699999999999989</v>
      </c>
      <c r="AY7" s="4">
        <f t="shared" si="12"/>
        <v>89.4</v>
      </c>
      <c r="AZ7" s="4">
        <f t="shared" si="13"/>
        <v>89.4</v>
      </c>
      <c r="BA7" s="4">
        <f t="shared" si="14"/>
        <v>55.2</v>
      </c>
      <c r="BB7" s="4">
        <f t="shared" si="15"/>
        <v>89.4</v>
      </c>
      <c r="BC7" s="4">
        <f t="shared" si="16"/>
        <v>44.7</v>
      </c>
      <c r="BD7" s="4">
        <f t="shared" si="17"/>
        <v>15.799999999999997</v>
      </c>
      <c r="BE7" s="4">
        <f t="shared" si="18"/>
        <v>23.700000000000003</v>
      </c>
      <c r="BF7" s="4">
        <f t="shared" si="19"/>
        <v>97.3</v>
      </c>
      <c r="BG7" s="4">
        <f t="shared" si="20"/>
        <v>92.100000000000009</v>
      </c>
      <c r="BH7" s="4">
        <f t="shared" si="21"/>
        <v>86.8</v>
      </c>
      <c r="BI7" s="4">
        <f t="shared" si="22"/>
        <v>39.4</v>
      </c>
      <c r="BJ7" s="4">
        <f t="shared" si="23"/>
        <v>86.8</v>
      </c>
      <c r="BK7" s="4">
        <f t="shared" si="24"/>
        <v>86.8</v>
      </c>
      <c r="BL7" s="4">
        <f t="shared" si="25"/>
        <v>84.2</v>
      </c>
      <c r="BM7" s="4">
        <f t="shared" si="26"/>
        <v>86.8</v>
      </c>
      <c r="BN7" s="4">
        <f t="shared" si="27"/>
        <v>39.4</v>
      </c>
      <c r="BO7" s="4">
        <f t="shared" si="38"/>
        <v>42.2</v>
      </c>
    </row>
    <row r="8" spans="1:67" x14ac:dyDescent="0.25">
      <c r="A8" s="2">
        <v>6</v>
      </c>
      <c r="B8" s="5" t="s">
        <v>68</v>
      </c>
      <c r="C8" s="2">
        <v>14</v>
      </c>
      <c r="D8" s="9">
        <v>19.600000000000001</v>
      </c>
      <c r="E8" s="9">
        <v>19.399999999999999</v>
      </c>
      <c r="F8" s="9">
        <v>6.7</v>
      </c>
      <c r="G8" s="9">
        <v>14.3</v>
      </c>
      <c r="H8" s="9">
        <v>47</v>
      </c>
      <c r="I8" s="9">
        <v>2.4</v>
      </c>
      <c r="J8" s="9">
        <v>6.2</v>
      </c>
      <c r="K8" s="9">
        <v>37.9</v>
      </c>
      <c r="L8" s="9">
        <v>1.9</v>
      </c>
      <c r="M8" s="9">
        <v>2.2000000000000002</v>
      </c>
      <c r="N8" s="9">
        <v>87.1</v>
      </c>
      <c r="O8" s="9">
        <v>0.7</v>
      </c>
      <c r="P8" s="9">
        <v>5</v>
      </c>
      <c r="Q8" s="9">
        <v>5.7</v>
      </c>
      <c r="R8" s="9">
        <v>2.7</v>
      </c>
      <c r="S8" s="9">
        <v>1.2</v>
      </c>
      <c r="T8" s="9">
        <v>0.1</v>
      </c>
      <c r="U8" s="9">
        <v>1.5</v>
      </c>
      <c r="V8" s="9">
        <v>3.1</v>
      </c>
      <c r="W8" s="9">
        <f t="shared" si="28"/>
        <v>4.3000000000000007</v>
      </c>
      <c r="X8" s="9">
        <f t="shared" si="29"/>
        <v>8.1000000000000014</v>
      </c>
      <c r="Y8" s="9">
        <f t="shared" si="30"/>
        <v>53.086419753086425</v>
      </c>
      <c r="Z8" s="6">
        <f t="shared" si="31"/>
        <v>1.8</v>
      </c>
      <c r="AA8" s="9">
        <f t="shared" si="32"/>
        <v>63.531569295258045</v>
      </c>
      <c r="AB8" s="6">
        <f t="shared" si="33"/>
        <v>1.270631385905161</v>
      </c>
      <c r="AC8" s="6">
        <f t="shared" si="34"/>
        <v>1.1569656488549618</v>
      </c>
      <c r="AD8" s="9">
        <f t="shared" si="35"/>
        <v>55.24475524475524</v>
      </c>
      <c r="AE8" s="4">
        <f>100*(AA8/TOTAL_BASIC!$C$81)</f>
        <v>111.12921289251598</v>
      </c>
      <c r="AF8" s="4">
        <f>100*AC8/TOTAL_BASIC!$C$82</f>
        <v>114.35231554823098</v>
      </c>
      <c r="AG8" s="4">
        <f>100*N8/TOTAL_BASIC!$C$87</f>
        <v>114.66995967741936</v>
      </c>
      <c r="AH8" s="4">
        <f>100*AD8/TOTAL_BASIC!$C$86</f>
        <v>107.6681144226449</v>
      </c>
      <c r="AI8" s="3">
        <f t="shared" si="36"/>
        <v>3.2258064516129031E-2</v>
      </c>
      <c r="AJ8" s="9">
        <f t="shared" si="37"/>
        <v>8.9456106870229011</v>
      </c>
      <c r="AM8" s="4">
        <f t="shared" si="0"/>
        <v>92.100000000000009</v>
      </c>
      <c r="AN8" s="4">
        <f t="shared" si="1"/>
        <v>86.8</v>
      </c>
      <c r="AO8" s="4">
        <f t="shared" si="2"/>
        <v>76.3</v>
      </c>
      <c r="AP8" s="4">
        <f t="shared" si="3"/>
        <v>78.900000000000006</v>
      </c>
      <c r="AQ8" s="4">
        <f t="shared" si="4"/>
        <v>60.5</v>
      </c>
      <c r="AR8" s="4">
        <f t="shared" si="5"/>
        <v>84.2</v>
      </c>
      <c r="AS8" s="4">
        <f t="shared" si="6"/>
        <v>89.4</v>
      </c>
      <c r="AT8" s="4">
        <f t="shared" si="7"/>
        <v>71</v>
      </c>
      <c r="AU8" s="4">
        <f t="shared" si="8"/>
        <v>89.4</v>
      </c>
      <c r="AV8" s="4">
        <f t="shared" si="9"/>
        <v>84.2</v>
      </c>
      <c r="AW8" s="4">
        <f t="shared" si="10"/>
        <v>73.599999999999994</v>
      </c>
      <c r="AX8" s="4">
        <f t="shared" si="11"/>
        <v>23.599999999999998</v>
      </c>
      <c r="AY8" s="4">
        <f t="shared" si="12"/>
        <v>76.3</v>
      </c>
      <c r="AZ8" s="4">
        <f t="shared" si="13"/>
        <v>68.400000000000006</v>
      </c>
      <c r="BA8" s="4">
        <f t="shared" si="14"/>
        <v>63.1</v>
      </c>
      <c r="BB8" s="4">
        <f t="shared" si="15"/>
        <v>81.5</v>
      </c>
      <c r="BC8" s="4">
        <f t="shared" si="16"/>
        <v>13.100000000000001</v>
      </c>
      <c r="BD8" s="4">
        <f t="shared" si="17"/>
        <v>52.7</v>
      </c>
      <c r="BE8" s="4">
        <f t="shared" si="18"/>
        <v>15.799999999999997</v>
      </c>
      <c r="BF8" s="4">
        <f t="shared" si="19"/>
        <v>68.400000000000006</v>
      </c>
      <c r="BG8" s="4">
        <f t="shared" si="20"/>
        <v>60.5</v>
      </c>
      <c r="BH8" s="4">
        <f t="shared" si="21"/>
        <v>71</v>
      </c>
      <c r="BI8" s="4">
        <f t="shared" si="22"/>
        <v>60.5</v>
      </c>
      <c r="BJ8" s="4">
        <f t="shared" si="23"/>
        <v>81.5</v>
      </c>
      <c r="BK8" s="4">
        <f t="shared" si="24"/>
        <v>81.5</v>
      </c>
      <c r="BL8" s="4">
        <f t="shared" si="25"/>
        <v>81.5</v>
      </c>
      <c r="BM8" s="4">
        <f t="shared" si="26"/>
        <v>78.900000000000006</v>
      </c>
      <c r="BN8" s="4">
        <f t="shared" si="27"/>
        <v>18.399999999999999</v>
      </c>
      <c r="BO8" s="4">
        <f t="shared" si="38"/>
        <v>73.7</v>
      </c>
    </row>
    <row r="9" spans="1:67" x14ac:dyDescent="0.25">
      <c r="A9" s="2">
        <v>7</v>
      </c>
      <c r="B9" s="5" t="s">
        <v>69</v>
      </c>
      <c r="C9" s="2">
        <v>14</v>
      </c>
      <c r="D9" s="9">
        <v>18.600000000000001</v>
      </c>
      <c r="E9" s="9">
        <v>19.100000000000001</v>
      </c>
      <c r="F9" s="9">
        <v>7</v>
      </c>
      <c r="G9" s="9">
        <v>16</v>
      </c>
      <c r="H9" s="9">
        <v>43.8</v>
      </c>
      <c r="I9" s="9">
        <v>0.6</v>
      </c>
      <c r="J9" s="9">
        <v>3</v>
      </c>
      <c r="K9" s="9">
        <v>19</v>
      </c>
      <c r="L9" s="9">
        <v>2.6</v>
      </c>
      <c r="M9" s="9">
        <v>3.4</v>
      </c>
      <c r="N9" s="9">
        <v>78.7</v>
      </c>
      <c r="O9" s="9">
        <v>1.1000000000000001</v>
      </c>
      <c r="P9" s="9">
        <v>10.1</v>
      </c>
      <c r="Q9" s="9">
        <v>11.1</v>
      </c>
      <c r="R9" s="9">
        <v>3.1</v>
      </c>
      <c r="S9" s="9">
        <v>1.1000000000000001</v>
      </c>
      <c r="T9" s="9">
        <v>1.1000000000000001</v>
      </c>
      <c r="U9" s="9">
        <v>1.5</v>
      </c>
      <c r="V9" s="9">
        <v>1.9</v>
      </c>
      <c r="W9" s="9">
        <f t="shared" si="28"/>
        <v>6.4</v>
      </c>
      <c r="X9" s="9">
        <f t="shared" si="29"/>
        <v>13</v>
      </c>
      <c r="Y9" s="9">
        <f t="shared" si="30"/>
        <v>49.230769230769234</v>
      </c>
      <c r="Z9" s="6">
        <f t="shared" si="31"/>
        <v>2.0666666666666669</v>
      </c>
      <c r="AA9" s="9">
        <f t="shared" si="32"/>
        <v>54.583904892546876</v>
      </c>
      <c r="AB9" s="6">
        <f t="shared" si="33"/>
        <v>1.0916780978509375</v>
      </c>
      <c r="AC9" s="6">
        <f t="shared" si="34"/>
        <v>1.0054748368077491</v>
      </c>
      <c r="AD9" s="9">
        <f t="shared" si="35"/>
        <v>45.625</v>
      </c>
      <c r="AE9" s="4">
        <f>100*(AA9/TOTAL_BASIC!$C$81)</f>
        <v>95.477987630339214</v>
      </c>
      <c r="AF9" s="4">
        <f>100*AC9/TOTAL_BASIC!$C$82</f>
        <v>99.379247714259108</v>
      </c>
      <c r="AG9" s="4">
        <f>100*N9/TOTAL_BASIC!$C$87</f>
        <v>103.61108870967742</v>
      </c>
      <c r="AH9" s="4">
        <f>100*AD9/TOTAL_BASIC!$C$86</f>
        <v>88.919892915980242</v>
      </c>
      <c r="AI9" s="3">
        <f t="shared" si="36"/>
        <v>0.57894736842105265</v>
      </c>
      <c r="AJ9" s="9">
        <f t="shared" si="37"/>
        <v>7.896399241945673</v>
      </c>
      <c r="AM9" s="4">
        <f t="shared" si="0"/>
        <v>84.2</v>
      </c>
      <c r="AN9" s="4">
        <f t="shared" si="1"/>
        <v>84.2</v>
      </c>
      <c r="AO9" s="4">
        <f t="shared" si="2"/>
        <v>86.8</v>
      </c>
      <c r="AP9" s="4">
        <f t="shared" si="3"/>
        <v>89.4</v>
      </c>
      <c r="AQ9" s="4">
        <f t="shared" si="4"/>
        <v>36.799999999999997</v>
      </c>
      <c r="AR9" s="4">
        <f t="shared" si="5"/>
        <v>28.9</v>
      </c>
      <c r="AS9" s="4">
        <f t="shared" si="6"/>
        <v>50</v>
      </c>
      <c r="AT9" s="4">
        <f t="shared" si="7"/>
        <v>10.5</v>
      </c>
      <c r="AU9" s="4">
        <f t="shared" si="8"/>
        <v>100</v>
      </c>
      <c r="AV9" s="4">
        <f t="shared" si="9"/>
        <v>100</v>
      </c>
      <c r="AW9" s="4">
        <f t="shared" si="10"/>
        <v>55.2</v>
      </c>
      <c r="AX9" s="4">
        <f t="shared" si="11"/>
        <v>65.7</v>
      </c>
      <c r="AY9" s="4">
        <f t="shared" si="12"/>
        <v>100</v>
      </c>
      <c r="AZ9" s="4">
        <f t="shared" si="13"/>
        <v>94.699999999999989</v>
      </c>
      <c r="BA9" s="4">
        <f t="shared" si="14"/>
        <v>76.3</v>
      </c>
      <c r="BB9" s="4">
        <f t="shared" si="15"/>
        <v>73.599999999999994</v>
      </c>
      <c r="BC9" s="4">
        <f t="shared" si="16"/>
        <v>92.100000000000009</v>
      </c>
      <c r="BD9" s="4">
        <f t="shared" si="17"/>
        <v>52.7</v>
      </c>
      <c r="BE9" s="4">
        <f t="shared" si="18"/>
        <v>76.400000000000006</v>
      </c>
      <c r="BF9" s="4">
        <f t="shared" si="19"/>
        <v>92.100000000000009</v>
      </c>
      <c r="BG9" s="4">
        <f t="shared" si="20"/>
        <v>97.3</v>
      </c>
      <c r="BH9" s="4">
        <f t="shared" si="21"/>
        <v>44.7</v>
      </c>
      <c r="BI9" s="4">
        <f t="shared" si="22"/>
        <v>68.400000000000006</v>
      </c>
      <c r="BJ9" s="4">
        <f t="shared" si="23"/>
        <v>52.6</v>
      </c>
      <c r="BK9" s="4">
        <f t="shared" si="24"/>
        <v>52.6</v>
      </c>
      <c r="BL9" s="4">
        <f t="shared" si="25"/>
        <v>65.7</v>
      </c>
      <c r="BM9" s="4">
        <f t="shared" si="26"/>
        <v>23.599999999999998</v>
      </c>
      <c r="BN9" s="4">
        <f t="shared" si="27"/>
        <v>97.3</v>
      </c>
      <c r="BO9" s="4">
        <f t="shared" si="38"/>
        <v>92.2</v>
      </c>
    </row>
    <row r="10" spans="1:67" x14ac:dyDescent="0.25">
      <c r="A10" s="2">
        <v>8</v>
      </c>
      <c r="B10" s="5" t="s">
        <v>77</v>
      </c>
      <c r="C10" s="2">
        <v>9</v>
      </c>
      <c r="D10" s="9">
        <v>19.2</v>
      </c>
      <c r="E10" s="9">
        <v>18.2</v>
      </c>
      <c r="F10" s="9">
        <v>6.6</v>
      </c>
      <c r="G10" s="9">
        <v>15.9</v>
      </c>
      <c r="H10" s="9">
        <v>41.3</v>
      </c>
      <c r="I10" s="9">
        <v>2.6</v>
      </c>
      <c r="J10" s="9">
        <v>7.1</v>
      </c>
      <c r="K10" s="9">
        <v>35.9</v>
      </c>
      <c r="L10" s="9">
        <v>1.4</v>
      </c>
      <c r="M10" s="9">
        <v>1.8</v>
      </c>
      <c r="N10" s="9">
        <v>81.3</v>
      </c>
      <c r="O10" s="9">
        <v>1.4</v>
      </c>
      <c r="P10" s="9">
        <v>5.6</v>
      </c>
      <c r="Q10" s="9">
        <v>7</v>
      </c>
      <c r="R10" s="9">
        <v>4.0999999999999996</v>
      </c>
      <c r="S10" s="9">
        <v>0.4</v>
      </c>
      <c r="T10" s="9">
        <v>0.2</v>
      </c>
      <c r="U10" s="9">
        <v>1.7</v>
      </c>
      <c r="V10" s="9">
        <v>1.8</v>
      </c>
      <c r="W10" s="9">
        <f t="shared" si="28"/>
        <v>3.9999999999999996</v>
      </c>
      <c r="X10" s="9">
        <f t="shared" si="29"/>
        <v>8.8000000000000007</v>
      </c>
      <c r="Y10" s="9">
        <f t="shared" si="30"/>
        <v>45.454545454545446</v>
      </c>
      <c r="Z10" s="6">
        <f t="shared" si="31"/>
        <v>2.4117647058823528</v>
      </c>
      <c r="AA10" s="9">
        <f t="shared" si="32"/>
        <v>54.517133956386296</v>
      </c>
      <c r="AB10" s="6">
        <f t="shared" si="33"/>
        <v>1.090342679127726</v>
      </c>
      <c r="AC10" s="6">
        <f t="shared" si="34"/>
        <v>0.9895606785558938</v>
      </c>
      <c r="AD10" s="9">
        <f t="shared" si="35"/>
        <v>49.685534591194966</v>
      </c>
      <c r="AE10" s="4">
        <f>100*(AA10/TOTAL_BASIC!$C$81)</f>
        <v>95.361192127537493</v>
      </c>
      <c r="AF10" s="4">
        <f>100*AC10/TOTAL_BASIC!$C$82</f>
        <v>97.806322149959342</v>
      </c>
      <c r="AG10" s="4">
        <f>100*N10/TOTAL_BASIC!$C$87</f>
        <v>107.03407258064516</v>
      </c>
      <c r="AH10" s="4">
        <f>100*AD10/TOTAL_BASIC!$C$86</f>
        <v>96.833587185146044</v>
      </c>
      <c r="AI10" s="3">
        <f t="shared" si="36"/>
        <v>0.11111111111111112</v>
      </c>
      <c r="AJ10" s="9">
        <f t="shared" si="37"/>
        <v>9.2431491953023048</v>
      </c>
      <c r="AM10" s="4">
        <f t="shared" si="0"/>
        <v>86.8</v>
      </c>
      <c r="AN10" s="4">
        <f t="shared" si="1"/>
        <v>81.5</v>
      </c>
      <c r="AO10" s="4">
        <f t="shared" si="2"/>
        <v>73.599999999999994</v>
      </c>
      <c r="AP10" s="4">
        <f t="shared" si="3"/>
        <v>86.8</v>
      </c>
      <c r="AQ10" s="4">
        <f t="shared" si="4"/>
        <v>26.3</v>
      </c>
      <c r="AR10" s="4">
        <f t="shared" si="5"/>
        <v>89.4</v>
      </c>
      <c r="AS10" s="4">
        <f t="shared" si="6"/>
        <v>92.100000000000009</v>
      </c>
      <c r="AT10" s="4">
        <f t="shared" si="7"/>
        <v>63.1</v>
      </c>
      <c r="AU10" s="4">
        <f t="shared" si="8"/>
        <v>73.599999999999994</v>
      </c>
      <c r="AV10" s="4">
        <f t="shared" si="9"/>
        <v>73.599999999999994</v>
      </c>
      <c r="AW10" s="4">
        <f t="shared" si="10"/>
        <v>65.7</v>
      </c>
      <c r="AX10" s="4">
        <f t="shared" si="11"/>
        <v>81.5</v>
      </c>
      <c r="AY10" s="4">
        <f t="shared" si="12"/>
        <v>81.5</v>
      </c>
      <c r="AZ10" s="4">
        <f t="shared" si="13"/>
        <v>84.2</v>
      </c>
      <c r="BA10" s="4">
        <f t="shared" si="14"/>
        <v>86.8</v>
      </c>
      <c r="BB10" s="4">
        <f t="shared" si="15"/>
        <v>18.399999999999999</v>
      </c>
      <c r="BC10" s="4">
        <f t="shared" si="16"/>
        <v>36.799999999999997</v>
      </c>
      <c r="BD10" s="4">
        <f t="shared" si="17"/>
        <v>36.9</v>
      </c>
      <c r="BE10" s="4">
        <f t="shared" si="18"/>
        <v>92.2</v>
      </c>
      <c r="BF10" s="4">
        <f t="shared" si="19"/>
        <v>60.5</v>
      </c>
      <c r="BG10" s="4">
        <f t="shared" si="20"/>
        <v>68.400000000000006</v>
      </c>
      <c r="BH10" s="4">
        <f t="shared" si="21"/>
        <v>23.599999999999998</v>
      </c>
      <c r="BI10" s="4">
        <f t="shared" si="22"/>
        <v>71</v>
      </c>
      <c r="BJ10" s="4">
        <f t="shared" si="23"/>
        <v>50</v>
      </c>
      <c r="BK10" s="4">
        <f t="shared" si="24"/>
        <v>50</v>
      </c>
      <c r="BL10" s="4">
        <f t="shared" si="25"/>
        <v>52.6</v>
      </c>
      <c r="BM10" s="4">
        <f t="shared" si="26"/>
        <v>50</v>
      </c>
      <c r="BN10" s="4">
        <f t="shared" si="27"/>
        <v>50</v>
      </c>
      <c r="BO10" s="4">
        <f t="shared" si="38"/>
        <v>68.5</v>
      </c>
    </row>
    <row r="11" spans="1:67" x14ac:dyDescent="0.25">
      <c r="A11" s="2">
        <v>9</v>
      </c>
      <c r="B11" s="5" t="s">
        <v>71</v>
      </c>
      <c r="C11" s="2">
        <v>14</v>
      </c>
      <c r="D11" s="9">
        <v>16.100000000000001</v>
      </c>
      <c r="E11" s="9">
        <v>17.899999999999999</v>
      </c>
      <c r="F11" s="9">
        <v>6.9</v>
      </c>
      <c r="G11" s="9">
        <v>13.1</v>
      </c>
      <c r="H11" s="9">
        <v>52.2</v>
      </c>
      <c r="I11" s="9">
        <v>1.1000000000000001</v>
      </c>
      <c r="J11" s="9">
        <v>3.6</v>
      </c>
      <c r="K11" s="9">
        <v>32</v>
      </c>
      <c r="L11" s="9">
        <v>1.6</v>
      </c>
      <c r="M11" s="9">
        <v>2.1</v>
      </c>
      <c r="N11" s="9">
        <v>79.3</v>
      </c>
      <c r="O11" s="9">
        <v>1.1000000000000001</v>
      </c>
      <c r="P11" s="9">
        <v>1.6</v>
      </c>
      <c r="Q11" s="9">
        <v>2.6</v>
      </c>
      <c r="R11" s="9">
        <v>4.7</v>
      </c>
      <c r="S11" s="9">
        <v>1.5</v>
      </c>
      <c r="T11" s="9">
        <v>0.4</v>
      </c>
      <c r="U11" s="9">
        <v>1.4</v>
      </c>
      <c r="V11" s="9">
        <v>3.4</v>
      </c>
      <c r="W11" s="9">
        <f t="shared" si="28"/>
        <v>5.8000000000000007</v>
      </c>
      <c r="X11" s="9">
        <f t="shared" si="29"/>
        <v>9.5</v>
      </c>
      <c r="Y11" s="9">
        <f t="shared" si="30"/>
        <v>61.052631578947384</v>
      </c>
      <c r="Z11" s="6">
        <f t="shared" si="31"/>
        <v>3.3571428571428577</v>
      </c>
      <c r="AA11" s="9">
        <f t="shared" si="32"/>
        <v>63.819167142042211</v>
      </c>
      <c r="AB11" s="6">
        <f t="shared" si="33"/>
        <v>1.2763833428408442</v>
      </c>
      <c r="AC11" s="6">
        <f t="shared" si="34"/>
        <v>1.1605290456431534</v>
      </c>
      <c r="AD11" s="9">
        <f t="shared" si="35"/>
        <v>56.87022900763359</v>
      </c>
      <c r="AE11" s="4">
        <f>100*(AA11/TOTAL_BASIC!$C$81)</f>
        <v>111.6322781039886</v>
      </c>
      <c r="AF11" s="4">
        <f>100*AC11/TOTAL_BASIC!$C$82</f>
        <v>114.70451500579493</v>
      </c>
      <c r="AG11" s="4">
        <f>100*N11/TOTAL_BASIC!$C$87</f>
        <v>104.40100806451612</v>
      </c>
      <c r="AH11" s="4">
        <f>100*AD11/TOTAL_BASIC!$C$86</f>
        <v>110.8360476376121</v>
      </c>
      <c r="AI11" s="3">
        <f t="shared" si="36"/>
        <v>0.11764705882352942</v>
      </c>
      <c r="AJ11" s="9">
        <f t="shared" si="37"/>
        <v>9.0767634854771782</v>
      </c>
      <c r="AM11" s="4">
        <f t="shared" si="0"/>
        <v>76.3</v>
      </c>
      <c r="AN11" s="4">
        <f t="shared" si="1"/>
        <v>78.900000000000006</v>
      </c>
      <c r="AO11" s="4">
        <f t="shared" si="2"/>
        <v>81.5</v>
      </c>
      <c r="AP11" s="4">
        <f t="shared" si="3"/>
        <v>71</v>
      </c>
      <c r="AQ11" s="4">
        <f t="shared" si="4"/>
        <v>81.5</v>
      </c>
      <c r="AR11" s="4">
        <f t="shared" si="5"/>
        <v>63.1</v>
      </c>
      <c r="AS11" s="4">
        <f t="shared" si="6"/>
        <v>63.1</v>
      </c>
      <c r="AT11" s="4">
        <f t="shared" si="7"/>
        <v>44.7</v>
      </c>
      <c r="AU11" s="4">
        <f t="shared" si="8"/>
        <v>78.900000000000006</v>
      </c>
      <c r="AV11" s="4">
        <f t="shared" si="9"/>
        <v>78.900000000000006</v>
      </c>
      <c r="AW11" s="4">
        <f t="shared" si="10"/>
        <v>57.8</v>
      </c>
      <c r="AX11" s="4">
        <f t="shared" si="11"/>
        <v>65.7</v>
      </c>
      <c r="AY11" s="4">
        <f t="shared" si="12"/>
        <v>5.2</v>
      </c>
      <c r="AZ11" s="4">
        <f t="shared" si="13"/>
        <v>7.8</v>
      </c>
      <c r="BA11" s="4">
        <f t="shared" si="14"/>
        <v>94.699999999999989</v>
      </c>
      <c r="BB11" s="4">
        <f t="shared" si="15"/>
        <v>94.699999999999989</v>
      </c>
      <c r="BC11" s="4">
        <f t="shared" si="16"/>
        <v>60.5</v>
      </c>
      <c r="BD11" s="4">
        <f t="shared" si="17"/>
        <v>63.2</v>
      </c>
      <c r="BE11" s="4">
        <f t="shared" si="18"/>
        <v>10.599999999999994</v>
      </c>
      <c r="BF11" s="4">
        <f t="shared" si="19"/>
        <v>86.8</v>
      </c>
      <c r="BG11" s="4">
        <f t="shared" si="20"/>
        <v>76.3</v>
      </c>
      <c r="BH11" s="4">
        <f t="shared" si="21"/>
        <v>89.4</v>
      </c>
      <c r="BI11" s="4">
        <f t="shared" si="22"/>
        <v>92.100000000000009</v>
      </c>
      <c r="BJ11" s="4">
        <f t="shared" si="23"/>
        <v>84.2</v>
      </c>
      <c r="BK11" s="4">
        <f t="shared" si="24"/>
        <v>84.2</v>
      </c>
      <c r="BL11" s="4">
        <f t="shared" si="25"/>
        <v>86.8</v>
      </c>
      <c r="BM11" s="4">
        <f t="shared" si="26"/>
        <v>81.5</v>
      </c>
      <c r="BN11" s="4">
        <f t="shared" si="27"/>
        <v>52.6</v>
      </c>
      <c r="BO11" s="4">
        <f t="shared" si="38"/>
        <v>71.099999999999994</v>
      </c>
    </row>
    <row r="12" spans="1:67" x14ac:dyDescent="0.25">
      <c r="A12" s="2">
        <v>10</v>
      </c>
      <c r="B12" s="5" t="s">
        <v>73</v>
      </c>
      <c r="C12" s="2">
        <v>14</v>
      </c>
      <c r="D12" s="9">
        <v>15.4</v>
      </c>
      <c r="E12" s="9">
        <v>16.7</v>
      </c>
      <c r="F12" s="9">
        <v>7.1</v>
      </c>
      <c r="G12" s="9">
        <v>11.1</v>
      </c>
      <c r="H12" s="9">
        <v>64.5</v>
      </c>
      <c r="I12" s="9">
        <v>0.4</v>
      </c>
      <c r="J12" s="9">
        <v>0.6</v>
      </c>
      <c r="K12" s="9">
        <v>55.6</v>
      </c>
      <c r="L12" s="9">
        <v>1.1000000000000001</v>
      </c>
      <c r="M12" s="9">
        <v>1.5</v>
      </c>
      <c r="N12" s="9">
        <v>76.2</v>
      </c>
      <c r="O12" s="9">
        <v>0.9</v>
      </c>
      <c r="P12" s="9">
        <v>4.9000000000000004</v>
      </c>
      <c r="Q12" s="9">
        <v>5.8</v>
      </c>
      <c r="R12" s="9">
        <v>1.4</v>
      </c>
      <c r="S12" s="9">
        <v>0.3</v>
      </c>
      <c r="T12" s="9">
        <v>1.3</v>
      </c>
      <c r="U12" s="9">
        <v>1.7</v>
      </c>
      <c r="V12" s="9">
        <v>1.8</v>
      </c>
      <c r="W12" s="9">
        <f t="shared" si="28"/>
        <v>6.6999999999999993</v>
      </c>
      <c r="X12" s="9">
        <f t="shared" si="29"/>
        <v>10.5</v>
      </c>
      <c r="Y12" s="9">
        <f t="shared" si="30"/>
        <v>63.809523809523803</v>
      </c>
      <c r="Z12" s="6">
        <f t="shared" si="31"/>
        <v>0.82352941176470584</v>
      </c>
      <c r="AA12" s="9">
        <f t="shared" si="32"/>
        <v>71.003401360544217</v>
      </c>
      <c r="AB12" s="6">
        <f t="shared" si="33"/>
        <v>1.4200680272108843</v>
      </c>
      <c r="AC12" s="6">
        <f t="shared" si="34"/>
        <v>1.2407132243684993</v>
      </c>
      <c r="AD12" s="9">
        <f t="shared" si="35"/>
        <v>65.765765765765764</v>
      </c>
      <c r="AE12" s="4">
        <f>100*(AA12/TOTAL_BASIC!$C$81)</f>
        <v>124.19891706464776</v>
      </c>
      <c r="AF12" s="4">
        <f>100*AC12/TOTAL_BASIC!$C$82</f>
        <v>122.62976889440539</v>
      </c>
      <c r="AG12" s="4">
        <f>100*N12/TOTAL_BASIC!$C$87</f>
        <v>100.31975806451612</v>
      </c>
      <c r="AH12" s="4">
        <f>100*AD12/TOTAL_BASIC!$C$86</f>
        <v>128.17281861762916</v>
      </c>
      <c r="AI12" s="3">
        <f t="shared" si="36"/>
        <v>0.72222222222222221</v>
      </c>
      <c r="AJ12" s="9">
        <f t="shared" si="37"/>
        <v>12.630014858841012</v>
      </c>
      <c r="AM12" s="4">
        <f t="shared" si="0"/>
        <v>65.7</v>
      </c>
      <c r="AN12" s="4">
        <f t="shared" si="1"/>
        <v>76.3</v>
      </c>
      <c r="AO12" s="4">
        <f t="shared" si="2"/>
        <v>89.4</v>
      </c>
      <c r="AP12" s="4">
        <f t="shared" si="3"/>
        <v>60.5</v>
      </c>
      <c r="AQ12" s="4">
        <f t="shared" si="4"/>
        <v>100</v>
      </c>
      <c r="AR12" s="4">
        <f t="shared" si="5"/>
        <v>18.399999999999999</v>
      </c>
      <c r="AS12" s="4">
        <f t="shared" si="6"/>
        <v>13.100000000000001</v>
      </c>
      <c r="AT12" s="4">
        <f t="shared" si="7"/>
        <v>97.3</v>
      </c>
      <c r="AU12" s="4">
        <f t="shared" si="8"/>
        <v>52.6</v>
      </c>
      <c r="AV12" s="4">
        <f t="shared" si="9"/>
        <v>55.2</v>
      </c>
      <c r="AW12" s="4">
        <f t="shared" si="10"/>
        <v>47.3</v>
      </c>
      <c r="AX12" s="4">
        <f t="shared" si="11"/>
        <v>44.7</v>
      </c>
      <c r="AY12" s="4">
        <f t="shared" si="12"/>
        <v>71</v>
      </c>
      <c r="AZ12" s="4">
        <f t="shared" si="13"/>
        <v>76.3</v>
      </c>
      <c r="BA12" s="4">
        <f t="shared" si="14"/>
        <v>26.3</v>
      </c>
      <c r="BB12" s="4">
        <f t="shared" si="15"/>
        <v>10.5</v>
      </c>
      <c r="BC12" s="4">
        <f t="shared" si="16"/>
        <v>97.3</v>
      </c>
      <c r="BD12" s="4">
        <f t="shared" si="17"/>
        <v>36.9</v>
      </c>
      <c r="BE12" s="4">
        <f t="shared" si="18"/>
        <v>92.2</v>
      </c>
      <c r="BF12" s="4">
        <f t="shared" si="19"/>
        <v>94.699999999999989</v>
      </c>
      <c r="BG12" s="4">
        <f t="shared" si="20"/>
        <v>86.8</v>
      </c>
      <c r="BH12" s="4">
        <f t="shared" si="21"/>
        <v>94.699999999999989</v>
      </c>
      <c r="BI12" s="4">
        <f t="shared" si="22"/>
        <v>21</v>
      </c>
      <c r="BJ12" s="4">
        <f t="shared" si="23"/>
        <v>92.100000000000009</v>
      </c>
      <c r="BK12" s="4">
        <f t="shared" si="24"/>
        <v>92.100000000000009</v>
      </c>
      <c r="BL12" s="4">
        <f t="shared" si="25"/>
        <v>92.100000000000009</v>
      </c>
      <c r="BM12" s="4">
        <f t="shared" si="26"/>
        <v>94.699999999999989</v>
      </c>
      <c r="BN12" s="4">
        <f t="shared" si="27"/>
        <v>100</v>
      </c>
      <c r="BO12" s="4">
        <f t="shared" si="38"/>
        <v>36.9</v>
      </c>
    </row>
    <row r="13" spans="1:67" x14ac:dyDescent="0.25">
      <c r="A13" s="2">
        <v>11</v>
      </c>
      <c r="B13" s="5" t="s">
        <v>86</v>
      </c>
      <c r="C13" s="2">
        <v>7</v>
      </c>
      <c r="D13" s="9">
        <v>15.9</v>
      </c>
      <c r="E13" s="9">
        <v>16.600000000000001</v>
      </c>
      <c r="F13" s="9">
        <v>6.9</v>
      </c>
      <c r="G13" s="9">
        <v>15.1</v>
      </c>
      <c r="H13" s="9">
        <v>45.3</v>
      </c>
      <c r="I13" s="9">
        <v>0.9</v>
      </c>
      <c r="J13" s="9">
        <v>3.6</v>
      </c>
      <c r="K13" s="9">
        <v>24</v>
      </c>
      <c r="L13" s="9">
        <v>1</v>
      </c>
      <c r="M13" s="9">
        <v>1.6</v>
      </c>
      <c r="N13" s="9">
        <v>63.6</v>
      </c>
      <c r="O13" s="9">
        <v>1</v>
      </c>
      <c r="P13" s="9">
        <v>5.7</v>
      </c>
      <c r="Q13" s="9">
        <v>6.7</v>
      </c>
      <c r="R13" s="9">
        <v>0.7</v>
      </c>
      <c r="S13" s="9">
        <v>0.7</v>
      </c>
      <c r="T13" s="9">
        <v>0.1</v>
      </c>
      <c r="U13" s="9">
        <v>2</v>
      </c>
      <c r="V13" s="9">
        <v>2.9</v>
      </c>
      <c r="W13" s="9">
        <f t="shared" si="28"/>
        <v>6</v>
      </c>
      <c r="X13" s="9">
        <f t="shared" si="29"/>
        <v>11.5</v>
      </c>
      <c r="Y13" s="9">
        <f t="shared" si="30"/>
        <v>52.173913043478258</v>
      </c>
      <c r="Z13" s="6">
        <f t="shared" si="31"/>
        <v>0.35</v>
      </c>
      <c r="AA13" s="9">
        <f t="shared" si="32"/>
        <v>52.518349784864597</v>
      </c>
      <c r="AB13" s="6">
        <f t="shared" si="33"/>
        <v>1.0503669956972919</v>
      </c>
      <c r="AC13" s="6">
        <f t="shared" si="34"/>
        <v>0.93237474724780944</v>
      </c>
      <c r="AD13" s="9">
        <f t="shared" si="35"/>
        <v>48.675496688741724</v>
      </c>
      <c r="AE13" s="4">
        <f>100*(AA13/TOTAL_BASIC!$C$81)</f>
        <v>91.864925402392942</v>
      </c>
      <c r="AF13" s="4">
        <f>100*AC13/TOTAL_BASIC!$C$82</f>
        <v>92.154171916861713</v>
      </c>
      <c r="AG13" s="4">
        <f>100*N13/TOTAL_BASIC!$C$87</f>
        <v>83.731451612903228</v>
      </c>
      <c r="AH13" s="4">
        <f>100*AD13/TOTAL_BASIC!$C$86</f>
        <v>94.865094864549363</v>
      </c>
      <c r="AI13" s="3">
        <f t="shared" si="36"/>
        <v>3.4482758620689655E-2</v>
      </c>
      <c r="AJ13" s="9">
        <f t="shared" si="37"/>
        <v>11.233430689732643</v>
      </c>
      <c r="AM13" s="4">
        <f t="shared" si="0"/>
        <v>73.599999999999994</v>
      </c>
      <c r="AN13" s="4">
        <f t="shared" si="1"/>
        <v>73.599999999999994</v>
      </c>
      <c r="AO13" s="4">
        <f t="shared" si="2"/>
        <v>81.5</v>
      </c>
      <c r="AP13" s="4">
        <f t="shared" si="3"/>
        <v>81.5</v>
      </c>
      <c r="AQ13" s="4">
        <f t="shared" si="4"/>
        <v>50</v>
      </c>
      <c r="AR13" s="4">
        <f t="shared" si="5"/>
        <v>52.6</v>
      </c>
      <c r="AS13" s="4">
        <f t="shared" si="6"/>
        <v>63.1</v>
      </c>
      <c r="AT13" s="4">
        <f t="shared" si="7"/>
        <v>28.9</v>
      </c>
      <c r="AU13" s="4">
        <f t="shared" si="8"/>
        <v>44.7</v>
      </c>
      <c r="AV13" s="4">
        <f t="shared" si="9"/>
        <v>65.7</v>
      </c>
      <c r="AW13" s="4">
        <f t="shared" si="10"/>
        <v>18.399999999999999</v>
      </c>
      <c r="AX13" s="4">
        <f t="shared" si="11"/>
        <v>52.6</v>
      </c>
      <c r="AY13" s="4">
        <f t="shared" si="12"/>
        <v>86.8</v>
      </c>
      <c r="AZ13" s="4">
        <f t="shared" si="13"/>
        <v>81.5</v>
      </c>
      <c r="BA13" s="4">
        <f t="shared" si="14"/>
        <v>7.8</v>
      </c>
      <c r="BB13" s="4">
        <f t="shared" si="15"/>
        <v>55.2</v>
      </c>
      <c r="BC13" s="4">
        <f t="shared" si="16"/>
        <v>13.100000000000001</v>
      </c>
      <c r="BD13" s="4">
        <f t="shared" si="17"/>
        <v>15.799999999999997</v>
      </c>
      <c r="BE13" s="4">
        <f t="shared" si="18"/>
        <v>29</v>
      </c>
      <c r="BF13" s="4">
        <f t="shared" si="19"/>
        <v>89.4</v>
      </c>
      <c r="BG13" s="4">
        <f t="shared" si="20"/>
        <v>89.4</v>
      </c>
      <c r="BH13" s="4">
        <f t="shared" si="21"/>
        <v>63.1</v>
      </c>
      <c r="BI13" s="4">
        <f t="shared" si="22"/>
        <v>0</v>
      </c>
      <c r="BJ13" s="4">
        <f t="shared" si="23"/>
        <v>28.9</v>
      </c>
      <c r="BK13" s="4">
        <f t="shared" si="24"/>
        <v>28.9</v>
      </c>
      <c r="BL13" s="4">
        <f t="shared" si="25"/>
        <v>34.200000000000003</v>
      </c>
      <c r="BM13" s="4">
        <f t="shared" si="26"/>
        <v>36.799999999999997</v>
      </c>
      <c r="BN13" s="4">
        <f t="shared" si="27"/>
        <v>21</v>
      </c>
      <c r="BO13" s="4">
        <f t="shared" si="38"/>
        <v>50</v>
      </c>
    </row>
    <row r="14" spans="1:67" x14ac:dyDescent="0.25">
      <c r="A14" s="2">
        <v>12</v>
      </c>
      <c r="B14" s="5" t="s">
        <v>78</v>
      </c>
      <c r="C14" s="2">
        <v>10</v>
      </c>
      <c r="D14" s="9">
        <v>15.8</v>
      </c>
      <c r="E14" s="9">
        <v>16.100000000000001</v>
      </c>
      <c r="F14" s="9">
        <v>6.2</v>
      </c>
      <c r="G14" s="9">
        <v>15.7</v>
      </c>
      <c r="H14" s="9">
        <v>39.5</v>
      </c>
      <c r="I14" s="9">
        <v>1.3</v>
      </c>
      <c r="J14" s="9">
        <v>5.3</v>
      </c>
      <c r="K14" s="9">
        <v>24.5</v>
      </c>
      <c r="L14" s="9">
        <v>1.3</v>
      </c>
      <c r="M14" s="9">
        <v>2.2000000000000002</v>
      </c>
      <c r="N14" s="9">
        <v>59.1</v>
      </c>
      <c r="O14" s="9">
        <v>0.8</v>
      </c>
      <c r="P14" s="9">
        <v>4.5</v>
      </c>
      <c r="Q14" s="9">
        <v>5.3</v>
      </c>
      <c r="R14" s="9">
        <v>2.6</v>
      </c>
      <c r="S14" s="9">
        <v>1.1000000000000001</v>
      </c>
      <c r="T14" s="9">
        <v>0.1</v>
      </c>
      <c r="U14" s="9">
        <v>1.8</v>
      </c>
      <c r="V14" s="9">
        <v>2.8</v>
      </c>
      <c r="W14" s="9">
        <f t="shared" si="28"/>
        <v>4.9000000000000004</v>
      </c>
      <c r="X14" s="9">
        <f t="shared" si="29"/>
        <v>10.399999999999999</v>
      </c>
      <c r="Y14" s="9">
        <f t="shared" si="30"/>
        <v>47.115384615384627</v>
      </c>
      <c r="Z14" s="6">
        <f t="shared" si="31"/>
        <v>1.4444444444444444</v>
      </c>
      <c r="AA14" s="9">
        <f t="shared" si="32"/>
        <v>48.296136309095282</v>
      </c>
      <c r="AB14" s="6">
        <f t="shared" si="33"/>
        <v>0.96592272618190567</v>
      </c>
      <c r="AC14" s="6">
        <f t="shared" si="34"/>
        <v>0.87177821095949759</v>
      </c>
      <c r="AD14" s="9">
        <f t="shared" si="35"/>
        <v>43.630573248407643</v>
      </c>
      <c r="AE14" s="4">
        <f>100*(AA14/TOTAL_BASIC!$C$81)</f>
        <v>84.479443421839377</v>
      </c>
      <c r="AF14" s="4">
        <f>100*AC14/TOTAL_BASIC!$C$82</f>
        <v>86.164923882031303</v>
      </c>
      <c r="AG14" s="4">
        <f>100*N14/TOTAL_BASIC!$C$87</f>
        <v>77.807056451612894</v>
      </c>
      <c r="AH14" s="4">
        <f>100*AD14/TOTAL_BASIC!$C$86</f>
        <v>85.032896462712102</v>
      </c>
      <c r="AI14" s="3">
        <f t="shared" si="36"/>
        <v>3.5714285714285719E-2</v>
      </c>
      <c r="AJ14" s="9">
        <f t="shared" si="37"/>
        <v>9.7465886939571149</v>
      </c>
      <c r="AM14" s="4">
        <f t="shared" si="0"/>
        <v>71</v>
      </c>
      <c r="AN14" s="4">
        <f t="shared" si="1"/>
        <v>71</v>
      </c>
      <c r="AO14" s="4">
        <f t="shared" si="2"/>
        <v>71</v>
      </c>
      <c r="AP14" s="4">
        <f t="shared" si="3"/>
        <v>84.2</v>
      </c>
      <c r="AQ14" s="4">
        <f t="shared" si="4"/>
        <v>18.399999999999999</v>
      </c>
      <c r="AR14" s="4">
        <f t="shared" si="5"/>
        <v>76.3</v>
      </c>
      <c r="AS14" s="4">
        <f t="shared" si="6"/>
        <v>84.2</v>
      </c>
      <c r="AT14" s="4">
        <f t="shared" si="7"/>
        <v>34.200000000000003</v>
      </c>
      <c r="AU14" s="4">
        <f t="shared" si="8"/>
        <v>68.400000000000006</v>
      </c>
      <c r="AV14" s="4">
        <f t="shared" si="9"/>
        <v>84.2</v>
      </c>
      <c r="AW14" s="4">
        <f t="shared" si="10"/>
        <v>10.5</v>
      </c>
      <c r="AX14" s="4">
        <f t="shared" si="11"/>
        <v>34.200000000000003</v>
      </c>
      <c r="AY14" s="4">
        <f t="shared" si="12"/>
        <v>63.1</v>
      </c>
      <c r="AZ14" s="4">
        <f t="shared" si="13"/>
        <v>60.5</v>
      </c>
      <c r="BA14" s="4">
        <f t="shared" si="14"/>
        <v>60.5</v>
      </c>
      <c r="BB14" s="4">
        <f t="shared" si="15"/>
        <v>73.599999999999994</v>
      </c>
      <c r="BC14" s="4">
        <f t="shared" si="16"/>
        <v>13.100000000000001</v>
      </c>
      <c r="BD14" s="4">
        <f t="shared" si="17"/>
        <v>29</v>
      </c>
      <c r="BE14" s="4">
        <f t="shared" si="18"/>
        <v>34.299999999999997</v>
      </c>
      <c r="BF14" s="4">
        <f t="shared" si="19"/>
        <v>78.900000000000006</v>
      </c>
      <c r="BG14" s="4">
        <f t="shared" si="20"/>
        <v>84.2</v>
      </c>
      <c r="BH14" s="4">
        <f t="shared" si="21"/>
        <v>31.5</v>
      </c>
      <c r="BI14" s="4">
        <f t="shared" si="22"/>
        <v>50</v>
      </c>
      <c r="BJ14" s="4">
        <f t="shared" si="23"/>
        <v>10.5</v>
      </c>
      <c r="BK14" s="4">
        <f t="shared" si="24"/>
        <v>10.5</v>
      </c>
      <c r="BL14" s="4">
        <f t="shared" si="25"/>
        <v>21</v>
      </c>
      <c r="BM14" s="4">
        <f t="shared" si="26"/>
        <v>13.100000000000001</v>
      </c>
      <c r="BN14" s="4">
        <f t="shared" si="27"/>
        <v>26.3</v>
      </c>
      <c r="BO14" s="4">
        <f t="shared" si="38"/>
        <v>63.2</v>
      </c>
    </row>
    <row r="15" spans="1:67" x14ac:dyDescent="0.25">
      <c r="A15" s="2">
        <v>13</v>
      </c>
      <c r="B15" s="5" t="s">
        <v>94</v>
      </c>
      <c r="C15" s="2">
        <v>6</v>
      </c>
      <c r="D15" s="9">
        <v>13.2</v>
      </c>
      <c r="E15" s="9">
        <v>15.5</v>
      </c>
      <c r="F15" s="9">
        <v>5.5</v>
      </c>
      <c r="G15" s="9">
        <v>10.199999999999999</v>
      </c>
      <c r="H15" s="9">
        <v>54.1</v>
      </c>
      <c r="I15" s="9">
        <v>2.5</v>
      </c>
      <c r="J15" s="9">
        <v>4.8</v>
      </c>
      <c r="K15" s="9">
        <v>51.7</v>
      </c>
      <c r="L15" s="9">
        <v>1.2</v>
      </c>
      <c r="M15" s="9">
        <v>1.5</v>
      </c>
      <c r="N15" s="9">
        <v>77.8</v>
      </c>
      <c r="O15" s="9">
        <v>1</v>
      </c>
      <c r="P15" s="9">
        <v>2</v>
      </c>
      <c r="Q15" s="9">
        <v>3</v>
      </c>
      <c r="R15" s="9">
        <v>3</v>
      </c>
      <c r="S15" s="9">
        <v>0.5</v>
      </c>
      <c r="T15" s="9">
        <v>0</v>
      </c>
      <c r="U15" s="9">
        <v>0.8</v>
      </c>
      <c r="V15" s="9">
        <v>3</v>
      </c>
      <c r="W15" s="9">
        <f t="shared" si="28"/>
        <v>3</v>
      </c>
      <c r="X15" s="9">
        <f t="shared" si="29"/>
        <v>5.3999999999999995</v>
      </c>
      <c r="Y15" s="9">
        <f t="shared" si="30"/>
        <v>55.555555555555557</v>
      </c>
      <c r="Z15" s="6">
        <f t="shared" si="31"/>
        <v>3.75</v>
      </c>
      <c r="AA15" s="9">
        <f t="shared" si="32"/>
        <v>71.362799263351747</v>
      </c>
      <c r="AB15" s="6">
        <f t="shared" si="33"/>
        <v>1.427255985267035</v>
      </c>
      <c r="AC15" s="6">
        <f t="shared" si="34"/>
        <v>1.3293310463121784</v>
      </c>
      <c r="AD15" s="9">
        <f t="shared" si="35"/>
        <v>66.176470588235304</v>
      </c>
      <c r="AE15" s="4">
        <f>100*(AA15/TOTAL_BASIC!$C$81)</f>
        <v>124.82757469891155</v>
      </c>
      <c r="AF15" s="4">
        <f>100*AC15/TOTAL_BASIC!$C$82</f>
        <v>131.38858826655331</v>
      </c>
      <c r="AG15" s="4">
        <f>100*N15/TOTAL_BASIC!$C$87</f>
        <v>102.42620967741935</v>
      </c>
      <c r="AH15" s="4">
        <f>100*AD15/TOTAL_BASIC!$C$86</f>
        <v>128.9732532222115</v>
      </c>
      <c r="AI15" s="3">
        <f t="shared" si="36"/>
        <v>0</v>
      </c>
      <c r="AJ15" s="9">
        <f t="shared" si="37"/>
        <v>6.8610634648370494</v>
      </c>
      <c r="AM15" s="4">
        <f t="shared" si="0"/>
        <v>50</v>
      </c>
      <c r="AN15" s="4">
        <f t="shared" si="1"/>
        <v>68.400000000000006</v>
      </c>
      <c r="AO15" s="4">
        <f t="shared" si="2"/>
        <v>65.7</v>
      </c>
      <c r="AP15" s="4">
        <f t="shared" si="3"/>
        <v>52.6</v>
      </c>
      <c r="AQ15" s="4">
        <f t="shared" si="4"/>
        <v>84.2</v>
      </c>
      <c r="AR15" s="4">
        <f t="shared" si="5"/>
        <v>86.8</v>
      </c>
      <c r="AS15" s="4">
        <f t="shared" si="6"/>
        <v>78.900000000000006</v>
      </c>
      <c r="AT15" s="4">
        <f t="shared" si="7"/>
        <v>94.699999999999989</v>
      </c>
      <c r="AU15" s="4">
        <f t="shared" si="8"/>
        <v>60.5</v>
      </c>
      <c r="AV15" s="4">
        <f t="shared" si="9"/>
        <v>55.2</v>
      </c>
      <c r="AW15" s="4">
        <f t="shared" si="10"/>
        <v>52.6</v>
      </c>
      <c r="AX15" s="4">
        <f t="shared" si="11"/>
        <v>52.6</v>
      </c>
      <c r="AY15" s="4">
        <f t="shared" si="12"/>
        <v>13.100000000000001</v>
      </c>
      <c r="AZ15" s="4">
        <f t="shared" si="13"/>
        <v>18.399999999999999</v>
      </c>
      <c r="BA15" s="4">
        <f t="shared" si="14"/>
        <v>71</v>
      </c>
      <c r="BB15" s="4">
        <f t="shared" si="15"/>
        <v>28.9</v>
      </c>
      <c r="BC15" s="4">
        <f t="shared" si="16"/>
        <v>0</v>
      </c>
      <c r="BD15" s="4">
        <f t="shared" si="17"/>
        <v>89.5</v>
      </c>
      <c r="BE15" s="4">
        <f t="shared" si="18"/>
        <v>23.700000000000003</v>
      </c>
      <c r="BF15" s="4">
        <f t="shared" si="19"/>
        <v>36.799999999999997</v>
      </c>
      <c r="BG15" s="4">
        <f t="shared" si="20"/>
        <v>28.9</v>
      </c>
      <c r="BH15" s="4">
        <f t="shared" si="21"/>
        <v>76.3</v>
      </c>
      <c r="BI15" s="4">
        <f t="shared" si="22"/>
        <v>94.699999999999989</v>
      </c>
      <c r="BJ15" s="4">
        <f t="shared" si="23"/>
        <v>94.699999999999989</v>
      </c>
      <c r="BK15" s="4">
        <f t="shared" si="24"/>
        <v>94.699999999999989</v>
      </c>
      <c r="BL15" s="4">
        <f t="shared" si="25"/>
        <v>97.3</v>
      </c>
      <c r="BM15" s="4">
        <f t="shared" si="26"/>
        <v>97.3</v>
      </c>
      <c r="BN15" s="4">
        <f t="shared" si="27"/>
        <v>0</v>
      </c>
      <c r="BO15" s="4">
        <f t="shared" si="38"/>
        <v>97.4</v>
      </c>
    </row>
    <row r="16" spans="1:67" x14ac:dyDescent="0.25">
      <c r="A16" s="2">
        <v>14</v>
      </c>
      <c r="B16" s="5" t="s">
        <v>74</v>
      </c>
      <c r="C16" s="2">
        <v>14</v>
      </c>
      <c r="D16" s="9">
        <v>13.5</v>
      </c>
      <c r="E16" s="9">
        <v>15.3</v>
      </c>
      <c r="F16" s="9">
        <v>5.6</v>
      </c>
      <c r="G16" s="9">
        <v>13.2</v>
      </c>
      <c r="H16" s="9">
        <v>42.7</v>
      </c>
      <c r="I16" s="9">
        <v>1.8</v>
      </c>
      <c r="J16" s="9">
        <v>4.7</v>
      </c>
      <c r="K16" s="9">
        <v>37.9</v>
      </c>
      <c r="L16" s="9">
        <v>1.2</v>
      </c>
      <c r="M16" s="9">
        <v>1.9</v>
      </c>
      <c r="N16" s="9">
        <v>63</v>
      </c>
      <c r="O16" s="9">
        <v>0.9</v>
      </c>
      <c r="P16" s="9">
        <v>4.9000000000000004</v>
      </c>
      <c r="Q16" s="9">
        <v>5.7</v>
      </c>
      <c r="R16" s="9">
        <v>1.9</v>
      </c>
      <c r="S16" s="9">
        <v>0.6</v>
      </c>
      <c r="T16" s="9">
        <v>0.1</v>
      </c>
      <c r="U16" s="9">
        <v>2.2999999999999998</v>
      </c>
      <c r="V16" s="9">
        <v>3.4</v>
      </c>
      <c r="W16" s="9">
        <f t="shared" si="28"/>
        <v>3.8</v>
      </c>
      <c r="X16" s="9">
        <f t="shared" si="29"/>
        <v>8.5</v>
      </c>
      <c r="Y16" s="9">
        <f t="shared" si="30"/>
        <v>44.705882352941174</v>
      </c>
      <c r="Z16" s="6">
        <f t="shared" si="31"/>
        <v>0.82608695652173914</v>
      </c>
      <c r="AA16" s="9">
        <f t="shared" si="32"/>
        <v>54.502707324023937</v>
      </c>
      <c r="AB16" s="6">
        <f t="shared" si="33"/>
        <v>1.0900541464804787</v>
      </c>
      <c r="AC16" s="6">
        <f t="shared" si="34"/>
        <v>0.9365817825661118</v>
      </c>
      <c r="AD16" s="9">
        <f t="shared" si="35"/>
        <v>49.242424242424242</v>
      </c>
      <c r="AE16" s="4">
        <f>100*(AA16/TOTAL_BASIC!$C$81)</f>
        <v>95.335957109468481</v>
      </c>
      <c r="AF16" s="4">
        <f>100*AC16/TOTAL_BASIC!$C$82</f>
        <v>92.569987399989657</v>
      </c>
      <c r="AG16" s="4">
        <f>100*N16/TOTAL_BASIC!$C$87</f>
        <v>82.941532258064512</v>
      </c>
      <c r="AH16" s="4">
        <f>100*AD16/TOTAL_BASIC!$C$86</f>
        <v>95.969996505416603</v>
      </c>
      <c r="AI16" s="3">
        <f t="shared" si="36"/>
        <v>2.9411764705882356E-2</v>
      </c>
      <c r="AJ16" s="9">
        <f t="shared" si="37"/>
        <v>14.079333986287953</v>
      </c>
      <c r="AM16" s="4">
        <f t="shared" si="0"/>
        <v>52.6</v>
      </c>
      <c r="AN16" s="4">
        <f t="shared" si="1"/>
        <v>65.7</v>
      </c>
      <c r="AO16" s="4">
        <f t="shared" si="2"/>
        <v>68.400000000000006</v>
      </c>
      <c r="AP16" s="4">
        <f t="shared" si="3"/>
        <v>73.599999999999994</v>
      </c>
      <c r="AQ16" s="4">
        <f t="shared" si="4"/>
        <v>34.200000000000003</v>
      </c>
      <c r="AR16" s="4">
        <f t="shared" si="5"/>
        <v>81.5</v>
      </c>
      <c r="AS16" s="4">
        <f t="shared" si="6"/>
        <v>76.3</v>
      </c>
      <c r="AT16" s="4">
        <f t="shared" si="7"/>
        <v>71</v>
      </c>
      <c r="AU16" s="4">
        <f t="shared" si="8"/>
        <v>60.5</v>
      </c>
      <c r="AV16" s="4">
        <f t="shared" si="9"/>
        <v>76.3</v>
      </c>
      <c r="AW16" s="4">
        <f t="shared" si="10"/>
        <v>15.7</v>
      </c>
      <c r="AX16" s="4">
        <f t="shared" si="11"/>
        <v>44.7</v>
      </c>
      <c r="AY16" s="4">
        <f t="shared" si="12"/>
        <v>71</v>
      </c>
      <c r="AZ16" s="4">
        <f t="shared" si="13"/>
        <v>68.400000000000006</v>
      </c>
      <c r="BA16" s="4">
        <f t="shared" si="14"/>
        <v>42.1</v>
      </c>
      <c r="BB16" s="4">
        <f t="shared" si="15"/>
        <v>42.1</v>
      </c>
      <c r="BC16" s="4">
        <f t="shared" si="16"/>
        <v>13.100000000000001</v>
      </c>
      <c r="BD16" s="4">
        <f t="shared" si="17"/>
        <v>7.8999999999999915</v>
      </c>
      <c r="BE16" s="4">
        <f t="shared" si="18"/>
        <v>10.599999999999994</v>
      </c>
      <c r="BF16" s="4">
        <f t="shared" si="19"/>
        <v>57.8</v>
      </c>
      <c r="BG16" s="4">
        <f t="shared" si="20"/>
        <v>63.1</v>
      </c>
      <c r="BH16" s="4">
        <f t="shared" si="21"/>
        <v>15.7</v>
      </c>
      <c r="BI16" s="4">
        <f t="shared" si="22"/>
        <v>23.599999999999998</v>
      </c>
      <c r="BJ16" s="4">
        <f t="shared" si="23"/>
        <v>47.3</v>
      </c>
      <c r="BK16" s="4">
        <f t="shared" si="24"/>
        <v>47.3</v>
      </c>
      <c r="BL16" s="4">
        <f t="shared" si="25"/>
        <v>36.799999999999997</v>
      </c>
      <c r="BM16" s="4">
        <f t="shared" si="26"/>
        <v>44.7</v>
      </c>
      <c r="BN16" s="4">
        <f t="shared" si="27"/>
        <v>13.100000000000001</v>
      </c>
      <c r="BO16" s="4">
        <f t="shared" si="38"/>
        <v>26.400000000000006</v>
      </c>
    </row>
    <row r="17" spans="1:67" x14ac:dyDescent="0.25">
      <c r="A17" s="2">
        <v>15</v>
      </c>
      <c r="B17" s="5" t="s">
        <v>100</v>
      </c>
      <c r="C17" s="2">
        <v>3</v>
      </c>
      <c r="D17" s="9">
        <v>12.3</v>
      </c>
      <c r="E17" s="9">
        <v>14.7</v>
      </c>
      <c r="F17" s="9">
        <v>5</v>
      </c>
      <c r="G17" s="9">
        <v>13</v>
      </c>
      <c r="H17" s="9">
        <v>38.5</v>
      </c>
      <c r="I17" s="9">
        <v>2.7</v>
      </c>
      <c r="J17" s="9">
        <v>7.7</v>
      </c>
      <c r="K17" s="9">
        <v>34.799999999999997</v>
      </c>
      <c r="L17" s="9">
        <v>1</v>
      </c>
      <c r="M17" s="9">
        <v>1</v>
      </c>
      <c r="N17" s="9">
        <v>100</v>
      </c>
      <c r="O17" s="9">
        <v>0.7</v>
      </c>
      <c r="P17" s="9">
        <v>3.7</v>
      </c>
      <c r="Q17" s="9">
        <v>4.3</v>
      </c>
      <c r="R17" s="9">
        <v>3</v>
      </c>
      <c r="S17" s="9">
        <v>0</v>
      </c>
      <c r="T17" s="9">
        <v>0.3</v>
      </c>
      <c r="U17" s="9">
        <v>0.7</v>
      </c>
      <c r="V17" s="9">
        <v>2.7</v>
      </c>
      <c r="W17" s="9">
        <f t="shared" si="28"/>
        <v>2.2999999999999998</v>
      </c>
      <c r="X17" s="9">
        <f t="shared" si="29"/>
        <v>5.3</v>
      </c>
      <c r="Y17" s="9">
        <f t="shared" si="30"/>
        <v>43.396226415094333</v>
      </c>
      <c r="Z17" s="6">
        <f t="shared" si="31"/>
        <v>4.2857142857142856</v>
      </c>
      <c r="AA17" s="9">
        <f t="shared" si="32"/>
        <v>54.6875</v>
      </c>
      <c r="AB17" s="6">
        <f t="shared" si="33"/>
        <v>1.09375</v>
      </c>
      <c r="AC17" s="6">
        <f t="shared" si="34"/>
        <v>1.0396039603960396</v>
      </c>
      <c r="AD17" s="9">
        <f t="shared" si="35"/>
        <v>48.846153846153847</v>
      </c>
      <c r="AE17" s="4">
        <f>100*(AA17/TOTAL_BASIC!$C$81)</f>
        <v>95.659195852936037</v>
      </c>
      <c r="AF17" s="4">
        <f>100*AC17/TOTAL_BASIC!$C$82</f>
        <v>102.75250630133583</v>
      </c>
      <c r="AG17" s="4">
        <f>100*N17/TOTAL_BASIC!$C$87</f>
        <v>131.65322580645162</v>
      </c>
      <c r="AH17" s="4">
        <f>100*AD17/TOTAL_BASIC!$C$86</f>
        <v>95.197693574958819</v>
      </c>
      <c r="AI17" s="3">
        <f t="shared" si="36"/>
        <v>0.1111111111111111</v>
      </c>
      <c r="AJ17" s="9">
        <f t="shared" si="37"/>
        <v>4.9504950495049513</v>
      </c>
      <c r="AM17" s="4">
        <f t="shared" si="0"/>
        <v>39.4</v>
      </c>
      <c r="AN17" s="4">
        <f t="shared" si="1"/>
        <v>63.1</v>
      </c>
      <c r="AO17" s="4">
        <f t="shared" si="2"/>
        <v>57.8</v>
      </c>
      <c r="AP17" s="4">
        <f t="shared" si="3"/>
        <v>68.400000000000006</v>
      </c>
      <c r="AQ17" s="4">
        <f t="shared" si="4"/>
        <v>13.100000000000001</v>
      </c>
      <c r="AR17" s="4">
        <f t="shared" si="5"/>
        <v>94.699999999999989</v>
      </c>
      <c r="AS17" s="4">
        <f t="shared" si="6"/>
        <v>94.699999999999989</v>
      </c>
      <c r="AT17" s="4">
        <f t="shared" si="7"/>
        <v>57.8</v>
      </c>
      <c r="AU17" s="4">
        <f t="shared" si="8"/>
        <v>44.7</v>
      </c>
      <c r="AV17" s="4">
        <f t="shared" si="9"/>
        <v>28.9</v>
      </c>
      <c r="AW17" s="4">
        <f t="shared" si="10"/>
        <v>86.8</v>
      </c>
      <c r="AX17" s="4">
        <f t="shared" si="11"/>
        <v>23.599999999999998</v>
      </c>
      <c r="AY17" s="4">
        <f t="shared" si="12"/>
        <v>44.7</v>
      </c>
      <c r="AZ17" s="4">
        <f t="shared" si="13"/>
        <v>42.1</v>
      </c>
      <c r="BA17" s="4">
        <f t="shared" si="14"/>
        <v>71</v>
      </c>
      <c r="BB17" s="4">
        <f t="shared" si="15"/>
        <v>0</v>
      </c>
      <c r="BC17" s="4">
        <f t="shared" si="16"/>
        <v>44.7</v>
      </c>
      <c r="BD17" s="4">
        <f t="shared" si="17"/>
        <v>94.8</v>
      </c>
      <c r="BE17" s="4">
        <f t="shared" si="18"/>
        <v>36.9</v>
      </c>
      <c r="BF17" s="4">
        <f t="shared" si="19"/>
        <v>15.7</v>
      </c>
      <c r="BG17" s="4">
        <f t="shared" si="20"/>
        <v>26.3</v>
      </c>
      <c r="BH17" s="4">
        <f t="shared" si="21"/>
        <v>10.5</v>
      </c>
      <c r="BI17" s="4">
        <f t="shared" si="22"/>
        <v>97.3</v>
      </c>
      <c r="BJ17" s="4">
        <f t="shared" si="23"/>
        <v>55.2</v>
      </c>
      <c r="BK17" s="4">
        <f t="shared" si="24"/>
        <v>55.2</v>
      </c>
      <c r="BL17" s="4">
        <f t="shared" si="25"/>
        <v>76.3</v>
      </c>
      <c r="BM17" s="4">
        <f t="shared" si="26"/>
        <v>39.4</v>
      </c>
      <c r="BN17" s="4">
        <f t="shared" si="27"/>
        <v>47.3</v>
      </c>
      <c r="BO17" s="4">
        <f t="shared" si="38"/>
        <v>100</v>
      </c>
    </row>
    <row r="18" spans="1:67" x14ac:dyDescent="0.25">
      <c r="A18" s="2">
        <v>16</v>
      </c>
      <c r="B18" s="5" t="s">
        <v>75</v>
      </c>
      <c r="C18" s="2">
        <v>14</v>
      </c>
      <c r="D18" s="9">
        <v>14.2</v>
      </c>
      <c r="E18" s="9">
        <v>13.7</v>
      </c>
      <c r="F18" s="9">
        <v>5.3</v>
      </c>
      <c r="G18" s="9">
        <v>12.4</v>
      </c>
      <c r="H18" s="9">
        <v>42.5</v>
      </c>
      <c r="I18" s="9">
        <v>1.1000000000000001</v>
      </c>
      <c r="J18" s="9">
        <v>3.4</v>
      </c>
      <c r="K18" s="9">
        <v>34</v>
      </c>
      <c r="L18" s="9">
        <v>1.1000000000000001</v>
      </c>
      <c r="M18" s="9">
        <v>1.1000000000000001</v>
      </c>
      <c r="N18" s="9">
        <v>93.8</v>
      </c>
      <c r="O18" s="9">
        <v>1</v>
      </c>
      <c r="P18" s="9">
        <v>3.1</v>
      </c>
      <c r="Q18" s="9">
        <v>4.0999999999999996</v>
      </c>
      <c r="R18" s="9">
        <v>1</v>
      </c>
      <c r="S18" s="9">
        <v>0.5</v>
      </c>
      <c r="T18" s="9">
        <v>0.4</v>
      </c>
      <c r="U18" s="9">
        <v>1.7</v>
      </c>
      <c r="V18" s="9">
        <v>2.2000000000000002</v>
      </c>
      <c r="W18" s="9">
        <f t="shared" si="28"/>
        <v>4.1999999999999993</v>
      </c>
      <c r="X18" s="9">
        <f t="shared" si="29"/>
        <v>9</v>
      </c>
      <c r="Y18" s="9">
        <f t="shared" si="30"/>
        <v>46.666666666666657</v>
      </c>
      <c r="Z18" s="6">
        <f t="shared" si="31"/>
        <v>0.58823529411764708</v>
      </c>
      <c r="AA18" s="9">
        <f t="shared" si="32"/>
        <v>53.166718410431542</v>
      </c>
      <c r="AB18" s="6">
        <f t="shared" si="33"/>
        <v>1.0633343682086309</v>
      </c>
      <c r="AC18" s="6">
        <f t="shared" si="34"/>
        <v>0.93938562808557324</v>
      </c>
      <c r="AD18" s="9">
        <f t="shared" si="35"/>
        <v>47.177419354838712</v>
      </c>
      <c r="AE18" s="4">
        <f>100*(AA18/TOTAL_BASIC!$C$81)</f>
        <v>92.999049678287932</v>
      </c>
      <c r="AF18" s="4">
        <f>100*AC18/TOTAL_BASIC!$C$82</f>
        <v>92.847114234228229</v>
      </c>
      <c r="AG18" s="4">
        <f>100*N18/TOTAL_BASIC!$C$87</f>
        <v>123.49072580645161</v>
      </c>
      <c r="AH18" s="4">
        <f>100*AD18/TOTAL_BASIC!$C$86</f>
        <v>91.945448264866883</v>
      </c>
      <c r="AI18" s="3">
        <f t="shared" si="36"/>
        <v>0.18181818181818182</v>
      </c>
      <c r="AJ18" s="9">
        <f t="shared" si="37"/>
        <v>11.656609983543611</v>
      </c>
      <c r="AM18" s="4">
        <f t="shared" ref="AM18:BA18" si="39">(PERCENTRANK(D$3:D$78,D18))*100</f>
        <v>57.8</v>
      </c>
      <c r="AN18" s="4">
        <f t="shared" si="39"/>
        <v>60.5</v>
      </c>
      <c r="AO18" s="4">
        <f t="shared" si="39"/>
        <v>63.1</v>
      </c>
      <c r="AP18" s="4">
        <f t="shared" si="39"/>
        <v>65.7</v>
      </c>
      <c r="AQ18" s="4">
        <f t="shared" si="39"/>
        <v>31.5</v>
      </c>
      <c r="AR18" s="4">
        <f t="shared" si="39"/>
        <v>63.1</v>
      </c>
      <c r="AS18" s="4">
        <f t="shared" si="39"/>
        <v>57.8</v>
      </c>
      <c r="AT18" s="4">
        <f t="shared" si="39"/>
        <v>52.6</v>
      </c>
      <c r="AU18" s="4">
        <f t="shared" si="39"/>
        <v>52.6</v>
      </c>
      <c r="AV18" s="4">
        <f t="shared" si="39"/>
        <v>31.5</v>
      </c>
      <c r="AW18" s="4">
        <f t="shared" si="39"/>
        <v>78.900000000000006</v>
      </c>
      <c r="AX18" s="4">
        <f t="shared" si="39"/>
        <v>52.6</v>
      </c>
      <c r="AY18" s="4">
        <f t="shared" si="39"/>
        <v>36.799999999999997</v>
      </c>
      <c r="AZ18" s="4">
        <f t="shared" si="39"/>
        <v>36.799999999999997</v>
      </c>
      <c r="BA18" s="4">
        <f t="shared" si="39"/>
        <v>13.100000000000001</v>
      </c>
      <c r="BB18" s="4">
        <f t="shared" ref="BB18:BB41" si="40">(PERCENTRANK(S$3:S$78,S18))*100</f>
        <v>28.9</v>
      </c>
      <c r="BC18" s="4">
        <f t="shared" ref="BC18:BC41" si="41">(PERCENTRANK(T$3:T$78,T18))*100</f>
        <v>60.5</v>
      </c>
      <c r="BD18" s="4">
        <f t="shared" si="17"/>
        <v>36.9</v>
      </c>
      <c r="BE18" s="4">
        <f t="shared" si="18"/>
        <v>52.7</v>
      </c>
      <c r="BF18" s="4">
        <f t="shared" si="19"/>
        <v>65.7</v>
      </c>
      <c r="BG18" s="4">
        <f t="shared" si="20"/>
        <v>73.599999999999994</v>
      </c>
      <c r="BH18" s="4">
        <f t="shared" si="21"/>
        <v>28.9</v>
      </c>
      <c r="BI18" s="4">
        <f t="shared" si="22"/>
        <v>10.5</v>
      </c>
      <c r="BJ18" s="4">
        <f t="shared" si="23"/>
        <v>31.5</v>
      </c>
      <c r="BK18" s="4">
        <f t="shared" si="24"/>
        <v>31.5</v>
      </c>
      <c r="BL18" s="4">
        <f t="shared" si="25"/>
        <v>39.4</v>
      </c>
      <c r="BM18" s="4">
        <f t="shared" si="26"/>
        <v>28.9</v>
      </c>
      <c r="BN18" s="4">
        <f t="shared" si="27"/>
        <v>65.7</v>
      </c>
      <c r="BO18" s="4">
        <f t="shared" si="38"/>
        <v>44.8</v>
      </c>
    </row>
    <row r="19" spans="1:67" x14ac:dyDescent="0.25">
      <c r="A19" s="2">
        <v>17</v>
      </c>
      <c r="B19" s="5" t="s">
        <v>76</v>
      </c>
      <c r="C19" s="2">
        <v>14</v>
      </c>
      <c r="D19" s="9">
        <v>15.7</v>
      </c>
      <c r="E19" s="9">
        <v>13.3</v>
      </c>
      <c r="F19" s="9">
        <v>4.9000000000000004</v>
      </c>
      <c r="G19" s="9">
        <v>10.5</v>
      </c>
      <c r="H19" s="9">
        <v>46.9</v>
      </c>
      <c r="I19" s="9">
        <v>0.1</v>
      </c>
      <c r="J19" s="9">
        <v>0.6</v>
      </c>
      <c r="K19" s="9">
        <v>22.2</v>
      </c>
      <c r="L19" s="9">
        <v>1.8</v>
      </c>
      <c r="M19" s="9">
        <v>2.4</v>
      </c>
      <c r="N19" s="9">
        <v>73.5</v>
      </c>
      <c r="O19" s="9">
        <v>3.8</v>
      </c>
      <c r="P19" s="9">
        <v>8.6</v>
      </c>
      <c r="Q19" s="9">
        <v>12.4</v>
      </c>
      <c r="R19" s="9">
        <v>1.9</v>
      </c>
      <c r="S19" s="9">
        <v>0.7</v>
      </c>
      <c r="T19" s="9">
        <v>0.4</v>
      </c>
      <c r="U19" s="9">
        <v>2.4</v>
      </c>
      <c r="V19" s="9">
        <v>3.8</v>
      </c>
      <c r="W19" s="9">
        <f t="shared" si="28"/>
        <v>4.8000000000000007</v>
      </c>
      <c r="X19" s="9">
        <f t="shared" si="29"/>
        <v>9.9</v>
      </c>
      <c r="Y19" s="9">
        <f t="shared" si="30"/>
        <v>48.484848484848492</v>
      </c>
      <c r="Z19" s="6">
        <f t="shared" si="31"/>
        <v>0.79166666666666663</v>
      </c>
      <c r="AA19" s="9">
        <f t="shared" si="32"/>
        <v>57.545863620629973</v>
      </c>
      <c r="AB19" s="6">
        <f t="shared" si="33"/>
        <v>1.1509172724125996</v>
      </c>
      <c r="AC19" s="6">
        <f t="shared" si="34"/>
        <v>0.95299512754370874</v>
      </c>
      <c r="AD19" s="9">
        <f t="shared" si="35"/>
        <v>47.142857142857146</v>
      </c>
      <c r="AE19" s="4">
        <f>100*(AA19/TOTAL_BASIC!$C$81)</f>
        <v>100.65903613462291</v>
      </c>
      <c r="AF19" s="4">
        <f>100*AC19/TOTAL_BASIC!$C$82</f>
        <v>94.192251644340999</v>
      </c>
      <c r="AG19" s="4">
        <f>100*N19/TOTAL_BASIC!$C$87</f>
        <v>96.765120967741936</v>
      </c>
      <c r="AH19" s="4">
        <f>100*AD19/TOTAL_BASIC!$C$86</f>
        <v>91.878088962108748</v>
      </c>
      <c r="AI19" s="3">
        <f t="shared" si="36"/>
        <v>0.10526315789473685</v>
      </c>
      <c r="AJ19" s="9">
        <f t="shared" si="37"/>
        <v>17.196904557179707</v>
      </c>
      <c r="AM19" s="4">
        <f t="shared" ref="AM19:AM41" si="42">(PERCENTRANK(D$3:D$78,D19))*100</f>
        <v>68.400000000000006</v>
      </c>
      <c r="AN19" s="4">
        <f t="shared" ref="AN19:AN41" si="43">(PERCENTRANK(E$3:E$78,E19))*100</f>
        <v>57.8</v>
      </c>
      <c r="AO19" s="4">
        <f t="shared" ref="AO19:AO41" si="44">(PERCENTRANK(F$3:F$78,F19))*100</f>
        <v>52.6</v>
      </c>
      <c r="AP19" s="4">
        <f t="shared" ref="AP19:AP41" si="45">(PERCENTRANK(G$3:G$78,G19))*100</f>
        <v>55.2</v>
      </c>
      <c r="AQ19" s="4">
        <f t="shared" ref="AQ19:AQ41" si="46">(PERCENTRANK(H$3:H$78,H19))*100</f>
        <v>57.8</v>
      </c>
      <c r="AR19" s="4">
        <f t="shared" ref="AR19:AR41" si="47">(PERCENTRANK(I$3:I$78,I19))*100</f>
        <v>7.8</v>
      </c>
      <c r="AS19" s="4">
        <f t="shared" ref="AS19:AS41" si="48">(PERCENTRANK(J$3:J$78,J19))*100</f>
        <v>13.100000000000001</v>
      </c>
      <c r="AT19" s="4">
        <f t="shared" ref="AT19:AT41" si="49">(PERCENTRANK(K$3:K$78,K19))*100</f>
        <v>18.399999999999999</v>
      </c>
      <c r="AU19" s="4">
        <f t="shared" ref="AU19:BA41" si="50">(PERCENTRANK(L$3:L$78,L19))*100</f>
        <v>84.2</v>
      </c>
      <c r="AV19" s="4">
        <f t="shared" si="50"/>
        <v>92.100000000000009</v>
      </c>
      <c r="AW19" s="4">
        <f t="shared" si="50"/>
        <v>36.799999999999997</v>
      </c>
      <c r="AX19" s="4">
        <f t="shared" si="50"/>
        <v>100</v>
      </c>
      <c r="AY19" s="4">
        <f t="shared" si="50"/>
        <v>94.699999999999989</v>
      </c>
      <c r="AZ19" s="4">
        <f t="shared" si="50"/>
        <v>100</v>
      </c>
      <c r="BA19" s="4">
        <f t="shared" si="50"/>
        <v>42.1</v>
      </c>
      <c r="BB19" s="4">
        <f t="shared" si="40"/>
        <v>55.2</v>
      </c>
      <c r="BC19" s="4">
        <f t="shared" si="41"/>
        <v>60.5</v>
      </c>
      <c r="BD19" s="4">
        <f t="shared" si="17"/>
        <v>5.3000000000000114</v>
      </c>
      <c r="BE19" s="4">
        <f t="shared" si="18"/>
        <v>0</v>
      </c>
      <c r="BF19" s="4">
        <f t="shared" si="19"/>
        <v>76.3</v>
      </c>
      <c r="BG19" s="4">
        <f t="shared" si="20"/>
        <v>78.900000000000006</v>
      </c>
      <c r="BH19" s="4">
        <f t="shared" si="21"/>
        <v>39.4</v>
      </c>
      <c r="BI19" s="4">
        <f t="shared" si="22"/>
        <v>18.399999999999999</v>
      </c>
      <c r="BJ19" s="4">
        <f t="shared" si="23"/>
        <v>68.400000000000006</v>
      </c>
      <c r="BK19" s="4">
        <f t="shared" si="24"/>
        <v>68.400000000000006</v>
      </c>
      <c r="BL19" s="4">
        <f t="shared" si="25"/>
        <v>44.7</v>
      </c>
      <c r="BM19" s="4">
        <f t="shared" si="26"/>
        <v>26.3</v>
      </c>
      <c r="BN19" s="4">
        <f t="shared" si="27"/>
        <v>42.1</v>
      </c>
      <c r="BO19" s="4">
        <f t="shared" si="38"/>
        <v>15.799999999999997</v>
      </c>
    </row>
    <row r="20" spans="1:67" x14ac:dyDescent="0.25">
      <c r="A20" s="2">
        <v>18</v>
      </c>
      <c r="B20" s="5" t="s">
        <v>79</v>
      </c>
      <c r="C20" s="2">
        <v>12</v>
      </c>
      <c r="D20" s="9">
        <v>13.6</v>
      </c>
      <c r="E20" s="9">
        <v>12.2</v>
      </c>
      <c r="F20" s="9">
        <v>4.3</v>
      </c>
      <c r="G20" s="9">
        <v>9.8000000000000007</v>
      </c>
      <c r="H20" s="9">
        <v>44.4</v>
      </c>
      <c r="I20" s="9">
        <v>1.3</v>
      </c>
      <c r="J20" s="9">
        <v>3.3</v>
      </c>
      <c r="K20" s="9">
        <v>37.5</v>
      </c>
      <c r="L20" s="9">
        <v>1.3</v>
      </c>
      <c r="M20" s="9">
        <v>1.4</v>
      </c>
      <c r="N20" s="9">
        <v>88.2</v>
      </c>
      <c r="O20" s="9">
        <v>0.8</v>
      </c>
      <c r="P20" s="9">
        <v>1.9</v>
      </c>
      <c r="Q20" s="9">
        <v>2.7</v>
      </c>
      <c r="R20" s="9">
        <v>2.2999999999999998</v>
      </c>
      <c r="S20" s="9">
        <v>0.5</v>
      </c>
      <c r="T20" s="9">
        <v>0.1</v>
      </c>
      <c r="U20" s="9">
        <v>1.8</v>
      </c>
      <c r="V20" s="9">
        <v>1.8</v>
      </c>
      <c r="W20" s="9">
        <f t="shared" si="28"/>
        <v>3</v>
      </c>
      <c r="X20" s="9">
        <f t="shared" si="29"/>
        <v>6.5000000000000009</v>
      </c>
      <c r="Y20" s="9">
        <f t="shared" si="30"/>
        <v>46.153846153846146</v>
      </c>
      <c r="Z20" s="6">
        <f t="shared" si="31"/>
        <v>1.2777777777777777</v>
      </c>
      <c r="AA20" s="9">
        <f t="shared" si="32"/>
        <v>58.563748079877108</v>
      </c>
      <c r="AB20" s="6">
        <f t="shared" si="33"/>
        <v>1.1712749615975422</v>
      </c>
      <c r="AC20" s="6">
        <f t="shared" si="34"/>
        <v>0.99869024230517345</v>
      </c>
      <c r="AD20" s="9">
        <f t="shared" si="35"/>
        <v>50.510204081632651</v>
      </c>
      <c r="AE20" s="4">
        <f>100*(AA20/TOTAL_BASIC!$C$81)</f>
        <v>102.43951629631948</v>
      </c>
      <c r="AF20" s="4">
        <f>100*AC20/TOTAL_BASIC!$C$82</f>
        <v>98.708671114000353</v>
      </c>
      <c r="AG20" s="4">
        <f>100*N20/TOTAL_BASIC!$C$87</f>
        <v>116.11814516129031</v>
      </c>
      <c r="AH20" s="4">
        <f>100*AD20/TOTAL_BASIC!$C$86</f>
        <v>98.440809602259364</v>
      </c>
      <c r="AI20" s="3">
        <f t="shared" si="36"/>
        <v>5.5555555555555559E-2</v>
      </c>
      <c r="AJ20" s="9">
        <f t="shared" si="37"/>
        <v>14.734774066797641</v>
      </c>
      <c r="AM20" s="4">
        <f t="shared" si="42"/>
        <v>55.2</v>
      </c>
      <c r="AN20" s="4">
        <f t="shared" si="43"/>
        <v>55.2</v>
      </c>
      <c r="AO20" s="4">
        <f t="shared" si="44"/>
        <v>47.3</v>
      </c>
      <c r="AP20" s="4">
        <f t="shared" si="45"/>
        <v>44.7</v>
      </c>
      <c r="AQ20" s="4">
        <f t="shared" si="46"/>
        <v>42.1</v>
      </c>
      <c r="AR20" s="4">
        <f t="shared" si="47"/>
        <v>76.3</v>
      </c>
      <c r="AS20" s="4">
        <f t="shared" si="48"/>
        <v>52.6</v>
      </c>
      <c r="AT20" s="4">
        <f t="shared" si="49"/>
        <v>68.400000000000006</v>
      </c>
      <c r="AU20" s="4">
        <f t="shared" si="50"/>
        <v>68.400000000000006</v>
      </c>
      <c r="AV20" s="4">
        <f t="shared" si="50"/>
        <v>44.7</v>
      </c>
      <c r="AW20" s="4">
        <f t="shared" si="50"/>
        <v>76.3</v>
      </c>
      <c r="AX20" s="4">
        <f t="shared" si="50"/>
        <v>34.200000000000003</v>
      </c>
      <c r="AY20" s="4">
        <f t="shared" si="50"/>
        <v>10.5</v>
      </c>
      <c r="AZ20" s="4">
        <f t="shared" si="50"/>
        <v>10.5</v>
      </c>
      <c r="BA20" s="4">
        <f t="shared" si="50"/>
        <v>55.2</v>
      </c>
      <c r="BB20" s="4">
        <f t="shared" si="40"/>
        <v>28.9</v>
      </c>
      <c r="BC20" s="4">
        <f t="shared" si="41"/>
        <v>13.100000000000001</v>
      </c>
      <c r="BD20" s="4">
        <f t="shared" si="17"/>
        <v>29</v>
      </c>
      <c r="BE20" s="4">
        <f t="shared" si="18"/>
        <v>92.2</v>
      </c>
      <c r="BF20" s="4">
        <f t="shared" si="19"/>
        <v>36.799999999999997</v>
      </c>
      <c r="BG20" s="4">
        <f t="shared" si="20"/>
        <v>42.1</v>
      </c>
      <c r="BH20" s="4">
        <f t="shared" si="21"/>
        <v>26.3</v>
      </c>
      <c r="BI20" s="4">
        <f t="shared" si="22"/>
        <v>44.7</v>
      </c>
      <c r="BJ20" s="4">
        <f t="shared" si="23"/>
        <v>71</v>
      </c>
      <c r="BK20" s="4">
        <f t="shared" si="24"/>
        <v>71</v>
      </c>
      <c r="BL20" s="4">
        <f t="shared" si="25"/>
        <v>60.5</v>
      </c>
      <c r="BM20" s="4">
        <f t="shared" si="26"/>
        <v>60.5</v>
      </c>
      <c r="BN20" s="4">
        <f t="shared" si="27"/>
        <v>34.200000000000003</v>
      </c>
      <c r="BO20" s="4">
        <f t="shared" si="38"/>
        <v>23.700000000000003</v>
      </c>
    </row>
    <row r="21" spans="1:67" x14ac:dyDescent="0.25">
      <c r="A21" s="2">
        <v>19</v>
      </c>
      <c r="B21" s="5" t="s">
        <v>84</v>
      </c>
      <c r="C21" s="2">
        <v>10</v>
      </c>
      <c r="D21" s="9">
        <v>10.9</v>
      </c>
      <c r="E21" s="9">
        <v>11.7</v>
      </c>
      <c r="F21" s="9">
        <v>4.9000000000000004</v>
      </c>
      <c r="G21" s="9">
        <v>10.1</v>
      </c>
      <c r="H21" s="9">
        <v>48.5</v>
      </c>
      <c r="I21" s="9">
        <v>0.6</v>
      </c>
      <c r="J21" s="9">
        <v>3.3</v>
      </c>
      <c r="K21" s="9">
        <v>18.2</v>
      </c>
      <c r="L21" s="9">
        <v>0.8</v>
      </c>
      <c r="M21" s="9">
        <v>1.2</v>
      </c>
      <c r="N21" s="9">
        <v>66.7</v>
      </c>
      <c r="O21" s="9">
        <v>1.7</v>
      </c>
      <c r="P21" s="9">
        <v>5.6</v>
      </c>
      <c r="Q21" s="9">
        <v>7.3</v>
      </c>
      <c r="R21" s="9">
        <v>1.1000000000000001</v>
      </c>
      <c r="S21" s="9">
        <v>0.7</v>
      </c>
      <c r="T21" s="9">
        <v>0.7</v>
      </c>
      <c r="U21" s="9">
        <v>1</v>
      </c>
      <c r="V21" s="9">
        <v>1.8</v>
      </c>
      <c r="W21" s="9">
        <f t="shared" si="28"/>
        <v>4.3000000000000007</v>
      </c>
      <c r="X21" s="9">
        <f t="shared" si="29"/>
        <v>6.8</v>
      </c>
      <c r="Y21" s="9">
        <f t="shared" si="30"/>
        <v>63.235294117647065</v>
      </c>
      <c r="Z21" s="6">
        <f t="shared" si="31"/>
        <v>1.1000000000000001</v>
      </c>
      <c r="AA21" s="9">
        <f t="shared" si="32"/>
        <v>55.043281896876174</v>
      </c>
      <c r="AB21" s="6">
        <f t="shared" si="33"/>
        <v>1.1008656379375235</v>
      </c>
      <c r="AC21" s="6">
        <f t="shared" si="34"/>
        <v>1.0061919504643961</v>
      </c>
      <c r="AD21" s="9">
        <f t="shared" si="35"/>
        <v>51.485148514851488</v>
      </c>
      <c r="AE21" s="4">
        <f>100*(AA21/TOTAL_BASIC!$C$81)</f>
        <v>96.28152838147011</v>
      </c>
      <c r="AF21" s="4">
        <f>100*AC21/TOTAL_BASIC!$C$82</f>
        <v>99.450125883572099</v>
      </c>
      <c r="AG21" s="4">
        <f>100*N21/TOTAL_BASIC!$C$87</f>
        <v>87.812701612903226</v>
      </c>
      <c r="AH21" s="4">
        <f>100*AD21/TOTAL_BASIC!$C$86</f>
        <v>100.34090723734649</v>
      </c>
      <c r="AI21" s="3">
        <f t="shared" si="36"/>
        <v>0.38888888888888884</v>
      </c>
      <c r="AJ21" s="9">
        <f t="shared" si="37"/>
        <v>8.5999312005503956</v>
      </c>
      <c r="AM21" s="4">
        <f t="shared" si="42"/>
        <v>26.3</v>
      </c>
      <c r="AN21" s="4">
        <f t="shared" si="43"/>
        <v>52.6</v>
      </c>
      <c r="AO21" s="4">
        <f t="shared" si="44"/>
        <v>52.6</v>
      </c>
      <c r="AP21" s="4">
        <f t="shared" si="45"/>
        <v>50</v>
      </c>
      <c r="AQ21" s="4">
        <f t="shared" si="46"/>
        <v>63.1</v>
      </c>
      <c r="AR21" s="4">
        <f t="shared" si="47"/>
        <v>28.9</v>
      </c>
      <c r="AS21" s="4">
        <f t="shared" si="48"/>
        <v>52.6</v>
      </c>
      <c r="AT21" s="4">
        <f t="shared" si="49"/>
        <v>7.8</v>
      </c>
      <c r="AU21" s="4">
        <f t="shared" si="50"/>
        <v>34.200000000000003</v>
      </c>
      <c r="AV21" s="4">
        <f t="shared" si="50"/>
        <v>36.799999999999997</v>
      </c>
      <c r="AW21" s="4">
        <f t="shared" si="50"/>
        <v>23.599999999999998</v>
      </c>
      <c r="AX21" s="4">
        <f t="shared" si="50"/>
        <v>89.4</v>
      </c>
      <c r="AY21" s="4">
        <f t="shared" si="50"/>
        <v>81.5</v>
      </c>
      <c r="AZ21" s="4">
        <f t="shared" si="50"/>
        <v>86.8</v>
      </c>
      <c r="BA21" s="4">
        <f t="shared" si="50"/>
        <v>18.399999999999999</v>
      </c>
      <c r="BB21" s="4">
        <f t="shared" si="40"/>
        <v>55.2</v>
      </c>
      <c r="BC21" s="4">
        <f t="shared" si="41"/>
        <v>89.4</v>
      </c>
      <c r="BD21" s="4">
        <f t="shared" si="17"/>
        <v>81.599999999999994</v>
      </c>
      <c r="BE21" s="4">
        <f t="shared" si="18"/>
        <v>92.2</v>
      </c>
      <c r="BF21" s="4">
        <f t="shared" si="19"/>
        <v>68.400000000000006</v>
      </c>
      <c r="BG21" s="4">
        <f t="shared" si="20"/>
        <v>47.3</v>
      </c>
      <c r="BH21" s="4">
        <f t="shared" si="21"/>
        <v>92.100000000000009</v>
      </c>
      <c r="BI21" s="4">
        <f t="shared" si="22"/>
        <v>36.799999999999997</v>
      </c>
      <c r="BJ21" s="4">
        <f t="shared" si="23"/>
        <v>60.5</v>
      </c>
      <c r="BK21" s="4">
        <f t="shared" si="24"/>
        <v>60.5</v>
      </c>
      <c r="BL21" s="4">
        <f t="shared" si="25"/>
        <v>68.400000000000006</v>
      </c>
      <c r="BM21" s="4">
        <f t="shared" si="26"/>
        <v>65.7</v>
      </c>
      <c r="BN21" s="4">
        <f t="shared" si="27"/>
        <v>92.100000000000009</v>
      </c>
      <c r="BO21" s="4">
        <f t="shared" si="38"/>
        <v>76.400000000000006</v>
      </c>
    </row>
    <row r="22" spans="1:67" x14ac:dyDescent="0.25">
      <c r="A22" s="2">
        <v>20</v>
      </c>
      <c r="B22" s="5" t="s">
        <v>81</v>
      </c>
      <c r="C22" s="2">
        <v>12</v>
      </c>
      <c r="D22" s="9">
        <v>12.8</v>
      </c>
      <c r="E22" s="9">
        <v>11.6</v>
      </c>
      <c r="F22" s="9">
        <v>4.5999999999999996</v>
      </c>
      <c r="G22" s="9">
        <v>10.9</v>
      </c>
      <c r="H22" s="9">
        <v>42</v>
      </c>
      <c r="I22" s="9">
        <v>0.5</v>
      </c>
      <c r="J22" s="9">
        <v>2.2000000000000002</v>
      </c>
      <c r="K22" s="9">
        <v>23.1</v>
      </c>
      <c r="L22" s="9">
        <v>1.1000000000000001</v>
      </c>
      <c r="M22" s="9">
        <v>1.4</v>
      </c>
      <c r="N22" s="9">
        <v>76.5</v>
      </c>
      <c r="O22" s="9">
        <v>1.2</v>
      </c>
      <c r="P22" s="9">
        <v>2.7</v>
      </c>
      <c r="Q22" s="9">
        <v>3.8</v>
      </c>
      <c r="R22" s="9">
        <v>1.9</v>
      </c>
      <c r="S22" s="9">
        <v>0.6</v>
      </c>
      <c r="T22" s="9">
        <v>0.1</v>
      </c>
      <c r="U22" s="9">
        <v>1.8</v>
      </c>
      <c r="V22" s="9">
        <v>3.4</v>
      </c>
      <c r="W22" s="9">
        <f t="shared" si="28"/>
        <v>4.0999999999999996</v>
      </c>
      <c r="X22" s="9">
        <f t="shared" si="29"/>
        <v>8.6999999999999993</v>
      </c>
      <c r="Y22" s="9">
        <f t="shared" si="30"/>
        <v>47.126436781609193</v>
      </c>
      <c r="Z22" s="6">
        <f t="shared" si="31"/>
        <v>1.0555555555555556</v>
      </c>
      <c r="AA22" s="9">
        <f t="shared" si="32"/>
        <v>50.364709968739149</v>
      </c>
      <c r="AB22" s="6">
        <f t="shared" si="33"/>
        <v>1.007294199374783</v>
      </c>
      <c r="AC22" s="6">
        <f t="shared" si="34"/>
        <v>0.87113247221387802</v>
      </c>
      <c r="AD22" s="9">
        <f t="shared" si="35"/>
        <v>44.495412844036693</v>
      </c>
      <c r="AE22" s="4">
        <f>100*(AA22/TOTAL_BASIC!$C$81)</f>
        <v>88.097785690988601</v>
      </c>
      <c r="AF22" s="4">
        <f>100*AC22/TOTAL_BASIC!$C$82</f>
        <v>86.101100275104102</v>
      </c>
      <c r="AG22" s="4">
        <f>100*N22/TOTAL_BASIC!$C$87</f>
        <v>100.71471774193547</v>
      </c>
      <c r="AH22" s="4">
        <f>100*AD22/TOTAL_BASIC!$C$86</f>
        <v>86.718407569185189</v>
      </c>
      <c r="AI22" s="3">
        <f t="shared" si="36"/>
        <v>2.9411764705882356E-2</v>
      </c>
      <c r="AJ22" s="9">
        <f t="shared" si="37"/>
        <v>13.517572844698106</v>
      </c>
      <c r="AM22" s="4">
        <f t="shared" si="42"/>
        <v>44.7</v>
      </c>
      <c r="AN22" s="4">
        <f t="shared" si="43"/>
        <v>50</v>
      </c>
      <c r="AO22" s="4">
        <f t="shared" si="44"/>
        <v>50</v>
      </c>
      <c r="AP22" s="4">
        <f t="shared" si="45"/>
        <v>57.8</v>
      </c>
      <c r="AQ22" s="4">
        <f t="shared" si="46"/>
        <v>28.9</v>
      </c>
      <c r="AR22" s="4">
        <f t="shared" si="47"/>
        <v>23.599999999999998</v>
      </c>
      <c r="AS22" s="4">
        <f t="shared" si="48"/>
        <v>34.200000000000003</v>
      </c>
      <c r="AT22" s="4">
        <f t="shared" si="49"/>
        <v>23.599999999999998</v>
      </c>
      <c r="AU22" s="4">
        <f t="shared" si="50"/>
        <v>52.6</v>
      </c>
      <c r="AV22" s="4">
        <f t="shared" si="50"/>
        <v>44.7</v>
      </c>
      <c r="AW22" s="4">
        <f t="shared" si="50"/>
        <v>50</v>
      </c>
      <c r="AX22" s="4">
        <f t="shared" si="50"/>
        <v>78.900000000000006</v>
      </c>
      <c r="AY22" s="4">
        <f t="shared" si="50"/>
        <v>26.3</v>
      </c>
      <c r="AZ22" s="4">
        <f t="shared" si="50"/>
        <v>34.200000000000003</v>
      </c>
      <c r="BA22" s="4">
        <f t="shared" si="50"/>
        <v>42.1</v>
      </c>
      <c r="BB22" s="4">
        <f t="shared" si="40"/>
        <v>42.1</v>
      </c>
      <c r="BC22" s="4">
        <f t="shared" si="41"/>
        <v>13.100000000000001</v>
      </c>
      <c r="BD22" s="4">
        <f t="shared" si="17"/>
        <v>29</v>
      </c>
      <c r="BE22" s="4">
        <f t="shared" si="18"/>
        <v>10.599999999999994</v>
      </c>
      <c r="BF22" s="4">
        <f t="shared" si="19"/>
        <v>63.1</v>
      </c>
      <c r="BG22" s="4">
        <f t="shared" si="20"/>
        <v>65.7</v>
      </c>
      <c r="BH22" s="4">
        <f t="shared" si="21"/>
        <v>34.200000000000003</v>
      </c>
      <c r="BI22" s="4">
        <f t="shared" si="22"/>
        <v>34.200000000000003</v>
      </c>
      <c r="BJ22" s="4">
        <f t="shared" si="23"/>
        <v>21</v>
      </c>
      <c r="BK22" s="4">
        <f t="shared" si="24"/>
        <v>21</v>
      </c>
      <c r="BL22" s="4">
        <f t="shared" si="25"/>
        <v>18.399999999999999</v>
      </c>
      <c r="BM22" s="4">
        <f t="shared" si="26"/>
        <v>15.7</v>
      </c>
      <c r="BN22" s="4">
        <f t="shared" si="27"/>
        <v>13.100000000000001</v>
      </c>
      <c r="BO22" s="4">
        <f t="shared" si="38"/>
        <v>31.599999999999994</v>
      </c>
    </row>
    <row r="23" spans="1:67" x14ac:dyDescent="0.25">
      <c r="A23" s="2">
        <v>21</v>
      </c>
      <c r="B23" s="5" t="s">
        <v>95</v>
      </c>
      <c r="C23" s="2">
        <v>8</v>
      </c>
      <c r="D23" s="9">
        <v>16.399999999999999</v>
      </c>
      <c r="E23" s="9">
        <v>11.3</v>
      </c>
      <c r="F23" s="9">
        <v>5.0999999999999996</v>
      </c>
      <c r="G23" s="9">
        <v>9.9</v>
      </c>
      <c r="H23" s="9">
        <v>51.9</v>
      </c>
      <c r="I23" s="9">
        <v>0</v>
      </c>
      <c r="J23" s="9">
        <v>0</v>
      </c>
      <c r="K23" s="9">
        <v>0</v>
      </c>
      <c r="L23" s="9">
        <v>0.5</v>
      </c>
      <c r="M23" s="9">
        <v>1.4</v>
      </c>
      <c r="N23" s="9">
        <v>36.4</v>
      </c>
      <c r="O23" s="9">
        <v>3.3</v>
      </c>
      <c r="P23" s="9">
        <v>8</v>
      </c>
      <c r="Q23" s="9">
        <v>11.3</v>
      </c>
      <c r="R23" s="9">
        <v>4.5</v>
      </c>
      <c r="S23" s="9">
        <v>1</v>
      </c>
      <c r="T23" s="9">
        <v>0.3</v>
      </c>
      <c r="U23" s="9">
        <v>2.6</v>
      </c>
      <c r="V23" s="9">
        <v>2.1</v>
      </c>
      <c r="W23" s="9">
        <f t="shared" si="28"/>
        <v>5.0999999999999996</v>
      </c>
      <c r="X23" s="9">
        <f t="shared" si="29"/>
        <v>9.9</v>
      </c>
      <c r="Y23" s="9">
        <f t="shared" si="30"/>
        <v>51.515151515151516</v>
      </c>
      <c r="Z23" s="6">
        <f t="shared" si="31"/>
        <v>1.7307692307692306</v>
      </c>
      <c r="AA23" s="9">
        <f t="shared" si="32"/>
        <v>53.72765310003804</v>
      </c>
      <c r="AB23" s="6">
        <f t="shared" si="33"/>
        <v>1.0745530620007608</v>
      </c>
      <c r="AC23" s="6">
        <f t="shared" si="34"/>
        <v>0.86154315340042709</v>
      </c>
      <c r="AD23" s="9">
        <f t="shared" si="35"/>
        <v>51.515151515151508</v>
      </c>
      <c r="AE23" s="4">
        <f>100*(AA23/TOTAL_BASIC!$C$81)</f>
        <v>93.980234799819797</v>
      </c>
      <c r="AF23" s="4">
        <f>100*AC23/TOTAL_BASIC!$C$82</f>
        <v>85.153309982511075</v>
      </c>
      <c r="AG23" s="4">
        <f>100*N23/TOTAL_BASIC!$C$87</f>
        <v>47.921774193548387</v>
      </c>
      <c r="AH23" s="4">
        <f>100*AD23/TOTAL_BASIC!$C$86</f>
        <v>100.39938095951275</v>
      </c>
      <c r="AI23" s="3">
        <f t="shared" si="36"/>
        <v>0.14285714285714285</v>
      </c>
      <c r="AJ23" s="9">
        <f t="shared" si="37"/>
        <v>19.823116803903631</v>
      </c>
      <c r="AM23" s="4">
        <f t="shared" si="42"/>
        <v>78.900000000000006</v>
      </c>
      <c r="AN23" s="4">
        <f t="shared" si="43"/>
        <v>47.3</v>
      </c>
      <c r="AO23" s="4">
        <f t="shared" si="44"/>
        <v>60.5</v>
      </c>
      <c r="AP23" s="4">
        <f t="shared" si="45"/>
        <v>47.3</v>
      </c>
      <c r="AQ23" s="4">
        <f t="shared" si="46"/>
        <v>78.900000000000006</v>
      </c>
      <c r="AR23" s="4">
        <f t="shared" si="47"/>
        <v>0</v>
      </c>
      <c r="AS23" s="4">
        <f t="shared" si="48"/>
        <v>0</v>
      </c>
      <c r="AT23" s="4">
        <f t="shared" si="49"/>
        <v>0</v>
      </c>
      <c r="AU23" s="4">
        <f t="shared" si="50"/>
        <v>18.399999999999999</v>
      </c>
      <c r="AV23" s="4">
        <f t="shared" si="50"/>
        <v>44.7</v>
      </c>
      <c r="AW23" s="4">
        <f t="shared" si="50"/>
        <v>2.6</v>
      </c>
      <c r="AX23" s="4">
        <f t="shared" si="50"/>
        <v>97.3</v>
      </c>
      <c r="AY23" s="4">
        <f t="shared" si="50"/>
        <v>92.100000000000009</v>
      </c>
      <c r="AZ23" s="4">
        <f t="shared" si="50"/>
        <v>97.3</v>
      </c>
      <c r="BA23" s="4">
        <f t="shared" si="50"/>
        <v>89.4</v>
      </c>
      <c r="BB23" s="4">
        <f t="shared" si="40"/>
        <v>71</v>
      </c>
      <c r="BC23" s="4">
        <f t="shared" si="41"/>
        <v>44.7</v>
      </c>
      <c r="BD23" s="4">
        <f t="shared" si="17"/>
        <v>2.7000000000000028</v>
      </c>
      <c r="BE23" s="4">
        <f t="shared" si="18"/>
        <v>68.5</v>
      </c>
      <c r="BF23" s="4">
        <f t="shared" si="19"/>
        <v>81.5</v>
      </c>
      <c r="BG23" s="4">
        <f t="shared" si="20"/>
        <v>78.900000000000006</v>
      </c>
      <c r="BH23" s="4">
        <f t="shared" si="21"/>
        <v>57.8</v>
      </c>
      <c r="BI23" s="4">
        <f t="shared" si="22"/>
        <v>55.2</v>
      </c>
      <c r="BJ23" s="4">
        <f t="shared" si="23"/>
        <v>36.799999999999997</v>
      </c>
      <c r="BK23" s="4">
        <f t="shared" si="24"/>
        <v>36.799999999999997</v>
      </c>
      <c r="BL23" s="4">
        <f t="shared" si="25"/>
        <v>15.7</v>
      </c>
      <c r="BM23" s="4">
        <f t="shared" si="26"/>
        <v>68.400000000000006</v>
      </c>
      <c r="BN23" s="4">
        <f t="shared" si="27"/>
        <v>57.8</v>
      </c>
      <c r="BO23" s="4">
        <f t="shared" si="38"/>
        <v>7.8999999999999915</v>
      </c>
    </row>
    <row r="24" spans="1:67" x14ac:dyDescent="0.25">
      <c r="A24" s="2">
        <v>22</v>
      </c>
      <c r="B24" s="5" t="s">
        <v>97</v>
      </c>
      <c r="C24" s="2">
        <v>8</v>
      </c>
      <c r="D24" s="9">
        <v>14.4</v>
      </c>
      <c r="E24" s="9">
        <v>10</v>
      </c>
      <c r="F24" s="9">
        <v>4.0999999999999996</v>
      </c>
      <c r="G24" s="9">
        <v>11.6</v>
      </c>
      <c r="H24" s="9">
        <v>35.5</v>
      </c>
      <c r="I24" s="9">
        <v>1.1000000000000001</v>
      </c>
      <c r="J24" s="9">
        <v>4.5</v>
      </c>
      <c r="K24" s="9">
        <v>25</v>
      </c>
      <c r="L24" s="9">
        <v>0.4</v>
      </c>
      <c r="M24" s="9">
        <v>0.5</v>
      </c>
      <c r="N24" s="9">
        <v>75</v>
      </c>
      <c r="O24" s="9">
        <v>0.1</v>
      </c>
      <c r="P24" s="9">
        <v>2.8</v>
      </c>
      <c r="Q24" s="9">
        <v>2.9</v>
      </c>
      <c r="R24" s="9">
        <v>3.4</v>
      </c>
      <c r="S24" s="9">
        <v>0.8</v>
      </c>
      <c r="T24" s="9">
        <v>0.3</v>
      </c>
      <c r="U24" s="9">
        <v>1.3</v>
      </c>
      <c r="V24" s="9">
        <v>2.1</v>
      </c>
      <c r="W24" s="9">
        <f t="shared" si="28"/>
        <v>2.9999999999999996</v>
      </c>
      <c r="X24" s="9">
        <f t="shared" si="29"/>
        <v>7.1</v>
      </c>
      <c r="Y24" s="9">
        <f t="shared" si="30"/>
        <v>42.25352112676056</v>
      </c>
      <c r="Z24" s="6">
        <f t="shared" si="31"/>
        <v>2.6153846153846154</v>
      </c>
      <c r="AA24" s="9">
        <f t="shared" si="32"/>
        <v>42.301184433164124</v>
      </c>
      <c r="AB24" s="6">
        <f t="shared" si="33"/>
        <v>0.84602368866328248</v>
      </c>
      <c r="AC24" s="6">
        <f t="shared" si="34"/>
        <v>0.76219512195121941</v>
      </c>
      <c r="AD24" s="9">
        <f t="shared" si="35"/>
        <v>40.086206896551722</v>
      </c>
      <c r="AE24" s="4">
        <f>100*(AA24/TOTAL_BASIC!$C$81)</f>
        <v>73.993093238915947</v>
      </c>
      <c r="AF24" s="4">
        <f>100*AC24/TOTAL_BASIC!$C$82</f>
        <v>75.333936820810948</v>
      </c>
      <c r="AG24" s="4">
        <f>100*N24/TOTAL_BASIC!$C$87</f>
        <v>98.739919354838705</v>
      </c>
      <c r="AH24" s="4">
        <f>100*AD24/TOTAL_BASIC!$C$86</f>
        <v>78.125177526557977</v>
      </c>
      <c r="AI24" s="3">
        <f t="shared" si="36"/>
        <v>0.14285714285714285</v>
      </c>
      <c r="AJ24" s="9">
        <f t="shared" si="37"/>
        <v>9.9085365853658534</v>
      </c>
      <c r="AM24" s="4">
        <f t="shared" si="42"/>
        <v>60.5</v>
      </c>
      <c r="AN24" s="4">
        <f t="shared" si="43"/>
        <v>39.4</v>
      </c>
      <c r="AO24" s="4">
        <f t="shared" si="44"/>
        <v>39.4</v>
      </c>
      <c r="AP24" s="4">
        <f t="shared" si="45"/>
        <v>63.1</v>
      </c>
      <c r="AQ24" s="4">
        <f t="shared" si="46"/>
        <v>2.6</v>
      </c>
      <c r="AR24" s="4">
        <f t="shared" si="47"/>
        <v>63.1</v>
      </c>
      <c r="AS24" s="4">
        <f t="shared" si="48"/>
        <v>73.599999999999994</v>
      </c>
      <c r="AT24" s="4">
        <f t="shared" si="49"/>
        <v>36.799999999999997</v>
      </c>
      <c r="AU24" s="4">
        <f t="shared" si="50"/>
        <v>10.5</v>
      </c>
      <c r="AV24" s="4">
        <f t="shared" si="50"/>
        <v>10.5</v>
      </c>
      <c r="AW24" s="4">
        <f t="shared" si="50"/>
        <v>42.1</v>
      </c>
      <c r="AX24" s="4">
        <f t="shared" si="50"/>
        <v>2.6</v>
      </c>
      <c r="AY24" s="4">
        <f t="shared" si="50"/>
        <v>31.5</v>
      </c>
      <c r="AZ24" s="4">
        <f t="shared" si="50"/>
        <v>13.100000000000001</v>
      </c>
      <c r="BA24" s="4">
        <f t="shared" si="50"/>
        <v>81.5</v>
      </c>
      <c r="BB24" s="4">
        <f t="shared" si="40"/>
        <v>68.400000000000006</v>
      </c>
      <c r="BC24" s="4">
        <f t="shared" si="41"/>
        <v>44.7</v>
      </c>
      <c r="BD24" s="4">
        <f t="shared" si="17"/>
        <v>68.5</v>
      </c>
      <c r="BE24" s="4">
        <f t="shared" si="18"/>
        <v>68.5</v>
      </c>
      <c r="BF24" s="4">
        <f t="shared" si="19"/>
        <v>34.200000000000003</v>
      </c>
      <c r="BG24" s="4">
        <f t="shared" si="20"/>
        <v>52.6</v>
      </c>
      <c r="BH24" s="4">
        <f t="shared" si="21"/>
        <v>7.8</v>
      </c>
      <c r="BI24" s="4">
        <f t="shared" si="22"/>
        <v>84.2</v>
      </c>
      <c r="BJ24" s="4">
        <f t="shared" si="23"/>
        <v>2.6</v>
      </c>
      <c r="BK24" s="4">
        <f t="shared" si="24"/>
        <v>2.6</v>
      </c>
      <c r="BL24" s="4">
        <f t="shared" si="25"/>
        <v>5.2</v>
      </c>
      <c r="BM24" s="4">
        <f t="shared" si="26"/>
        <v>5.2</v>
      </c>
      <c r="BN24" s="4">
        <f t="shared" si="27"/>
        <v>57.8</v>
      </c>
      <c r="BO24" s="4">
        <f t="shared" si="38"/>
        <v>60.6</v>
      </c>
    </row>
    <row r="25" spans="1:67" x14ac:dyDescent="0.25">
      <c r="A25" s="2">
        <v>23</v>
      </c>
      <c r="B25" s="5" t="s">
        <v>80</v>
      </c>
      <c r="C25" s="2">
        <v>14</v>
      </c>
      <c r="D25" s="9">
        <v>12.1</v>
      </c>
      <c r="E25" s="9">
        <v>10</v>
      </c>
      <c r="F25" s="9">
        <v>4.0999999999999996</v>
      </c>
      <c r="G25" s="9">
        <v>9</v>
      </c>
      <c r="H25" s="9">
        <v>45.2</v>
      </c>
      <c r="I25" s="9">
        <v>0.7</v>
      </c>
      <c r="J25" s="9">
        <v>2.2999999999999998</v>
      </c>
      <c r="K25" s="9">
        <v>31.3</v>
      </c>
      <c r="L25" s="9">
        <v>0.6</v>
      </c>
      <c r="M25" s="9">
        <v>0.8</v>
      </c>
      <c r="N25" s="9">
        <v>81.8</v>
      </c>
      <c r="O25" s="9">
        <v>0.4</v>
      </c>
      <c r="P25" s="9">
        <v>2.6</v>
      </c>
      <c r="Q25" s="9">
        <v>3</v>
      </c>
      <c r="R25" s="9">
        <v>3.1</v>
      </c>
      <c r="S25" s="9">
        <v>0.6</v>
      </c>
      <c r="T25" s="9">
        <v>0.4</v>
      </c>
      <c r="U25" s="9">
        <v>1.2</v>
      </c>
      <c r="V25" s="9">
        <v>1.8</v>
      </c>
      <c r="W25" s="9">
        <f t="shared" si="28"/>
        <v>3.3999999999999995</v>
      </c>
      <c r="X25" s="9">
        <f t="shared" si="29"/>
        <v>6.7</v>
      </c>
      <c r="Y25" s="9">
        <f t="shared" si="30"/>
        <v>50.74626865671641</v>
      </c>
      <c r="Z25" s="6">
        <f t="shared" si="31"/>
        <v>2.5833333333333335</v>
      </c>
      <c r="AA25" s="9">
        <f t="shared" si="32"/>
        <v>53.464499572284005</v>
      </c>
      <c r="AB25" s="6">
        <f t="shared" si="33"/>
        <v>1.0692899914456802</v>
      </c>
      <c r="AC25" s="6">
        <f t="shared" si="34"/>
        <v>0.94768764215314638</v>
      </c>
      <c r="AD25" s="9">
        <f t="shared" si="35"/>
        <v>49.444444444444436</v>
      </c>
      <c r="AE25" s="4">
        <f>100*(AA25/TOTAL_BASIC!$C$81)</f>
        <v>93.519927511119192</v>
      </c>
      <c r="AF25" s="4">
        <f>100*AC25/TOTAL_BASIC!$C$82</f>
        <v>93.667669739294908</v>
      </c>
      <c r="AG25" s="4">
        <f>100*N25/TOTAL_BASIC!$C$87</f>
        <v>107.69233870967741</v>
      </c>
      <c r="AH25" s="4">
        <f>100*AD25/TOTAL_BASIC!$C$86</f>
        <v>96.363719568002921</v>
      </c>
      <c r="AI25" s="3">
        <f t="shared" si="36"/>
        <v>0.22222222222222224</v>
      </c>
      <c r="AJ25" s="9">
        <f t="shared" si="37"/>
        <v>11.372251705837757</v>
      </c>
      <c r="AM25" s="4">
        <f t="shared" si="42"/>
        <v>36.799999999999997</v>
      </c>
      <c r="AN25" s="4">
        <f t="shared" si="43"/>
        <v>39.4</v>
      </c>
      <c r="AO25" s="4">
        <f t="shared" si="44"/>
        <v>39.4</v>
      </c>
      <c r="AP25" s="4">
        <f t="shared" si="45"/>
        <v>36.799999999999997</v>
      </c>
      <c r="AQ25" s="4">
        <f t="shared" si="46"/>
        <v>47.3</v>
      </c>
      <c r="AR25" s="4">
        <f t="shared" si="47"/>
        <v>36.799999999999997</v>
      </c>
      <c r="AS25" s="4">
        <f t="shared" si="48"/>
        <v>42.1</v>
      </c>
      <c r="AT25" s="4">
        <f t="shared" si="49"/>
        <v>39.4</v>
      </c>
      <c r="AU25" s="4">
        <f t="shared" si="50"/>
        <v>26.3</v>
      </c>
      <c r="AV25" s="4">
        <f t="shared" si="50"/>
        <v>23.599999999999998</v>
      </c>
      <c r="AW25" s="4">
        <f t="shared" si="50"/>
        <v>68.400000000000006</v>
      </c>
      <c r="AX25" s="4">
        <f t="shared" si="50"/>
        <v>10.5</v>
      </c>
      <c r="AY25" s="4">
        <f t="shared" si="50"/>
        <v>23.599999999999998</v>
      </c>
      <c r="AZ25" s="4">
        <f t="shared" si="50"/>
        <v>18.399999999999999</v>
      </c>
      <c r="BA25" s="4">
        <f t="shared" si="50"/>
        <v>76.3</v>
      </c>
      <c r="BB25" s="4">
        <f t="shared" si="40"/>
        <v>42.1</v>
      </c>
      <c r="BC25" s="4">
        <f t="shared" si="41"/>
        <v>60.5</v>
      </c>
      <c r="BD25" s="4">
        <f t="shared" si="17"/>
        <v>73.7</v>
      </c>
      <c r="BE25" s="4">
        <f t="shared" si="18"/>
        <v>92.2</v>
      </c>
      <c r="BF25" s="4">
        <f t="shared" si="19"/>
        <v>50</v>
      </c>
      <c r="BG25" s="4">
        <f t="shared" si="20"/>
        <v>44.7</v>
      </c>
      <c r="BH25" s="4">
        <f t="shared" si="21"/>
        <v>55.2</v>
      </c>
      <c r="BI25" s="4">
        <f t="shared" si="22"/>
        <v>81.5</v>
      </c>
      <c r="BJ25" s="4">
        <f t="shared" si="23"/>
        <v>34.200000000000003</v>
      </c>
      <c r="BK25" s="4">
        <f t="shared" si="24"/>
        <v>34.200000000000003</v>
      </c>
      <c r="BL25" s="4">
        <f t="shared" si="25"/>
        <v>42.1</v>
      </c>
      <c r="BM25" s="4">
        <f t="shared" si="26"/>
        <v>47.3</v>
      </c>
      <c r="BN25" s="4">
        <f t="shared" si="27"/>
        <v>78.900000000000006</v>
      </c>
      <c r="BO25" s="4">
        <f t="shared" si="38"/>
        <v>47.4</v>
      </c>
    </row>
    <row r="26" spans="1:67" x14ac:dyDescent="0.25">
      <c r="A26" s="2">
        <v>24</v>
      </c>
      <c r="B26" s="5" t="s">
        <v>101</v>
      </c>
      <c r="C26" s="2">
        <v>2</v>
      </c>
      <c r="D26" s="9">
        <v>8.5</v>
      </c>
      <c r="E26" s="9">
        <v>10</v>
      </c>
      <c r="F26" s="9">
        <v>3</v>
      </c>
      <c r="G26" s="9">
        <v>5.5</v>
      </c>
      <c r="H26" s="9">
        <v>54.5</v>
      </c>
      <c r="I26" s="9">
        <v>1</v>
      </c>
      <c r="J26" s="9">
        <v>2</v>
      </c>
      <c r="K26" s="9">
        <v>50</v>
      </c>
      <c r="L26" s="9">
        <v>1.5</v>
      </c>
      <c r="M26" s="9">
        <v>1.5</v>
      </c>
      <c r="N26" s="9">
        <v>100</v>
      </c>
      <c r="O26" s="9">
        <v>0.5</v>
      </c>
      <c r="P26" s="9">
        <v>3</v>
      </c>
      <c r="Q26" s="9">
        <v>3.5</v>
      </c>
      <c r="R26" s="9">
        <v>0.5</v>
      </c>
      <c r="S26" s="9">
        <v>0.5</v>
      </c>
      <c r="T26" s="9">
        <v>0</v>
      </c>
      <c r="U26" s="9">
        <v>1</v>
      </c>
      <c r="V26" s="9">
        <v>1.5</v>
      </c>
      <c r="W26" s="9">
        <f t="shared" si="28"/>
        <v>2</v>
      </c>
      <c r="X26" s="9">
        <f t="shared" si="29"/>
        <v>3.5</v>
      </c>
      <c r="Y26" s="9">
        <f t="shared" si="30"/>
        <v>57.142857142857139</v>
      </c>
      <c r="Z26" s="6">
        <f t="shared" si="31"/>
        <v>0.5</v>
      </c>
      <c r="AA26" s="9">
        <f t="shared" si="32"/>
        <v>81.168831168831161</v>
      </c>
      <c r="AB26" s="6">
        <f t="shared" si="33"/>
        <v>1.6233766233766231</v>
      </c>
      <c r="AC26" s="6">
        <f t="shared" si="34"/>
        <v>1.3966480446927374</v>
      </c>
      <c r="AD26" s="9">
        <f t="shared" si="35"/>
        <v>63.636363636363633</v>
      </c>
      <c r="AE26" s="4">
        <f>100*(AA26/TOTAL_BASIC!$C$81)</f>
        <v>141.98025358506277</v>
      </c>
      <c r="AF26" s="4">
        <f>100*AC26/TOTAL_BASIC!$C$82</f>
        <v>138.0420741744469</v>
      </c>
      <c r="AG26" s="4">
        <f>100*N26/TOTAL_BASIC!$C$87</f>
        <v>131.65322580645162</v>
      </c>
      <c r="AH26" s="4">
        <f>100*AD26/TOTAL_BASIC!$C$86</f>
        <v>124.02276471469223</v>
      </c>
      <c r="AI26" s="3">
        <f t="shared" si="36"/>
        <v>0</v>
      </c>
      <c r="AJ26" s="9">
        <f t="shared" si="37"/>
        <v>13.966480446927374</v>
      </c>
      <c r="AM26" s="4">
        <f t="shared" si="42"/>
        <v>5.2</v>
      </c>
      <c r="AN26" s="4">
        <f t="shared" si="43"/>
        <v>39.4</v>
      </c>
      <c r="AO26" s="4">
        <f t="shared" si="44"/>
        <v>13.100000000000001</v>
      </c>
      <c r="AP26" s="4">
        <f t="shared" si="45"/>
        <v>10.5</v>
      </c>
      <c r="AQ26" s="4">
        <f t="shared" si="46"/>
        <v>86.8</v>
      </c>
      <c r="AR26" s="4">
        <f t="shared" si="47"/>
        <v>55.2</v>
      </c>
      <c r="AS26" s="4">
        <f t="shared" si="48"/>
        <v>26.3</v>
      </c>
      <c r="AT26" s="4">
        <f t="shared" si="49"/>
        <v>89.4</v>
      </c>
      <c r="AU26" s="4">
        <f t="shared" si="50"/>
        <v>76.3</v>
      </c>
      <c r="AV26" s="4">
        <f t="shared" si="50"/>
        <v>55.2</v>
      </c>
      <c r="AW26" s="4">
        <f t="shared" si="50"/>
        <v>86.8</v>
      </c>
      <c r="AX26" s="4">
        <f t="shared" si="50"/>
        <v>13.100000000000001</v>
      </c>
      <c r="AY26" s="4">
        <f t="shared" si="50"/>
        <v>34.200000000000003</v>
      </c>
      <c r="AZ26" s="4">
        <f t="shared" si="50"/>
        <v>28.9</v>
      </c>
      <c r="BA26" s="4">
        <f t="shared" si="50"/>
        <v>0</v>
      </c>
      <c r="BB26" s="4">
        <f t="shared" si="40"/>
        <v>28.9</v>
      </c>
      <c r="BC26" s="4">
        <f t="shared" si="41"/>
        <v>0</v>
      </c>
      <c r="BD26" s="4">
        <f t="shared" si="17"/>
        <v>81.599999999999994</v>
      </c>
      <c r="BE26" s="4">
        <f t="shared" si="18"/>
        <v>94.8</v>
      </c>
      <c r="BF26" s="4">
        <f t="shared" si="19"/>
        <v>10.5</v>
      </c>
      <c r="BG26" s="4">
        <f t="shared" si="20"/>
        <v>5.2</v>
      </c>
      <c r="BH26" s="4">
        <f t="shared" si="21"/>
        <v>84.2</v>
      </c>
      <c r="BI26" s="4">
        <f t="shared" si="22"/>
        <v>5.2</v>
      </c>
      <c r="BJ26" s="4">
        <f t="shared" si="23"/>
        <v>100</v>
      </c>
      <c r="BK26" s="4">
        <f t="shared" si="24"/>
        <v>100</v>
      </c>
      <c r="BL26" s="4">
        <f t="shared" si="25"/>
        <v>100</v>
      </c>
      <c r="BM26" s="4">
        <f t="shared" si="26"/>
        <v>89.4</v>
      </c>
      <c r="BN26" s="4">
        <f t="shared" si="27"/>
        <v>0</v>
      </c>
      <c r="BO26" s="4">
        <f t="shared" si="38"/>
        <v>29</v>
      </c>
    </row>
    <row r="27" spans="1:67" x14ac:dyDescent="0.25">
      <c r="A27" s="2">
        <v>25</v>
      </c>
      <c r="B27" s="5" t="s">
        <v>82</v>
      </c>
      <c r="C27" s="2">
        <v>14</v>
      </c>
      <c r="D27" s="9">
        <v>14.4</v>
      </c>
      <c r="E27" s="9">
        <v>9.6999999999999993</v>
      </c>
      <c r="F27" s="9">
        <v>3.6</v>
      </c>
      <c r="G27" s="9">
        <v>9</v>
      </c>
      <c r="H27" s="9">
        <v>39.700000000000003</v>
      </c>
      <c r="I27" s="9">
        <v>1</v>
      </c>
      <c r="J27" s="9">
        <v>4.0999999999999996</v>
      </c>
      <c r="K27" s="9">
        <v>24.1</v>
      </c>
      <c r="L27" s="9">
        <v>0.9</v>
      </c>
      <c r="M27" s="9">
        <v>1.1000000000000001</v>
      </c>
      <c r="N27" s="9">
        <v>80</v>
      </c>
      <c r="O27" s="9">
        <v>0.7</v>
      </c>
      <c r="P27" s="9">
        <v>4.2</v>
      </c>
      <c r="Q27" s="9">
        <v>4.9000000000000004</v>
      </c>
      <c r="R27" s="9">
        <v>4.7</v>
      </c>
      <c r="S27" s="9">
        <v>0.4</v>
      </c>
      <c r="T27" s="9">
        <v>0.1</v>
      </c>
      <c r="U27" s="9">
        <v>1.9</v>
      </c>
      <c r="V27" s="9">
        <v>1.9</v>
      </c>
      <c r="W27" s="9">
        <f t="shared" si="28"/>
        <v>2.6</v>
      </c>
      <c r="X27" s="9">
        <f t="shared" si="29"/>
        <v>4.9000000000000004</v>
      </c>
      <c r="Y27" s="9">
        <f t="shared" si="30"/>
        <v>53.061224489795919</v>
      </c>
      <c r="Z27" s="6">
        <f t="shared" si="31"/>
        <v>2.4736842105263159</v>
      </c>
      <c r="AA27" s="9">
        <f t="shared" si="32"/>
        <v>51.138760016870513</v>
      </c>
      <c r="AB27" s="6">
        <f t="shared" si="33"/>
        <v>1.0227752003374102</v>
      </c>
      <c r="AC27" s="6">
        <f t="shared" si="34"/>
        <v>0.85207308503162327</v>
      </c>
      <c r="AD27" s="9">
        <f t="shared" si="35"/>
        <v>45.55555555555555</v>
      </c>
      <c r="AE27" s="4">
        <f>100*(AA27/TOTAL_BASIC!$C$81)</f>
        <v>89.451751499522032</v>
      </c>
      <c r="AF27" s="4">
        <f>100*AC27/TOTAL_BASIC!$C$82</f>
        <v>84.217306180285362</v>
      </c>
      <c r="AG27" s="4">
        <f>100*N27/TOTAL_BASIC!$C$87</f>
        <v>105.32258064516128</v>
      </c>
      <c r="AH27" s="4">
        <f>100*AD27/TOTAL_BASIC!$C$86</f>
        <v>88.784550613216169</v>
      </c>
      <c r="AI27" s="3">
        <f t="shared" si="36"/>
        <v>5.2631578947368425E-2</v>
      </c>
      <c r="AJ27" s="9">
        <f t="shared" si="37"/>
        <v>16.690091356289528</v>
      </c>
      <c r="AM27" s="4">
        <f t="shared" si="42"/>
        <v>60.5</v>
      </c>
      <c r="AN27" s="4">
        <f t="shared" si="43"/>
        <v>36.799999999999997</v>
      </c>
      <c r="AO27" s="4">
        <f t="shared" si="44"/>
        <v>31.5</v>
      </c>
      <c r="AP27" s="4">
        <f t="shared" si="45"/>
        <v>36.799999999999997</v>
      </c>
      <c r="AQ27" s="4">
        <f t="shared" si="46"/>
        <v>21</v>
      </c>
      <c r="AR27" s="4">
        <f t="shared" si="47"/>
        <v>55.2</v>
      </c>
      <c r="AS27" s="4">
        <f t="shared" si="48"/>
        <v>71</v>
      </c>
      <c r="AT27" s="4">
        <f t="shared" si="49"/>
        <v>31.5</v>
      </c>
      <c r="AU27" s="4">
        <f t="shared" si="50"/>
        <v>39.4</v>
      </c>
      <c r="AV27" s="4">
        <f t="shared" si="50"/>
        <v>31.5</v>
      </c>
      <c r="AW27" s="4">
        <f t="shared" si="50"/>
        <v>60.5</v>
      </c>
      <c r="AX27" s="4">
        <f t="shared" si="50"/>
        <v>23.599999999999998</v>
      </c>
      <c r="AY27" s="4">
        <f t="shared" si="50"/>
        <v>57.8</v>
      </c>
      <c r="AZ27" s="4">
        <f t="shared" si="50"/>
        <v>52.6</v>
      </c>
      <c r="BA27" s="4">
        <f t="shared" si="50"/>
        <v>94.699999999999989</v>
      </c>
      <c r="BB27" s="4">
        <f t="shared" si="40"/>
        <v>18.399999999999999</v>
      </c>
      <c r="BC27" s="4">
        <f t="shared" si="41"/>
        <v>13.100000000000001</v>
      </c>
      <c r="BD27" s="4">
        <f t="shared" si="17"/>
        <v>21.099999999999994</v>
      </c>
      <c r="BE27" s="4">
        <f t="shared" si="18"/>
        <v>76.400000000000006</v>
      </c>
      <c r="BF27" s="4">
        <f t="shared" si="19"/>
        <v>28.9</v>
      </c>
      <c r="BG27" s="4">
        <f t="shared" si="20"/>
        <v>23.599999999999998</v>
      </c>
      <c r="BH27" s="4">
        <f t="shared" si="21"/>
        <v>68.400000000000006</v>
      </c>
      <c r="BI27" s="4">
        <f t="shared" si="22"/>
        <v>78.900000000000006</v>
      </c>
      <c r="BJ27" s="4">
        <f t="shared" si="23"/>
        <v>23.599999999999998</v>
      </c>
      <c r="BK27" s="4">
        <f t="shared" si="24"/>
        <v>23.599999999999998</v>
      </c>
      <c r="BL27" s="4">
        <f t="shared" si="25"/>
        <v>13.100000000000001</v>
      </c>
      <c r="BM27" s="4">
        <f t="shared" si="26"/>
        <v>21</v>
      </c>
      <c r="BN27" s="4">
        <f t="shared" si="27"/>
        <v>31.5</v>
      </c>
      <c r="BO27" s="4">
        <f t="shared" si="38"/>
        <v>18.5</v>
      </c>
    </row>
    <row r="28" spans="1:67" x14ac:dyDescent="0.25">
      <c r="A28" s="2">
        <v>26</v>
      </c>
      <c r="B28" s="5" t="s">
        <v>87</v>
      </c>
      <c r="C28" s="2">
        <v>12</v>
      </c>
      <c r="D28" s="9">
        <v>12.5</v>
      </c>
      <c r="E28" s="9">
        <v>9.6</v>
      </c>
      <c r="F28" s="9">
        <v>3.8</v>
      </c>
      <c r="G28" s="9">
        <v>8.6999999999999993</v>
      </c>
      <c r="H28" s="9">
        <v>44.2</v>
      </c>
      <c r="I28" s="9">
        <v>0.3</v>
      </c>
      <c r="J28" s="9">
        <v>1.7</v>
      </c>
      <c r="K28" s="9">
        <v>20</v>
      </c>
      <c r="L28" s="9">
        <v>0.9</v>
      </c>
      <c r="M28" s="9">
        <v>1.3</v>
      </c>
      <c r="N28" s="9">
        <v>68.8</v>
      </c>
      <c r="O28" s="9">
        <v>0.8</v>
      </c>
      <c r="P28" s="9">
        <v>2.7</v>
      </c>
      <c r="Q28" s="9">
        <v>3.5</v>
      </c>
      <c r="R28" s="9">
        <v>3.5</v>
      </c>
      <c r="S28" s="9">
        <v>0.6</v>
      </c>
      <c r="T28" s="9">
        <v>0.2</v>
      </c>
      <c r="U28" s="9">
        <v>1.3</v>
      </c>
      <c r="V28" s="9">
        <v>2.1</v>
      </c>
      <c r="W28" s="9">
        <f t="shared" si="28"/>
        <v>3.5</v>
      </c>
      <c r="X28" s="9">
        <f t="shared" si="29"/>
        <v>6.9999999999999991</v>
      </c>
      <c r="Y28" s="9">
        <f t="shared" si="30"/>
        <v>50.000000000000014</v>
      </c>
      <c r="Z28" s="6">
        <f t="shared" si="31"/>
        <v>2.6923076923076921</v>
      </c>
      <c r="AA28" s="9">
        <f t="shared" si="32"/>
        <v>51.768766177739437</v>
      </c>
      <c r="AB28" s="6">
        <f t="shared" si="33"/>
        <v>1.0353753235547887</v>
      </c>
      <c r="AC28" s="6">
        <f t="shared" si="34"/>
        <v>0.90805902383654946</v>
      </c>
      <c r="AD28" s="9">
        <f t="shared" si="35"/>
        <v>45.402298850574716</v>
      </c>
      <c r="AE28" s="4">
        <f>100*(AA28/TOTAL_BASIC!$C$81)</f>
        <v>90.553756212319598</v>
      </c>
      <c r="AF28" s="4">
        <f>100*AC28/TOTAL_BASIC!$C$82</f>
        <v>89.750851404226097</v>
      </c>
      <c r="AG28" s="4">
        <f>100*N28/TOTAL_BASIC!$C$87</f>
        <v>90.57741935483871</v>
      </c>
      <c r="AH28" s="4">
        <f>100*AD28/TOTAL_BASIC!$C$86</f>
        <v>88.485864151943815</v>
      </c>
      <c r="AI28" s="3">
        <f t="shared" si="36"/>
        <v>9.5238095238095233E-2</v>
      </c>
      <c r="AJ28" s="9">
        <f t="shared" si="37"/>
        <v>12.296632614453273</v>
      </c>
      <c r="AM28" s="4">
        <f t="shared" si="42"/>
        <v>42.1</v>
      </c>
      <c r="AN28" s="4">
        <f t="shared" si="43"/>
        <v>34.200000000000003</v>
      </c>
      <c r="AO28" s="4">
        <f t="shared" si="44"/>
        <v>36.799999999999997</v>
      </c>
      <c r="AP28" s="4">
        <f t="shared" si="45"/>
        <v>34.200000000000003</v>
      </c>
      <c r="AQ28" s="4">
        <f t="shared" si="46"/>
        <v>39.4</v>
      </c>
      <c r="AR28" s="4">
        <f t="shared" si="47"/>
        <v>15.7</v>
      </c>
      <c r="AS28" s="4">
        <f t="shared" si="48"/>
        <v>21</v>
      </c>
      <c r="AT28" s="4">
        <f t="shared" si="49"/>
        <v>13.100000000000001</v>
      </c>
      <c r="AU28" s="4">
        <f t="shared" si="50"/>
        <v>39.4</v>
      </c>
      <c r="AV28" s="4">
        <f t="shared" si="50"/>
        <v>42.1</v>
      </c>
      <c r="AW28" s="4">
        <f t="shared" si="50"/>
        <v>28.9</v>
      </c>
      <c r="AX28" s="4">
        <f t="shared" si="50"/>
        <v>34.200000000000003</v>
      </c>
      <c r="AY28" s="4">
        <f t="shared" si="50"/>
        <v>26.3</v>
      </c>
      <c r="AZ28" s="4">
        <f t="shared" si="50"/>
        <v>28.9</v>
      </c>
      <c r="BA28" s="4">
        <f t="shared" si="50"/>
        <v>84.2</v>
      </c>
      <c r="BB28" s="4">
        <f t="shared" si="40"/>
        <v>42.1</v>
      </c>
      <c r="BC28" s="4">
        <f t="shared" si="41"/>
        <v>36.799999999999997</v>
      </c>
      <c r="BD28" s="4">
        <f t="shared" si="17"/>
        <v>68.5</v>
      </c>
      <c r="BE28" s="4">
        <f t="shared" si="18"/>
        <v>68.5</v>
      </c>
      <c r="BF28" s="4">
        <f t="shared" si="19"/>
        <v>52.6</v>
      </c>
      <c r="BG28" s="4">
        <f t="shared" si="20"/>
        <v>50</v>
      </c>
      <c r="BH28" s="4">
        <f t="shared" si="21"/>
        <v>50</v>
      </c>
      <c r="BI28" s="4">
        <f t="shared" si="22"/>
        <v>89.4</v>
      </c>
      <c r="BJ28" s="4">
        <f t="shared" si="23"/>
        <v>26.3</v>
      </c>
      <c r="BK28" s="4">
        <f t="shared" si="24"/>
        <v>26.3</v>
      </c>
      <c r="BL28" s="4">
        <f t="shared" si="25"/>
        <v>31.5</v>
      </c>
      <c r="BM28" s="4">
        <f t="shared" si="26"/>
        <v>18.399999999999999</v>
      </c>
      <c r="BN28" s="4">
        <f t="shared" si="27"/>
        <v>36.799999999999997</v>
      </c>
      <c r="BO28" s="4">
        <f t="shared" si="38"/>
        <v>39.5</v>
      </c>
    </row>
    <row r="29" spans="1:67" x14ac:dyDescent="0.25">
      <c r="A29" s="2">
        <v>27</v>
      </c>
      <c r="B29" s="5" t="s">
        <v>91</v>
      </c>
      <c r="C29" s="2">
        <v>11</v>
      </c>
      <c r="D29" s="9">
        <v>9.3000000000000007</v>
      </c>
      <c r="E29" s="9">
        <v>9.5</v>
      </c>
      <c r="F29" s="9">
        <v>3.6</v>
      </c>
      <c r="G29" s="9">
        <v>8.1999999999999993</v>
      </c>
      <c r="H29" s="9">
        <v>44.4</v>
      </c>
      <c r="I29" s="9">
        <v>0.7</v>
      </c>
      <c r="J29" s="9">
        <v>2.2000000000000002</v>
      </c>
      <c r="K29" s="9">
        <v>33.299999999999997</v>
      </c>
      <c r="L29" s="9">
        <v>0.8</v>
      </c>
      <c r="M29" s="9">
        <v>1.4</v>
      </c>
      <c r="N29" s="9">
        <v>60</v>
      </c>
      <c r="O29" s="9">
        <v>0.8</v>
      </c>
      <c r="P29" s="9">
        <v>3.5</v>
      </c>
      <c r="Q29" s="9">
        <v>4.4000000000000004</v>
      </c>
      <c r="R29" s="9">
        <v>1.8</v>
      </c>
      <c r="S29" s="9">
        <v>1.6</v>
      </c>
      <c r="T29" s="9">
        <v>0.3</v>
      </c>
      <c r="U29" s="9">
        <v>1.9</v>
      </c>
      <c r="V29" s="9">
        <v>2.8</v>
      </c>
      <c r="W29" s="9">
        <f t="shared" si="28"/>
        <v>2.9000000000000004</v>
      </c>
      <c r="X29" s="9">
        <f t="shared" si="29"/>
        <v>5.9999999999999991</v>
      </c>
      <c r="Y29" s="9">
        <f t="shared" si="30"/>
        <v>48.333333333333343</v>
      </c>
      <c r="Z29" s="6">
        <f t="shared" si="31"/>
        <v>0.94736842105263164</v>
      </c>
      <c r="AA29" s="9">
        <f t="shared" si="32"/>
        <v>53.879310344827594</v>
      </c>
      <c r="AB29" s="6">
        <f t="shared" si="33"/>
        <v>1.0775862068965518</v>
      </c>
      <c r="AC29" s="6">
        <f t="shared" si="34"/>
        <v>0.88652482269503552</v>
      </c>
      <c r="AD29" s="9">
        <f t="shared" si="35"/>
        <v>48.170731707317074</v>
      </c>
      <c r="AE29" s="4">
        <f>100*(AA29/TOTAL_BASIC!$C$81)</f>
        <v>94.24551315560204</v>
      </c>
      <c r="AF29" s="4">
        <f>100*AC29/TOTAL_BASIC!$C$82</f>
        <v>87.622451337680843</v>
      </c>
      <c r="AG29" s="4">
        <f>100*N29/TOTAL_BASIC!$C$87</f>
        <v>78.991935483870961</v>
      </c>
      <c r="AH29" s="4">
        <f>100*AD29/TOTAL_BASIC!$C$86</f>
        <v>93.881343673403791</v>
      </c>
      <c r="AI29" s="3">
        <f t="shared" si="36"/>
        <v>0.10714285714285715</v>
      </c>
      <c r="AJ29" s="9">
        <f t="shared" si="37"/>
        <v>17.730496453900709</v>
      </c>
      <c r="AM29" s="4">
        <f t="shared" si="42"/>
        <v>10.5</v>
      </c>
      <c r="AN29" s="4">
        <f t="shared" si="43"/>
        <v>31.5</v>
      </c>
      <c r="AO29" s="4">
        <f t="shared" si="44"/>
        <v>31.5</v>
      </c>
      <c r="AP29" s="4">
        <f t="shared" si="45"/>
        <v>28.9</v>
      </c>
      <c r="AQ29" s="4">
        <f t="shared" si="46"/>
        <v>42.1</v>
      </c>
      <c r="AR29" s="4">
        <f t="shared" si="47"/>
        <v>36.799999999999997</v>
      </c>
      <c r="AS29" s="4">
        <f t="shared" si="48"/>
        <v>34.200000000000003</v>
      </c>
      <c r="AT29" s="4">
        <f t="shared" si="49"/>
        <v>50</v>
      </c>
      <c r="AU29" s="4">
        <f t="shared" si="50"/>
        <v>34.200000000000003</v>
      </c>
      <c r="AV29" s="4">
        <f t="shared" si="50"/>
        <v>44.7</v>
      </c>
      <c r="AW29" s="4">
        <f t="shared" si="50"/>
        <v>13.100000000000001</v>
      </c>
      <c r="AX29" s="4">
        <f t="shared" si="50"/>
        <v>34.200000000000003</v>
      </c>
      <c r="AY29" s="4">
        <f t="shared" si="50"/>
        <v>42.1</v>
      </c>
      <c r="AZ29" s="4">
        <f t="shared" si="50"/>
        <v>47.3</v>
      </c>
      <c r="BA29" s="4">
        <f t="shared" si="50"/>
        <v>39.4</v>
      </c>
      <c r="BB29" s="4">
        <f t="shared" si="40"/>
        <v>97.3</v>
      </c>
      <c r="BC29" s="4">
        <f t="shared" si="41"/>
        <v>44.7</v>
      </c>
      <c r="BD29" s="4">
        <f t="shared" si="17"/>
        <v>21.099999999999994</v>
      </c>
      <c r="BE29" s="4">
        <f t="shared" si="18"/>
        <v>34.299999999999997</v>
      </c>
      <c r="BF29" s="4">
        <f t="shared" ref="BF29:BF41" si="51">(PERCENTRANK(W$3:W$78,W29))*100</f>
        <v>31.5</v>
      </c>
      <c r="BG29" s="4">
        <f t="shared" ref="BG29:BG41" si="52">(PERCENTRANK(X$3:X$78,X29))*100</f>
        <v>36.799999999999997</v>
      </c>
      <c r="BH29" s="4">
        <f t="shared" ref="BH29:BH41" si="53">(PERCENTRANK(Y$3:Y$78,Y29))*100</f>
        <v>36.799999999999997</v>
      </c>
      <c r="BI29" s="4">
        <f t="shared" ref="BI29:BI41" si="54">(PERCENTRANK(Z$3:Z$78,Z29))*100</f>
        <v>28.9</v>
      </c>
      <c r="BJ29" s="4">
        <f t="shared" ref="BJ29:BJ41" si="55">(PERCENTRANK(AA$3:AA$78,AA29))*100</f>
        <v>39.4</v>
      </c>
      <c r="BK29" s="4">
        <f t="shared" ref="BK29:BK41" si="56">(PERCENTRANK(AB$3:AB$78,AB29))*100</f>
        <v>39.4</v>
      </c>
      <c r="BL29" s="4">
        <f t="shared" ref="BL29:BL41" si="57">(PERCENTRANK(AC$3:AC$78,AC29))*100</f>
        <v>23.599999999999998</v>
      </c>
      <c r="BM29" s="4">
        <f t="shared" ref="BM29:BM41" si="58">(PERCENTRANK(AD$3:AD$78,AD29))*100</f>
        <v>34.200000000000003</v>
      </c>
      <c r="BN29" s="4">
        <f t="shared" si="27"/>
        <v>44.7</v>
      </c>
      <c r="BO29" s="4">
        <f t="shared" si="38"/>
        <v>13.200000000000003</v>
      </c>
    </row>
    <row r="30" spans="1:67" x14ac:dyDescent="0.25">
      <c r="A30" s="2">
        <v>28</v>
      </c>
      <c r="B30" s="5" t="s">
        <v>83</v>
      </c>
      <c r="C30" s="2">
        <v>14</v>
      </c>
      <c r="D30" s="9">
        <v>10.199999999999999</v>
      </c>
      <c r="E30" s="9">
        <v>9.4</v>
      </c>
      <c r="F30" s="9">
        <v>4.0999999999999996</v>
      </c>
      <c r="G30" s="9">
        <v>8.4</v>
      </c>
      <c r="H30" s="9">
        <v>48.7</v>
      </c>
      <c r="I30" s="9">
        <v>0.4</v>
      </c>
      <c r="J30" s="9">
        <v>1.1000000000000001</v>
      </c>
      <c r="K30" s="9">
        <v>40</v>
      </c>
      <c r="L30" s="9">
        <v>0.4</v>
      </c>
      <c r="M30" s="9">
        <v>0.4</v>
      </c>
      <c r="N30" s="9">
        <v>100</v>
      </c>
      <c r="O30" s="9">
        <v>0.2</v>
      </c>
      <c r="P30" s="9">
        <v>3.9</v>
      </c>
      <c r="Q30" s="9">
        <v>4.0999999999999996</v>
      </c>
      <c r="R30" s="9">
        <v>4.5999999999999996</v>
      </c>
      <c r="S30" s="9">
        <v>0.4</v>
      </c>
      <c r="T30" s="9">
        <v>0.1</v>
      </c>
      <c r="U30" s="9">
        <v>0.8</v>
      </c>
      <c r="V30" s="9">
        <v>2.1</v>
      </c>
      <c r="W30" s="9">
        <f t="shared" si="28"/>
        <v>3.6999999999999997</v>
      </c>
      <c r="X30" s="9">
        <f t="shared" si="29"/>
        <v>7.3000000000000007</v>
      </c>
      <c r="Y30" s="9">
        <f t="shared" si="30"/>
        <v>50.68493150684931</v>
      </c>
      <c r="Z30" s="6">
        <f t="shared" si="31"/>
        <v>5.7499999999999991</v>
      </c>
      <c r="AA30" s="9">
        <f t="shared" si="32"/>
        <v>54.804104477611936</v>
      </c>
      <c r="AB30" s="6">
        <f t="shared" si="33"/>
        <v>1.0960820895522387</v>
      </c>
      <c r="AC30" s="6">
        <f t="shared" si="34"/>
        <v>1.0025597269624573</v>
      </c>
      <c r="AD30" s="9">
        <f t="shared" si="35"/>
        <v>51.19047619047619</v>
      </c>
      <c r="AE30" s="4">
        <f>100*(AA30/TOTAL_BASIC!$C$81)</f>
        <v>95.863160023198162</v>
      </c>
      <c r="AF30" s="4">
        <f>100*AC30/TOTAL_BASIC!$C$82</f>
        <v>99.09112372266398</v>
      </c>
      <c r="AG30" s="4">
        <f>100*N30/TOTAL_BASIC!$C$87</f>
        <v>131.65322580645162</v>
      </c>
      <c r="AH30" s="4">
        <f>100*AD30/TOTAL_BASIC!$C$86</f>
        <v>99.766611751784737</v>
      </c>
      <c r="AI30" s="3">
        <f t="shared" si="36"/>
        <v>4.7619047619047616E-2</v>
      </c>
      <c r="AJ30" s="9">
        <f t="shared" si="37"/>
        <v>8.5324232081911244</v>
      </c>
      <c r="AM30" s="4">
        <f t="shared" si="42"/>
        <v>21</v>
      </c>
      <c r="AN30" s="4">
        <f t="shared" si="43"/>
        <v>28.9</v>
      </c>
      <c r="AO30" s="4">
        <f t="shared" si="44"/>
        <v>39.4</v>
      </c>
      <c r="AP30" s="4">
        <f t="shared" si="45"/>
        <v>31.5</v>
      </c>
      <c r="AQ30" s="4">
        <f t="shared" si="46"/>
        <v>68.400000000000006</v>
      </c>
      <c r="AR30" s="4">
        <f t="shared" si="47"/>
        <v>18.399999999999999</v>
      </c>
      <c r="AS30" s="4">
        <f t="shared" si="48"/>
        <v>18.399999999999999</v>
      </c>
      <c r="AT30" s="4">
        <f t="shared" si="49"/>
        <v>78.900000000000006</v>
      </c>
      <c r="AU30" s="4">
        <f t="shared" si="50"/>
        <v>10.5</v>
      </c>
      <c r="AV30" s="4">
        <f t="shared" si="50"/>
        <v>7.8</v>
      </c>
      <c r="AW30" s="4">
        <f t="shared" si="50"/>
        <v>86.8</v>
      </c>
      <c r="AX30" s="4">
        <f t="shared" si="50"/>
        <v>5.2</v>
      </c>
      <c r="AY30" s="4">
        <f t="shared" si="50"/>
        <v>50</v>
      </c>
      <c r="AZ30" s="4">
        <f t="shared" si="50"/>
        <v>36.799999999999997</v>
      </c>
      <c r="BA30" s="4">
        <f t="shared" si="50"/>
        <v>92.100000000000009</v>
      </c>
      <c r="BB30" s="4">
        <f t="shared" si="40"/>
        <v>18.399999999999999</v>
      </c>
      <c r="BC30" s="4">
        <f t="shared" si="41"/>
        <v>13.100000000000001</v>
      </c>
      <c r="BD30" s="4">
        <f t="shared" si="17"/>
        <v>89.5</v>
      </c>
      <c r="BE30" s="4">
        <f t="shared" si="18"/>
        <v>68.5</v>
      </c>
      <c r="BF30" s="4">
        <f t="shared" si="51"/>
        <v>55.2</v>
      </c>
      <c r="BG30" s="4">
        <f t="shared" si="52"/>
        <v>55.2</v>
      </c>
      <c r="BH30" s="4">
        <f t="shared" si="53"/>
        <v>52.6</v>
      </c>
      <c r="BI30" s="4">
        <f t="shared" si="54"/>
        <v>100</v>
      </c>
      <c r="BJ30" s="4">
        <f t="shared" si="55"/>
        <v>57.8</v>
      </c>
      <c r="BK30" s="4">
        <f t="shared" si="56"/>
        <v>57.8</v>
      </c>
      <c r="BL30" s="4">
        <f t="shared" si="57"/>
        <v>63.1</v>
      </c>
      <c r="BM30" s="4">
        <f t="shared" si="58"/>
        <v>63.1</v>
      </c>
      <c r="BN30" s="4">
        <f t="shared" si="27"/>
        <v>28.9</v>
      </c>
      <c r="BO30" s="4">
        <f t="shared" si="38"/>
        <v>79</v>
      </c>
    </row>
    <row r="31" spans="1:67" x14ac:dyDescent="0.25">
      <c r="A31" s="2">
        <v>29</v>
      </c>
      <c r="B31" s="5" t="s">
        <v>99</v>
      </c>
      <c r="C31" s="2">
        <v>6</v>
      </c>
      <c r="D31" s="9">
        <v>13</v>
      </c>
      <c r="E31" s="9">
        <v>8.6999999999999993</v>
      </c>
      <c r="F31" s="9">
        <v>3.3</v>
      </c>
      <c r="G31" s="9">
        <v>9.1999999999999993</v>
      </c>
      <c r="H31" s="9">
        <v>36.4</v>
      </c>
      <c r="I31" s="9">
        <v>1</v>
      </c>
      <c r="J31" s="9">
        <v>5</v>
      </c>
      <c r="K31" s="9">
        <v>20</v>
      </c>
      <c r="L31" s="9">
        <v>0.5</v>
      </c>
      <c r="M31" s="9">
        <v>0.7</v>
      </c>
      <c r="N31" s="9">
        <v>75</v>
      </c>
      <c r="O31" s="9">
        <v>0.7</v>
      </c>
      <c r="P31" s="9">
        <v>4.5</v>
      </c>
      <c r="Q31" s="9">
        <v>5.2</v>
      </c>
      <c r="R31" s="9">
        <v>0.8</v>
      </c>
      <c r="S31" s="9">
        <v>1.2</v>
      </c>
      <c r="T31" s="9">
        <v>0</v>
      </c>
      <c r="U31" s="9">
        <v>1.2</v>
      </c>
      <c r="V31" s="9">
        <v>2.5</v>
      </c>
      <c r="W31" s="9">
        <f t="shared" si="28"/>
        <v>2.2999999999999998</v>
      </c>
      <c r="X31" s="9">
        <f t="shared" si="29"/>
        <v>4.1999999999999993</v>
      </c>
      <c r="Y31" s="9">
        <f t="shared" si="30"/>
        <v>54.761904761904766</v>
      </c>
      <c r="Z31" s="6">
        <f t="shared" si="31"/>
        <v>0.66666666666666674</v>
      </c>
      <c r="AA31" s="9">
        <f t="shared" si="32"/>
        <v>45.750946571308369</v>
      </c>
      <c r="AB31" s="6">
        <f t="shared" si="33"/>
        <v>0.91501893142616741</v>
      </c>
      <c r="AC31" s="6">
        <f t="shared" si="34"/>
        <v>0.81247665296974225</v>
      </c>
      <c r="AD31" s="9">
        <f t="shared" si="35"/>
        <v>41.304347826086961</v>
      </c>
      <c r="AE31" s="4">
        <f>100*(AA31/TOTAL_BASIC!$C$81)</f>
        <v>80.027405870116581</v>
      </c>
      <c r="AF31" s="4">
        <f>100*AC31/TOTAL_BASIC!$C$82</f>
        <v>80.303669074286944</v>
      </c>
      <c r="AG31" s="4">
        <f>100*N31/TOTAL_BASIC!$C$87</f>
        <v>98.739919354838705</v>
      </c>
      <c r="AH31" s="4">
        <f>100*AD31/TOTAL_BASIC!$C$86</f>
        <v>80.49924790487789</v>
      </c>
      <c r="AI31" s="3">
        <f t="shared" si="36"/>
        <v>0</v>
      </c>
      <c r="AJ31" s="9">
        <f t="shared" si="37"/>
        <v>11.206574523720585</v>
      </c>
      <c r="AM31" s="4">
        <f t="shared" si="42"/>
        <v>47.3</v>
      </c>
      <c r="AN31" s="4">
        <f t="shared" si="43"/>
        <v>26.3</v>
      </c>
      <c r="AO31" s="4">
        <f t="shared" si="44"/>
        <v>28.9</v>
      </c>
      <c r="AP31" s="4">
        <f t="shared" si="45"/>
        <v>42.1</v>
      </c>
      <c r="AQ31" s="4">
        <f t="shared" si="46"/>
        <v>7.8</v>
      </c>
      <c r="AR31" s="4">
        <f t="shared" si="47"/>
        <v>55.2</v>
      </c>
      <c r="AS31" s="4">
        <f t="shared" si="48"/>
        <v>81.5</v>
      </c>
      <c r="AT31" s="4">
        <f t="shared" si="49"/>
        <v>13.100000000000001</v>
      </c>
      <c r="AU31" s="4">
        <f t="shared" si="50"/>
        <v>18.399999999999999</v>
      </c>
      <c r="AV31" s="4">
        <f t="shared" si="50"/>
        <v>18.399999999999999</v>
      </c>
      <c r="AW31" s="4">
        <f t="shared" si="50"/>
        <v>42.1</v>
      </c>
      <c r="AX31" s="4">
        <f t="shared" si="50"/>
        <v>23.599999999999998</v>
      </c>
      <c r="AY31" s="4">
        <f t="shared" si="50"/>
        <v>63.1</v>
      </c>
      <c r="AZ31" s="4">
        <f t="shared" si="50"/>
        <v>57.8</v>
      </c>
      <c r="BA31" s="4">
        <f t="shared" si="50"/>
        <v>10.5</v>
      </c>
      <c r="BB31" s="4">
        <f t="shared" si="40"/>
        <v>81.5</v>
      </c>
      <c r="BC31" s="4">
        <f t="shared" si="41"/>
        <v>0</v>
      </c>
      <c r="BD31" s="4">
        <f t="shared" si="17"/>
        <v>73.7</v>
      </c>
      <c r="BE31" s="4">
        <f t="shared" si="18"/>
        <v>42.2</v>
      </c>
      <c r="BF31" s="4">
        <f t="shared" si="51"/>
        <v>15.7</v>
      </c>
      <c r="BG31" s="4">
        <f t="shared" si="52"/>
        <v>10.5</v>
      </c>
      <c r="BH31" s="4">
        <f t="shared" si="53"/>
        <v>73.599999999999994</v>
      </c>
      <c r="BI31" s="4">
        <f t="shared" si="54"/>
        <v>13.100000000000001</v>
      </c>
      <c r="BJ31" s="4">
        <f t="shared" si="55"/>
        <v>7.8</v>
      </c>
      <c r="BK31" s="4">
        <f t="shared" si="56"/>
        <v>7.8</v>
      </c>
      <c r="BL31" s="4">
        <f t="shared" si="57"/>
        <v>7.8</v>
      </c>
      <c r="BM31" s="4">
        <f t="shared" si="58"/>
        <v>7.8</v>
      </c>
      <c r="BN31" s="4">
        <f t="shared" si="27"/>
        <v>0</v>
      </c>
      <c r="BO31" s="4">
        <f t="shared" si="38"/>
        <v>52.7</v>
      </c>
    </row>
    <row r="32" spans="1:67" x14ac:dyDescent="0.25">
      <c r="A32" s="2">
        <v>30</v>
      </c>
      <c r="B32" s="5" t="s">
        <v>88</v>
      </c>
      <c r="C32" s="2">
        <v>13</v>
      </c>
      <c r="D32" s="9">
        <v>9.6</v>
      </c>
      <c r="E32" s="9">
        <v>8.5</v>
      </c>
      <c r="F32" s="9">
        <v>2.9</v>
      </c>
      <c r="G32" s="9">
        <v>7.8</v>
      </c>
      <c r="H32" s="9">
        <v>37.6</v>
      </c>
      <c r="I32" s="9">
        <v>0.7</v>
      </c>
      <c r="J32" s="9">
        <v>2.2000000000000002</v>
      </c>
      <c r="K32" s="9">
        <v>32.1</v>
      </c>
      <c r="L32" s="9">
        <v>1</v>
      </c>
      <c r="M32" s="9">
        <v>1.5</v>
      </c>
      <c r="N32" s="9">
        <v>68.400000000000006</v>
      </c>
      <c r="O32" s="9">
        <v>0.6</v>
      </c>
      <c r="P32" s="9">
        <v>1.8</v>
      </c>
      <c r="Q32" s="9">
        <v>2.5</v>
      </c>
      <c r="R32" s="9">
        <v>1.5</v>
      </c>
      <c r="S32" s="9">
        <v>0.7</v>
      </c>
      <c r="T32" s="9">
        <v>0.5</v>
      </c>
      <c r="U32" s="9">
        <v>1</v>
      </c>
      <c r="V32" s="9">
        <v>1.4</v>
      </c>
      <c r="W32" s="9">
        <f t="shared" si="28"/>
        <v>2.2000000000000002</v>
      </c>
      <c r="X32" s="9">
        <f t="shared" si="29"/>
        <v>5.6</v>
      </c>
      <c r="Y32" s="9">
        <f t="shared" si="30"/>
        <v>39.285714285714292</v>
      </c>
      <c r="Z32" s="6">
        <f t="shared" si="31"/>
        <v>1.5</v>
      </c>
      <c r="AA32" s="9">
        <f t="shared" si="32"/>
        <v>50.236406619385349</v>
      </c>
      <c r="AB32" s="6">
        <f t="shared" si="33"/>
        <v>1.0047281323877071</v>
      </c>
      <c r="AC32" s="6">
        <f t="shared" si="34"/>
        <v>0.89852008456659627</v>
      </c>
      <c r="AD32" s="9">
        <f t="shared" si="35"/>
        <v>41.666666666666664</v>
      </c>
      <c r="AE32" s="4">
        <f>100*(AA32/TOTAL_BASIC!$C$81)</f>
        <v>87.873357892599145</v>
      </c>
      <c r="AF32" s="4">
        <f>100*AC32/TOTAL_BASIC!$C$82</f>
        <v>88.808040531256239</v>
      </c>
      <c r="AG32" s="4">
        <f>100*N32/TOTAL_BASIC!$C$87</f>
        <v>90.050806451612914</v>
      </c>
      <c r="AH32" s="4">
        <f>100*AD32/TOTAL_BASIC!$C$86</f>
        <v>81.205381658429431</v>
      </c>
      <c r="AI32" s="3">
        <f t="shared" si="36"/>
        <v>0.35714285714285715</v>
      </c>
      <c r="AJ32" s="9">
        <f t="shared" si="37"/>
        <v>10.570824524312897</v>
      </c>
      <c r="AM32" s="4">
        <f t="shared" si="42"/>
        <v>18.399999999999999</v>
      </c>
      <c r="AN32" s="4">
        <f t="shared" si="43"/>
        <v>23.599999999999998</v>
      </c>
      <c r="AO32" s="4">
        <f t="shared" si="44"/>
        <v>10.5</v>
      </c>
      <c r="AP32" s="4">
        <f t="shared" si="45"/>
        <v>26.3</v>
      </c>
      <c r="AQ32" s="4">
        <f t="shared" si="46"/>
        <v>10.5</v>
      </c>
      <c r="AR32" s="4">
        <f t="shared" si="47"/>
        <v>36.799999999999997</v>
      </c>
      <c r="AS32" s="4">
        <f t="shared" si="48"/>
        <v>34.200000000000003</v>
      </c>
      <c r="AT32" s="4">
        <f t="shared" si="49"/>
        <v>47.3</v>
      </c>
      <c r="AU32" s="4">
        <f t="shared" si="50"/>
        <v>44.7</v>
      </c>
      <c r="AV32" s="4">
        <f t="shared" si="50"/>
        <v>55.2</v>
      </c>
      <c r="AW32" s="4">
        <f t="shared" si="50"/>
        <v>26.3</v>
      </c>
      <c r="AX32" s="4">
        <f t="shared" si="50"/>
        <v>21</v>
      </c>
      <c r="AY32" s="4">
        <f t="shared" si="50"/>
        <v>7.8</v>
      </c>
      <c r="AZ32" s="4">
        <f t="shared" si="50"/>
        <v>5.2</v>
      </c>
      <c r="BA32" s="4">
        <f t="shared" si="50"/>
        <v>28.9</v>
      </c>
      <c r="BB32" s="4">
        <f t="shared" si="40"/>
        <v>55.2</v>
      </c>
      <c r="BC32" s="4">
        <f t="shared" si="41"/>
        <v>84.2</v>
      </c>
      <c r="BD32" s="4">
        <f t="shared" si="17"/>
        <v>81.599999999999994</v>
      </c>
      <c r="BE32" s="4">
        <f t="shared" si="18"/>
        <v>97.4</v>
      </c>
      <c r="BF32" s="4">
        <f t="shared" si="51"/>
        <v>13.100000000000001</v>
      </c>
      <c r="BG32" s="4">
        <f t="shared" si="52"/>
        <v>34.200000000000003</v>
      </c>
      <c r="BH32" s="4">
        <f t="shared" si="53"/>
        <v>2.6</v>
      </c>
      <c r="BI32" s="4">
        <f t="shared" si="54"/>
        <v>52.6</v>
      </c>
      <c r="BJ32" s="4">
        <f t="shared" si="55"/>
        <v>18.399999999999999</v>
      </c>
      <c r="BK32" s="4">
        <f t="shared" si="56"/>
        <v>18.399999999999999</v>
      </c>
      <c r="BL32" s="4">
        <f t="shared" si="57"/>
        <v>28.9</v>
      </c>
      <c r="BM32" s="4">
        <f t="shared" si="58"/>
        <v>10.5</v>
      </c>
      <c r="BN32" s="4">
        <f t="shared" si="27"/>
        <v>89.4</v>
      </c>
      <c r="BO32" s="4">
        <f t="shared" si="38"/>
        <v>55.3</v>
      </c>
    </row>
    <row r="33" spans="1:67" x14ac:dyDescent="0.25">
      <c r="A33" s="2">
        <v>31</v>
      </c>
      <c r="B33" s="5" t="s">
        <v>85</v>
      </c>
      <c r="C33" s="2">
        <v>14</v>
      </c>
      <c r="D33" s="9">
        <v>9.3000000000000007</v>
      </c>
      <c r="E33" s="9">
        <v>8.4</v>
      </c>
      <c r="F33" s="9">
        <v>3.2</v>
      </c>
      <c r="G33" s="9">
        <v>6.4</v>
      </c>
      <c r="H33" s="9">
        <v>50.6</v>
      </c>
      <c r="I33" s="9">
        <v>0</v>
      </c>
      <c r="J33" s="9">
        <v>0.2</v>
      </c>
      <c r="K33" s="9">
        <v>0</v>
      </c>
      <c r="L33" s="9">
        <v>1.2</v>
      </c>
      <c r="M33" s="9">
        <v>1.6</v>
      </c>
      <c r="N33" s="9">
        <v>73.900000000000006</v>
      </c>
      <c r="O33" s="9">
        <v>1.9</v>
      </c>
      <c r="P33" s="9">
        <v>2.4</v>
      </c>
      <c r="Q33" s="9">
        <v>4.3</v>
      </c>
      <c r="R33" s="9">
        <v>0.6</v>
      </c>
      <c r="S33" s="9">
        <v>0.4</v>
      </c>
      <c r="T33" s="9">
        <v>0.6</v>
      </c>
      <c r="U33" s="9">
        <v>1.4</v>
      </c>
      <c r="V33" s="9">
        <v>2.6</v>
      </c>
      <c r="W33" s="9">
        <f t="shared" si="28"/>
        <v>3.2</v>
      </c>
      <c r="X33" s="9">
        <f t="shared" si="29"/>
        <v>6.2</v>
      </c>
      <c r="Y33" s="9">
        <f t="shared" si="30"/>
        <v>51.612903225806448</v>
      </c>
      <c r="Z33" s="6">
        <f t="shared" si="31"/>
        <v>0.4285714285714286</v>
      </c>
      <c r="AA33" s="9">
        <f t="shared" si="32"/>
        <v>59.121621621621621</v>
      </c>
      <c r="AB33" s="6">
        <f t="shared" si="33"/>
        <v>1.1824324324324325</v>
      </c>
      <c r="AC33" s="6">
        <f t="shared" si="34"/>
        <v>0.98777046095954857</v>
      </c>
      <c r="AD33" s="9">
        <f t="shared" si="35"/>
        <v>50</v>
      </c>
      <c r="AE33" s="4">
        <f>100*(AA33/TOTAL_BASIC!$C$81)</f>
        <v>103.41534686803897</v>
      </c>
      <c r="AF33" s="4">
        <f>100*AC33/TOTAL_BASIC!$C$82</f>
        <v>97.629380399199619</v>
      </c>
      <c r="AG33" s="4">
        <f>100*N33/TOTAL_BASIC!$C$87</f>
        <v>97.291733870967747</v>
      </c>
      <c r="AH33" s="4">
        <f>100*AD33/TOTAL_BASIC!$C$86</f>
        <v>97.44645799011532</v>
      </c>
      <c r="AI33" s="3">
        <f t="shared" si="36"/>
        <v>0.23076923076923075</v>
      </c>
      <c r="AJ33" s="9">
        <f t="shared" si="37"/>
        <v>16.462841015992474</v>
      </c>
      <c r="AM33" s="4">
        <f t="shared" si="42"/>
        <v>10.5</v>
      </c>
      <c r="AN33" s="4">
        <f t="shared" si="43"/>
        <v>18.399999999999999</v>
      </c>
      <c r="AO33" s="4">
        <f t="shared" si="44"/>
        <v>21</v>
      </c>
      <c r="AP33" s="4">
        <f t="shared" si="45"/>
        <v>18.399999999999999</v>
      </c>
      <c r="AQ33" s="4">
        <f t="shared" si="46"/>
        <v>76.3</v>
      </c>
      <c r="AR33" s="4">
        <f t="shared" si="47"/>
        <v>0</v>
      </c>
      <c r="AS33" s="4">
        <f t="shared" si="48"/>
        <v>7.8</v>
      </c>
      <c r="AT33" s="4">
        <f t="shared" si="49"/>
        <v>0</v>
      </c>
      <c r="AU33" s="4">
        <f t="shared" si="50"/>
        <v>60.5</v>
      </c>
      <c r="AV33" s="4">
        <f t="shared" si="50"/>
        <v>65.7</v>
      </c>
      <c r="AW33" s="4">
        <f t="shared" si="50"/>
        <v>39.4</v>
      </c>
      <c r="AX33" s="4">
        <f t="shared" si="50"/>
        <v>92.100000000000009</v>
      </c>
      <c r="AY33" s="4">
        <f t="shared" si="50"/>
        <v>21</v>
      </c>
      <c r="AZ33" s="4">
        <f t="shared" si="50"/>
        <v>42.1</v>
      </c>
      <c r="BA33" s="4">
        <f t="shared" si="50"/>
        <v>2.6</v>
      </c>
      <c r="BB33" s="4">
        <f t="shared" si="40"/>
        <v>18.399999999999999</v>
      </c>
      <c r="BC33" s="4">
        <f t="shared" si="41"/>
        <v>86.8</v>
      </c>
      <c r="BD33" s="4">
        <f t="shared" si="17"/>
        <v>63.2</v>
      </c>
      <c r="BE33" s="4">
        <f t="shared" si="18"/>
        <v>39.5</v>
      </c>
      <c r="BF33" s="4">
        <f t="shared" si="51"/>
        <v>44.7</v>
      </c>
      <c r="BG33" s="4">
        <f t="shared" si="52"/>
        <v>39.4</v>
      </c>
      <c r="BH33" s="4">
        <f t="shared" si="53"/>
        <v>60.5</v>
      </c>
      <c r="BI33" s="4">
        <f t="shared" si="54"/>
        <v>2.6</v>
      </c>
      <c r="BJ33" s="4">
        <f t="shared" si="55"/>
        <v>73.599999999999994</v>
      </c>
      <c r="BK33" s="4">
        <f t="shared" si="56"/>
        <v>73.599999999999994</v>
      </c>
      <c r="BL33" s="4">
        <f t="shared" si="57"/>
        <v>50</v>
      </c>
      <c r="BM33" s="4">
        <f t="shared" si="58"/>
        <v>52.6</v>
      </c>
      <c r="BN33" s="4">
        <f t="shared" si="27"/>
        <v>84.2</v>
      </c>
      <c r="BO33" s="4">
        <f t="shared" si="38"/>
        <v>21.099999999999994</v>
      </c>
    </row>
    <row r="34" spans="1:67" x14ac:dyDescent="0.25">
      <c r="A34" s="2">
        <v>32</v>
      </c>
      <c r="B34" s="5" t="s">
        <v>89</v>
      </c>
      <c r="C34" s="2">
        <v>13</v>
      </c>
      <c r="D34" s="9">
        <v>11.6</v>
      </c>
      <c r="E34" s="9">
        <v>8.4</v>
      </c>
      <c r="F34" s="9">
        <v>3.2</v>
      </c>
      <c r="G34" s="9">
        <v>5.3</v>
      </c>
      <c r="H34" s="9">
        <v>59.4</v>
      </c>
      <c r="I34" s="9">
        <v>0.8</v>
      </c>
      <c r="J34" s="9">
        <v>1.7</v>
      </c>
      <c r="K34" s="9">
        <v>45.5</v>
      </c>
      <c r="L34" s="9">
        <v>0.7</v>
      </c>
      <c r="M34" s="9">
        <v>0.7</v>
      </c>
      <c r="N34" s="9">
        <v>100</v>
      </c>
      <c r="O34" s="9">
        <v>1.1000000000000001</v>
      </c>
      <c r="P34" s="9">
        <v>3.7</v>
      </c>
      <c r="Q34" s="9">
        <v>4.8</v>
      </c>
      <c r="R34" s="9">
        <v>1.2</v>
      </c>
      <c r="S34" s="9">
        <v>0.2</v>
      </c>
      <c r="T34" s="9">
        <v>0.3</v>
      </c>
      <c r="U34" s="9">
        <v>1.4</v>
      </c>
      <c r="V34" s="9">
        <v>2.2000000000000002</v>
      </c>
      <c r="W34" s="9">
        <f t="shared" si="28"/>
        <v>2.4000000000000004</v>
      </c>
      <c r="X34" s="9">
        <f t="shared" si="29"/>
        <v>3.5999999999999996</v>
      </c>
      <c r="Y34" s="9">
        <f t="shared" si="30"/>
        <v>66.666666666666686</v>
      </c>
      <c r="Z34" s="6">
        <f t="shared" si="31"/>
        <v>0.85714285714285721</v>
      </c>
      <c r="AA34" s="9">
        <f t="shared" si="32"/>
        <v>74.893009985734665</v>
      </c>
      <c r="AB34" s="6">
        <f t="shared" si="33"/>
        <v>1.4978601997146932</v>
      </c>
      <c r="AC34" s="6">
        <f t="shared" si="34"/>
        <v>1.1986301369863015</v>
      </c>
      <c r="AD34" s="9">
        <f t="shared" si="35"/>
        <v>67.924528301886795</v>
      </c>
      <c r="AE34" s="4">
        <f>100*(AA34/TOTAL_BASIC!$C$81)</f>
        <v>131.00260773012639</v>
      </c>
      <c r="AF34" s="4">
        <f>100*AC34/TOTAL_BASIC!$C$82</f>
        <v>118.47035543875479</v>
      </c>
      <c r="AG34" s="4">
        <f>100*N34/TOTAL_BASIC!$C$87</f>
        <v>131.65322580645162</v>
      </c>
      <c r="AH34" s="4">
        <f>100*AD34/TOTAL_BASIC!$C$86</f>
        <v>132.38009387336422</v>
      </c>
      <c r="AI34" s="3">
        <f t="shared" si="36"/>
        <v>0.13636363636363635</v>
      </c>
      <c r="AJ34" s="9">
        <f t="shared" si="37"/>
        <v>19.977168949771691</v>
      </c>
      <c r="AM34" s="4">
        <f t="shared" si="42"/>
        <v>34.200000000000003</v>
      </c>
      <c r="AN34" s="4">
        <f t="shared" si="43"/>
        <v>18.399999999999999</v>
      </c>
      <c r="AO34" s="4">
        <f t="shared" si="44"/>
        <v>21</v>
      </c>
      <c r="AP34" s="4">
        <f t="shared" si="45"/>
        <v>7.8</v>
      </c>
      <c r="AQ34" s="4">
        <f t="shared" si="46"/>
        <v>94.699999999999989</v>
      </c>
      <c r="AR34" s="4">
        <f t="shared" si="47"/>
        <v>47.3</v>
      </c>
      <c r="AS34" s="4">
        <f t="shared" si="48"/>
        <v>21</v>
      </c>
      <c r="AT34" s="4">
        <f t="shared" si="49"/>
        <v>84.2</v>
      </c>
      <c r="AU34" s="4">
        <f t="shared" si="50"/>
        <v>31.5</v>
      </c>
      <c r="AV34" s="4">
        <f t="shared" si="50"/>
        <v>18.399999999999999</v>
      </c>
      <c r="AW34" s="4">
        <f t="shared" si="50"/>
        <v>86.8</v>
      </c>
      <c r="AX34" s="4">
        <f t="shared" si="50"/>
        <v>65.7</v>
      </c>
      <c r="AY34" s="4">
        <f t="shared" si="50"/>
        <v>44.7</v>
      </c>
      <c r="AZ34" s="4">
        <f t="shared" si="50"/>
        <v>50</v>
      </c>
      <c r="BA34" s="4">
        <f t="shared" si="50"/>
        <v>23.599999999999998</v>
      </c>
      <c r="BB34" s="4">
        <f t="shared" si="40"/>
        <v>5.2</v>
      </c>
      <c r="BC34" s="4">
        <f t="shared" si="41"/>
        <v>44.7</v>
      </c>
      <c r="BD34" s="4">
        <f t="shared" si="17"/>
        <v>63.2</v>
      </c>
      <c r="BE34" s="4">
        <f t="shared" si="18"/>
        <v>52.7</v>
      </c>
      <c r="BF34" s="4">
        <f t="shared" si="51"/>
        <v>23.599999999999998</v>
      </c>
      <c r="BG34" s="4">
        <f t="shared" si="52"/>
        <v>7.8</v>
      </c>
      <c r="BH34" s="4">
        <f t="shared" si="53"/>
        <v>97.3</v>
      </c>
      <c r="BI34" s="4">
        <f t="shared" si="54"/>
        <v>26.3</v>
      </c>
      <c r="BJ34" s="4">
        <f t="shared" si="55"/>
        <v>97.3</v>
      </c>
      <c r="BK34" s="4">
        <f t="shared" si="56"/>
        <v>97.3</v>
      </c>
      <c r="BL34" s="4">
        <f t="shared" si="57"/>
        <v>89.4</v>
      </c>
      <c r="BM34" s="4">
        <f t="shared" si="58"/>
        <v>100</v>
      </c>
      <c r="BN34" s="4">
        <f t="shared" si="27"/>
        <v>55.2</v>
      </c>
      <c r="BO34" s="4">
        <f t="shared" si="38"/>
        <v>5.3000000000000114</v>
      </c>
    </row>
    <row r="35" spans="1:67" x14ac:dyDescent="0.25">
      <c r="A35" s="2">
        <v>33</v>
      </c>
      <c r="B35" s="5" t="s">
        <v>93</v>
      </c>
      <c r="C35" s="2">
        <v>12</v>
      </c>
      <c r="D35" s="9">
        <v>10.3</v>
      </c>
      <c r="E35" s="9">
        <v>7.8</v>
      </c>
      <c r="F35" s="9">
        <v>3.1</v>
      </c>
      <c r="G35" s="9">
        <v>7.7</v>
      </c>
      <c r="H35" s="9">
        <v>40.200000000000003</v>
      </c>
      <c r="I35" s="9">
        <v>1.2</v>
      </c>
      <c r="J35" s="9">
        <v>3.4</v>
      </c>
      <c r="K35" s="9">
        <v>34.1</v>
      </c>
      <c r="L35" s="9">
        <v>0.3</v>
      </c>
      <c r="M35" s="9">
        <v>0.3</v>
      </c>
      <c r="N35" s="9">
        <v>100</v>
      </c>
      <c r="O35" s="9">
        <v>0.2</v>
      </c>
      <c r="P35" s="9">
        <v>3.3</v>
      </c>
      <c r="Q35" s="9">
        <v>3.4</v>
      </c>
      <c r="R35" s="9">
        <v>2.2000000000000002</v>
      </c>
      <c r="S35" s="9">
        <v>0.3</v>
      </c>
      <c r="T35" s="9">
        <v>0.4</v>
      </c>
      <c r="U35" s="9">
        <v>0.9</v>
      </c>
      <c r="V35" s="9">
        <v>2</v>
      </c>
      <c r="W35" s="9">
        <f t="shared" si="28"/>
        <v>1.9000000000000001</v>
      </c>
      <c r="X35" s="9">
        <f t="shared" si="29"/>
        <v>4.3000000000000007</v>
      </c>
      <c r="Y35" s="9">
        <f t="shared" si="30"/>
        <v>44.1860465116279</v>
      </c>
      <c r="Z35" s="6">
        <f t="shared" si="31"/>
        <v>2.4444444444444446</v>
      </c>
      <c r="AA35" s="9">
        <f t="shared" si="32"/>
        <v>49.795709908069462</v>
      </c>
      <c r="AB35" s="6">
        <f t="shared" si="33"/>
        <v>0.99591419816138926</v>
      </c>
      <c r="AC35" s="6">
        <f t="shared" si="34"/>
        <v>0.89326614750343569</v>
      </c>
      <c r="AD35" s="9">
        <f t="shared" si="35"/>
        <v>48.051948051948052</v>
      </c>
      <c r="AE35" s="4">
        <f>100*(AA35/TOTAL_BASIC!$C$81)</f>
        <v>87.102492648813808</v>
      </c>
      <c r="AF35" s="4">
        <f>100*AC35/TOTAL_BASIC!$C$82</f>
        <v>88.288751242493248</v>
      </c>
      <c r="AG35" s="4">
        <f>100*N35/TOTAL_BASIC!$C$87</f>
        <v>131.65322580645162</v>
      </c>
      <c r="AH35" s="4">
        <f>100*AD35/TOTAL_BASIC!$C$86</f>
        <v>93.6498427437472</v>
      </c>
      <c r="AI35" s="3">
        <f t="shared" si="36"/>
        <v>0.2</v>
      </c>
      <c r="AJ35" s="9">
        <f t="shared" si="37"/>
        <v>10.306917086578105</v>
      </c>
      <c r="AM35" s="4">
        <f t="shared" si="42"/>
        <v>23.599999999999998</v>
      </c>
      <c r="AN35" s="4">
        <f t="shared" si="43"/>
        <v>15.7</v>
      </c>
      <c r="AO35" s="4">
        <f t="shared" si="44"/>
        <v>15.7</v>
      </c>
      <c r="AP35" s="4">
        <f t="shared" si="45"/>
        <v>23.599999999999998</v>
      </c>
      <c r="AQ35" s="4">
        <f t="shared" si="46"/>
        <v>23.599999999999998</v>
      </c>
      <c r="AR35" s="4">
        <f t="shared" si="47"/>
        <v>71</v>
      </c>
      <c r="AS35" s="4">
        <f t="shared" si="48"/>
        <v>57.8</v>
      </c>
      <c r="AT35" s="4">
        <f t="shared" si="49"/>
        <v>55.2</v>
      </c>
      <c r="AU35" s="4">
        <f t="shared" si="50"/>
        <v>5.2</v>
      </c>
      <c r="AV35" s="4">
        <f t="shared" si="50"/>
        <v>2.6</v>
      </c>
      <c r="AW35" s="4">
        <f t="shared" si="50"/>
        <v>86.8</v>
      </c>
      <c r="AX35" s="4">
        <f t="shared" si="50"/>
        <v>5.2</v>
      </c>
      <c r="AY35" s="4">
        <f t="shared" si="50"/>
        <v>39.4</v>
      </c>
      <c r="AZ35" s="4">
        <f t="shared" si="50"/>
        <v>26.3</v>
      </c>
      <c r="BA35" s="4">
        <f t="shared" si="50"/>
        <v>50</v>
      </c>
      <c r="BB35" s="4">
        <f t="shared" si="40"/>
        <v>10.5</v>
      </c>
      <c r="BC35" s="4">
        <f t="shared" si="41"/>
        <v>60.5</v>
      </c>
      <c r="BD35" s="4">
        <f t="shared" si="17"/>
        <v>84.3</v>
      </c>
      <c r="BE35" s="4">
        <f t="shared" si="18"/>
        <v>71.099999999999994</v>
      </c>
      <c r="BF35" s="4">
        <f t="shared" si="51"/>
        <v>7.8</v>
      </c>
      <c r="BG35" s="4">
        <f t="shared" si="52"/>
        <v>18.399999999999999</v>
      </c>
      <c r="BH35" s="4">
        <f t="shared" si="53"/>
        <v>13.100000000000001</v>
      </c>
      <c r="BI35" s="4">
        <f t="shared" si="54"/>
        <v>76.3</v>
      </c>
      <c r="BJ35" s="4">
        <f t="shared" si="55"/>
        <v>13.100000000000001</v>
      </c>
      <c r="BK35" s="4">
        <f t="shared" si="56"/>
        <v>13.100000000000001</v>
      </c>
      <c r="BL35" s="4">
        <f t="shared" si="57"/>
        <v>26.3</v>
      </c>
      <c r="BM35" s="4">
        <f t="shared" si="58"/>
        <v>31.5</v>
      </c>
      <c r="BN35" s="4">
        <f t="shared" si="27"/>
        <v>76.3</v>
      </c>
      <c r="BO35" s="4">
        <f t="shared" si="38"/>
        <v>57.9</v>
      </c>
    </row>
    <row r="36" spans="1:67" x14ac:dyDescent="0.25">
      <c r="A36" s="2">
        <v>34</v>
      </c>
      <c r="B36" s="5" t="s">
        <v>90</v>
      </c>
      <c r="C36" s="2">
        <v>14</v>
      </c>
      <c r="D36" s="9">
        <v>9.5</v>
      </c>
      <c r="E36" s="9">
        <v>7.6</v>
      </c>
      <c r="F36" s="9">
        <v>3.2</v>
      </c>
      <c r="G36" s="9">
        <v>5.6</v>
      </c>
      <c r="H36" s="9">
        <v>57</v>
      </c>
      <c r="I36" s="9">
        <v>0.1</v>
      </c>
      <c r="J36" s="9">
        <v>0.1</v>
      </c>
      <c r="K36" s="9">
        <v>100</v>
      </c>
      <c r="L36" s="9">
        <v>0.6</v>
      </c>
      <c r="M36" s="9">
        <v>1.2</v>
      </c>
      <c r="N36" s="9">
        <v>47.1</v>
      </c>
      <c r="O36" s="9">
        <v>1.1000000000000001</v>
      </c>
      <c r="P36" s="9">
        <v>4.3</v>
      </c>
      <c r="Q36" s="9">
        <v>5.4</v>
      </c>
      <c r="R36" s="9">
        <v>1.1000000000000001</v>
      </c>
      <c r="S36" s="9">
        <v>0.6</v>
      </c>
      <c r="T36" s="9">
        <v>0.4</v>
      </c>
      <c r="U36" s="9">
        <v>1.4</v>
      </c>
      <c r="V36" s="9">
        <v>2.1</v>
      </c>
      <c r="W36" s="9">
        <f t="shared" si="28"/>
        <v>3.1</v>
      </c>
      <c r="X36" s="9">
        <f t="shared" si="29"/>
        <v>5.5</v>
      </c>
      <c r="Y36" s="9">
        <f t="shared" si="30"/>
        <v>56.36363636363636</v>
      </c>
      <c r="Z36" s="6">
        <f t="shared" si="31"/>
        <v>0.78571428571428581</v>
      </c>
      <c r="AA36" s="9">
        <f t="shared" si="32"/>
        <v>62.010443864229764</v>
      </c>
      <c r="AB36" s="6">
        <f t="shared" si="33"/>
        <v>1.2402088772845952</v>
      </c>
      <c r="AC36" s="6">
        <f t="shared" si="34"/>
        <v>1.0095642933049946</v>
      </c>
      <c r="AD36" s="9">
        <f t="shared" si="35"/>
        <v>58.035714285714292</v>
      </c>
      <c r="AE36" s="4">
        <f>100*(AA36/TOTAL_BASIC!$C$81)</f>
        <v>108.4684652715127</v>
      </c>
      <c r="AF36" s="4">
        <f>100*AC36/TOTAL_BASIC!$C$82</f>
        <v>99.783441927161292</v>
      </c>
      <c r="AG36" s="4">
        <f>100*N36/TOTAL_BASIC!$C$87</f>
        <v>62.008669354838709</v>
      </c>
      <c r="AH36" s="4">
        <f>100*AD36/TOTAL_BASIC!$C$86</f>
        <v>113.10749588138388</v>
      </c>
      <c r="AI36" s="3">
        <f t="shared" si="36"/>
        <v>0.19047619047619047</v>
      </c>
      <c r="AJ36" s="9">
        <f t="shared" si="37"/>
        <v>18.597236981934113</v>
      </c>
      <c r="AM36" s="4">
        <f t="shared" si="42"/>
        <v>15.7</v>
      </c>
      <c r="AN36" s="4">
        <f t="shared" si="43"/>
        <v>13.100000000000001</v>
      </c>
      <c r="AO36" s="4">
        <f t="shared" si="44"/>
        <v>21</v>
      </c>
      <c r="AP36" s="4">
        <f t="shared" si="45"/>
        <v>13.100000000000001</v>
      </c>
      <c r="AQ36" s="4">
        <f t="shared" si="46"/>
        <v>92.100000000000009</v>
      </c>
      <c r="AR36" s="4">
        <f t="shared" si="47"/>
        <v>7.8</v>
      </c>
      <c r="AS36" s="4">
        <f t="shared" si="48"/>
        <v>5.2</v>
      </c>
      <c r="AT36" s="4">
        <f t="shared" si="49"/>
        <v>100</v>
      </c>
      <c r="AU36" s="4">
        <f t="shared" si="50"/>
        <v>26.3</v>
      </c>
      <c r="AV36" s="4">
        <f t="shared" si="50"/>
        <v>36.799999999999997</v>
      </c>
      <c r="AW36" s="4">
        <f t="shared" si="50"/>
        <v>7.8</v>
      </c>
      <c r="AX36" s="4">
        <f t="shared" si="50"/>
        <v>65.7</v>
      </c>
      <c r="AY36" s="4">
        <f t="shared" si="50"/>
        <v>60.5</v>
      </c>
      <c r="AZ36" s="4">
        <f t="shared" si="50"/>
        <v>63.1</v>
      </c>
      <c r="BA36" s="4">
        <f t="shared" si="50"/>
        <v>18.399999999999999</v>
      </c>
      <c r="BB36" s="4">
        <f t="shared" si="40"/>
        <v>42.1</v>
      </c>
      <c r="BC36" s="4">
        <f t="shared" si="41"/>
        <v>60.5</v>
      </c>
      <c r="BD36" s="4">
        <f t="shared" si="17"/>
        <v>63.2</v>
      </c>
      <c r="BE36" s="4">
        <f t="shared" si="18"/>
        <v>68.5</v>
      </c>
      <c r="BF36" s="4">
        <f t="shared" si="51"/>
        <v>42.1</v>
      </c>
      <c r="BG36" s="4">
        <f t="shared" si="52"/>
        <v>31.5</v>
      </c>
      <c r="BH36" s="4">
        <f t="shared" si="53"/>
        <v>81.5</v>
      </c>
      <c r="BI36" s="4">
        <f t="shared" si="54"/>
        <v>15.7</v>
      </c>
      <c r="BJ36" s="4">
        <f t="shared" si="55"/>
        <v>78.900000000000006</v>
      </c>
      <c r="BK36" s="4">
        <f t="shared" si="56"/>
        <v>78.900000000000006</v>
      </c>
      <c r="BL36" s="4">
        <f t="shared" si="57"/>
        <v>71</v>
      </c>
      <c r="BM36" s="4">
        <f t="shared" si="58"/>
        <v>84.2</v>
      </c>
      <c r="BN36" s="4">
        <f t="shared" si="27"/>
        <v>71</v>
      </c>
      <c r="BO36" s="4">
        <f t="shared" si="38"/>
        <v>10.599999999999994</v>
      </c>
    </row>
    <row r="37" spans="1:67" x14ac:dyDescent="0.25">
      <c r="A37" s="2">
        <v>35</v>
      </c>
      <c r="B37" s="5" t="s">
        <v>92</v>
      </c>
      <c r="C37" s="2">
        <v>14</v>
      </c>
      <c r="D37" s="9">
        <v>11.5</v>
      </c>
      <c r="E37" s="9">
        <v>7.1</v>
      </c>
      <c r="F37" s="9">
        <v>3.1</v>
      </c>
      <c r="G37" s="9">
        <v>6.3</v>
      </c>
      <c r="H37" s="9">
        <v>48.9</v>
      </c>
      <c r="I37" s="9">
        <v>0.7</v>
      </c>
      <c r="J37" s="9">
        <v>2</v>
      </c>
      <c r="K37" s="9">
        <v>35.700000000000003</v>
      </c>
      <c r="L37" s="9">
        <v>0.2</v>
      </c>
      <c r="M37" s="9">
        <v>0.6</v>
      </c>
      <c r="N37" s="9">
        <v>37.5</v>
      </c>
      <c r="O37" s="9">
        <v>0.9</v>
      </c>
      <c r="P37" s="9">
        <v>2</v>
      </c>
      <c r="Q37" s="9">
        <v>2.9</v>
      </c>
      <c r="R37" s="9">
        <v>1.7</v>
      </c>
      <c r="S37" s="9">
        <v>0.7</v>
      </c>
      <c r="T37" s="9">
        <v>0.4</v>
      </c>
      <c r="U37" s="9">
        <v>0.7</v>
      </c>
      <c r="V37" s="9">
        <v>2.1</v>
      </c>
      <c r="W37" s="9">
        <f t="shared" si="28"/>
        <v>2.4000000000000004</v>
      </c>
      <c r="X37" s="9">
        <f t="shared" si="29"/>
        <v>4.3</v>
      </c>
      <c r="Y37" s="9">
        <f t="shared" si="30"/>
        <v>55.813953488372107</v>
      </c>
      <c r="Z37" s="6">
        <f t="shared" si="31"/>
        <v>2.4285714285714288</v>
      </c>
      <c r="AA37" s="9">
        <f t="shared" si="32"/>
        <v>54.08287629494211</v>
      </c>
      <c r="AB37" s="6">
        <f t="shared" si="33"/>
        <v>1.0816575258988421</v>
      </c>
      <c r="AC37" s="6">
        <f t="shared" si="34"/>
        <v>0.97742290748898675</v>
      </c>
      <c r="AD37" s="9">
        <f t="shared" si="35"/>
        <v>54.761904761904766</v>
      </c>
      <c r="AE37" s="4">
        <f>100*(AA37/TOTAL_BASIC!$C$81)</f>
        <v>94.60159004869449</v>
      </c>
      <c r="AF37" s="4">
        <f>100*AC37/TOTAL_BASIC!$C$82</f>
        <v>96.606647614705153</v>
      </c>
      <c r="AG37" s="4">
        <f>100*N37/TOTAL_BASIC!$C$87</f>
        <v>49.369959677419352</v>
      </c>
      <c r="AH37" s="4">
        <f>100*AD37/TOTAL_BASIC!$C$86</f>
        <v>106.72707303679299</v>
      </c>
      <c r="AI37" s="3">
        <f t="shared" si="36"/>
        <v>0.19047619047619047</v>
      </c>
      <c r="AJ37" s="9">
        <f t="shared" si="37"/>
        <v>9.6365638766519819</v>
      </c>
      <c r="AM37" s="4">
        <f t="shared" si="42"/>
        <v>28.9</v>
      </c>
      <c r="AN37" s="4">
        <f t="shared" si="43"/>
        <v>10.5</v>
      </c>
      <c r="AO37" s="4">
        <f t="shared" si="44"/>
        <v>15.7</v>
      </c>
      <c r="AP37" s="4">
        <f t="shared" si="45"/>
        <v>15.7</v>
      </c>
      <c r="AQ37" s="4">
        <f t="shared" si="46"/>
        <v>71</v>
      </c>
      <c r="AR37" s="4">
        <f t="shared" si="47"/>
        <v>36.799999999999997</v>
      </c>
      <c r="AS37" s="4">
        <f t="shared" si="48"/>
        <v>26.3</v>
      </c>
      <c r="AT37" s="4">
        <f t="shared" si="49"/>
        <v>60.5</v>
      </c>
      <c r="AU37" s="4">
        <f t="shared" si="50"/>
        <v>2.6</v>
      </c>
      <c r="AV37" s="4">
        <f t="shared" si="50"/>
        <v>15.7</v>
      </c>
      <c r="AW37" s="4">
        <f t="shared" si="50"/>
        <v>5.2</v>
      </c>
      <c r="AX37" s="4">
        <f t="shared" si="50"/>
        <v>44.7</v>
      </c>
      <c r="AY37" s="4">
        <f t="shared" si="50"/>
        <v>13.100000000000001</v>
      </c>
      <c r="AZ37" s="4">
        <f t="shared" si="50"/>
        <v>13.100000000000001</v>
      </c>
      <c r="BA37" s="4">
        <f t="shared" si="50"/>
        <v>36.799999999999997</v>
      </c>
      <c r="BB37" s="4">
        <f t="shared" si="40"/>
        <v>55.2</v>
      </c>
      <c r="BC37" s="4">
        <f t="shared" si="41"/>
        <v>60.5</v>
      </c>
      <c r="BD37" s="4">
        <f t="shared" si="17"/>
        <v>94.8</v>
      </c>
      <c r="BE37" s="4">
        <f t="shared" si="18"/>
        <v>68.5</v>
      </c>
      <c r="BF37" s="4">
        <f t="shared" si="51"/>
        <v>23.599999999999998</v>
      </c>
      <c r="BG37" s="4">
        <f t="shared" si="52"/>
        <v>15.7</v>
      </c>
      <c r="BH37" s="4">
        <f t="shared" si="53"/>
        <v>78.900000000000006</v>
      </c>
      <c r="BI37" s="4">
        <f t="shared" si="54"/>
        <v>73.599999999999994</v>
      </c>
      <c r="BJ37" s="4">
        <f t="shared" si="55"/>
        <v>42.1</v>
      </c>
      <c r="BK37" s="4">
        <f t="shared" si="56"/>
        <v>42.1</v>
      </c>
      <c r="BL37" s="4">
        <f t="shared" si="57"/>
        <v>47.3</v>
      </c>
      <c r="BM37" s="4">
        <f t="shared" si="58"/>
        <v>73.599999999999994</v>
      </c>
      <c r="BN37" s="4">
        <f t="shared" si="27"/>
        <v>71</v>
      </c>
      <c r="BO37" s="4">
        <f t="shared" si="38"/>
        <v>65.8</v>
      </c>
    </row>
    <row r="38" spans="1:67" x14ac:dyDescent="0.25">
      <c r="A38" s="2">
        <v>36</v>
      </c>
      <c r="B38" s="5" t="s">
        <v>96</v>
      </c>
      <c r="C38" s="2">
        <v>14</v>
      </c>
      <c r="D38" s="9">
        <v>11.5</v>
      </c>
      <c r="E38" s="9">
        <v>6.4</v>
      </c>
      <c r="F38" s="9">
        <v>2.5</v>
      </c>
      <c r="G38" s="9">
        <v>7</v>
      </c>
      <c r="H38" s="9">
        <v>35.700000000000003</v>
      </c>
      <c r="I38" s="9">
        <v>0.6</v>
      </c>
      <c r="J38" s="9">
        <v>2.8</v>
      </c>
      <c r="K38" s="9">
        <v>23.1</v>
      </c>
      <c r="L38" s="9">
        <v>0.4</v>
      </c>
      <c r="M38" s="9">
        <v>0.5</v>
      </c>
      <c r="N38" s="9">
        <v>71.400000000000006</v>
      </c>
      <c r="O38" s="9">
        <v>1</v>
      </c>
      <c r="P38" s="9">
        <v>2.1</v>
      </c>
      <c r="Q38" s="9">
        <v>3.1</v>
      </c>
      <c r="R38" s="9">
        <v>1.6</v>
      </c>
      <c r="S38" s="9">
        <v>0.3</v>
      </c>
      <c r="T38" s="9">
        <v>0.1</v>
      </c>
      <c r="U38" s="9">
        <v>0.6</v>
      </c>
      <c r="V38" s="9">
        <v>2.9</v>
      </c>
      <c r="W38" s="9">
        <f t="shared" si="28"/>
        <v>1.9</v>
      </c>
      <c r="X38" s="9">
        <f t="shared" si="29"/>
        <v>4.2</v>
      </c>
      <c r="Y38" s="9">
        <f t="shared" si="30"/>
        <v>45.238095238095234</v>
      </c>
      <c r="Z38" s="6">
        <f t="shared" si="31"/>
        <v>2.666666666666667</v>
      </c>
      <c r="AA38" s="9">
        <f t="shared" si="32"/>
        <v>44.3213296398892</v>
      </c>
      <c r="AB38" s="6">
        <f t="shared" si="33"/>
        <v>0.88642659279778402</v>
      </c>
      <c r="AC38" s="6">
        <f t="shared" si="34"/>
        <v>0.81841432225063948</v>
      </c>
      <c r="AD38" s="9">
        <f t="shared" si="35"/>
        <v>40</v>
      </c>
      <c r="AE38" s="4">
        <f>100*(AA38/TOTAL_BASIC!$C$81)</f>
        <v>77.526724616863092</v>
      </c>
      <c r="AF38" s="4">
        <f>100*AC38/TOTAL_BASIC!$C$82</f>
        <v>80.890537173527576</v>
      </c>
      <c r="AG38" s="4">
        <f>100*N38/TOTAL_BASIC!$C$87</f>
        <v>94.000403225806465</v>
      </c>
      <c r="AH38" s="4">
        <f>100*AD38/TOTAL_BASIC!$C$86</f>
        <v>77.957166392092262</v>
      </c>
      <c r="AI38" s="3">
        <f t="shared" si="36"/>
        <v>3.4482758620689655E-2</v>
      </c>
      <c r="AJ38" s="9">
        <f t="shared" si="37"/>
        <v>7.6726342710997448</v>
      </c>
      <c r="AM38" s="4">
        <f t="shared" si="42"/>
        <v>28.9</v>
      </c>
      <c r="AN38" s="4">
        <f t="shared" si="43"/>
        <v>7.8</v>
      </c>
      <c r="AO38" s="4">
        <f t="shared" si="44"/>
        <v>5.2</v>
      </c>
      <c r="AP38" s="4">
        <f t="shared" si="45"/>
        <v>21</v>
      </c>
      <c r="AQ38" s="4">
        <f t="shared" si="46"/>
        <v>5.2</v>
      </c>
      <c r="AR38" s="4">
        <f t="shared" si="47"/>
        <v>28.9</v>
      </c>
      <c r="AS38" s="4">
        <f t="shared" si="48"/>
        <v>47.3</v>
      </c>
      <c r="AT38" s="4">
        <f t="shared" si="49"/>
        <v>23.599999999999998</v>
      </c>
      <c r="AU38" s="4">
        <f t="shared" si="50"/>
        <v>10.5</v>
      </c>
      <c r="AV38" s="4">
        <f t="shared" si="50"/>
        <v>10.5</v>
      </c>
      <c r="AW38" s="4">
        <f t="shared" si="50"/>
        <v>34.200000000000003</v>
      </c>
      <c r="AX38" s="4">
        <f t="shared" si="50"/>
        <v>52.6</v>
      </c>
      <c r="AY38" s="4">
        <f t="shared" si="50"/>
        <v>18.399999999999999</v>
      </c>
      <c r="AZ38" s="4">
        <f t="shared" si="50"/>
        <v>23.599999999999998</v>
      </c>
      <c r="BA38" s="4">
        <f t="shared" si="50"/>
        <v>34.200000000000003</v>
      </c>
      <c r="BB38" s="4">
        <f t="shared" si="40"/>
        <v>10.5</v>
      </c>
      <c r="BC38" s="4">
        <f t="shared" si="41"/>
        <v>13.100000000000001</v>
      </c>
      <c r="BD38" s="4">
        <f t="shared" si="17"/>
        <v>97.4</v>
      </c>
      <c r="BE38" s="4">
        <f t="shared" si="18"/>
        <v>29</v>
      </c>
      <c r="BF38" s="4">
        <f t="shared" si="51"/>
        <v>5.2</v>
      </c>
      <c r="BG38" s="4">
        <f t="shared" si="52"/>
        <v>13.100000000000001</v>
      </c>
      <c r="BH38" s="4">
        <f t="shared" si="53"/>
        <v>21</v>
      </c>
      <c r="BI38" s="4">
        <f t="shared" si="54"/>
        <v>86.8</v>
      </c>
      <c r="BJ38" s="4">
        <f t="shared" si="55"/>
        <v>5.2</v>
      </c>
      <c r="BK38" s="4">
        <f t="shared" si="56"/>
        <v>5.2</v>
      </c>
      <c r="BL38" s="4">
        <f t="shared" si="57"/>
        <v>10.5</v>
      </c>
      <c r="BM38" s="4">
        <f t="shared" si="58"/>
        <v>2.6</v>
      </c>
      <c r="BN38" s="4">
        <f t="shared" si="27"/>
        <v>21</v>
      </c>
      <c r="BO38" s="4">
        <f t="shared" si="38"/>
        <v>94.8</v>
      </c>
    </row>
    <row r="39" spans="1:67" x14ac:dyDescent="0.25">
      <c r="A39" s="2">
        <v>37</v>
      </c>
      <c r="B39" s="5" t="s">
        <v>98</v>
      </c>
      <c r="C39" s="2">
        <v>13</v>
      </c>
      <c r="D39" s="9">
        <v>9.1999999999999993</v>
      </c>
      <c r="E39" s="9">
        <v>5.9</v>
      </c>
      <c r="F39" s="9">
        <v>2.5</v>
      </c>
      <c r="G39" s="9">
        <v>5.0999999999999996</v>
      </c>
      <c r="H39" s="9">
        <v>48.5</v>
      </c>
      <c r="I39" s="9">
        <v>0.1</v>
      </c>
      <c r="J39" s="9">
        <v>0.2</v>
      </c>
      <c r="K39" s="9">
        <v>50</v>
      </c>
      <c r="L39" s="9">
        <v>0.5</v>
      </c>
      <c r="M39" s="9">
        <v>0.8</v>
      </c>
      <c r="N39" s="9">
        <v>70</v>
      </c>
      <c r="O39" s="9">
        <v>1.4</v>
      </c>
      <c r="P39" s="9">
        <v>4</v>
      </c>
      <c r="Q39" s="9">
        <v>5.4</v>
      </c>
      <c r="R39" s="9">
        <v>0.6</v>
      </c>
      <c r="S39" s="9">
        <v>0.2</v>
      </c>
      <c r="T39" s="9">
        <v>0.4</v>
      </c>
      <c r="U39" s="9">
        <v>0.5</v>
      </c>
      <c r="V39" s="9">
        <v>1.8</v>
      </c>
      <c r="W39" s="9">
        <f t="shared" si="28"/>
        <v>2.4</v>
      </c>
      <c r="X39" s="9">
        <f t="shared" si="29"/>
        <v>4.8999999999999995</v>
      </c>
      <c r="Y39" s="9">
        <f t="shared" si="30"/>
        <v>48.979591836734699</v>
      </c>
      <c r="Z39" s="6">
        <f t="shared" si="31"/>
        <v>1.2</v>
      </c>
      <c r="AA39" s="9">
        <f t="shared" si="32"/>
        <v>54.108584005869403</v>
      </c>
      <c r="AB39" s="6">
        <f t="shared" si="33"/>
        <v>1.082171680117388</v>
      </c>
      <c r="AC39" s="6">
        <f t="shared" si="34"/>
        <v>0.99126344086021512</v>
      </c>
      <c r="AD39" s="9">
        <f t="shared" si="35"/>
        <v>50</v>
      </c>
      <c r="AE39" s="4">
        <f>100*(AA39/TOTAL_BASIC!$C$81)</f>
        <v>94.646557892434359</v>
      </c>
      <c r="AF39" s="4">
        <f>100*AC39/TOTAL_BASIC!$C$82</f>
        <v>97.974619983624592</v>
      </c>
      <c r="AG39" s="4">
        <f>100*N39/TOTAL_BASIC!$C$87</f>
        <v>92.157258064516128</v>
      </c>
      <c r="AH39" s="4">
        <f>100*AD39/TOTAL_BASIC!$C$86</f>
        <v>97.44645799011532</v>
      </c>
      <c r="AI39" s="3">
        <f t="shared" si="36"/>
        <v>0.22222222222222224</v>
      </c>
      <c r="AJ39" s="9">
        <f t="shared" si="37"/>
        <v>8.400537634408602</v>
      </c>
      <c r="AM39" s="4">
        <f t="shared" si="42"/>
        <v>7.8</v>
      </c>
      <c r="AN39" s="4">
        <f t="shared" si="43"/>
        <v>5.2</v>
      </c>
      <c r="AO39" s="4">
        <f t="shared" si="44"/>
        <v>5.2</v>
      </c>
      <c r="AP39" s="4">
        <f t="shared" si="45"/>
        <v>5.2</v>
      </c>
      <c r="AQ39" s="4">
        <f t="shared" si="46"/>
        <v>63.1</v>
      </c>
      <c r="AR39" s="4">
        <f t="shared" si="47"/>
        <v>7.8</v>
      </c>
      <c r="AS39" s="4">
        <f t="shared" si="48"/>
        <v>7.8</v>
      </c>
      <c r="AT39" s="4">
        <f t="shared" si="49"/>
        <v>89.4</v>
      </c>
      <c r="AU39" s="4">
        <f t="shared" si="50"/>
        <v>18.399999999999999</v>
      </c>
      <c r="AV39" s="4">
        <f t="shared" si="50"/>
        <v>23.599999999999998</v>
      </c>
      <c r="AW39" s="4">
        <f t="shared" si="50"/>
        <v>31.5</v>
      </c>
      <c r="AX39" s="4">
        <f t="shared" si="50"/>
        <v>81.5</v>
      </c>
      <c r="AY39" s="4">
        <f t="shared" si="50"/>
        <v>52.6</v>
      </c>
      <c r="AZ39" s="4">
        <f t="shared" si="50"/>
        <v>63.1</v>
      </c>
      <c r="BA39" s="4">
        <f t="shared" si="50"/>
        <v>2.6</v>
      </c>
      <c r="BB39" s="4">
        <f t="shared" si="40"/>
        <v>5.2</v>
      </c>
      <c r="BC39" s="4">
        <f t="shared" si="41"/>
        <v>60.5</v>
      </c>
      <c r="BD39" s="4">
        <f t="shared" si="17"/>
        <v>100</v>
      </c>
      <c r="BE39" s="4">
        <f t="shared" si="18"/>
        <v>92.2</v>
      </c>
      <c r="BF39" s="4">
        <f t="shared" si="51"/>
        <v>21</v>
      </c>
      <c r="BG39" s="4">
        <f t="shared" si="52"/>
        <v>21</v>
      </c>
      <c r="BH39" s="4">
        <f t="shared" si="53"/>
        <v>42.1</v>
      </c>
      <c r="BI39" s="4">
        <f t="shared" si="54"/>
        <v>42.1</v>
      </c>
      <c r="BJ39" s="4">
        <f t="shared" si="55"/>
        <v>44.7</v>
      </c>
      <c r="BK39" s="4">
        <f t="shared" si="56"/>
        <v>44.7</v>
      </c>
      <c r="BL39" s="4">
        <f t="shared" si="57"/>
        <v>57.8</v>
      </c>
      <c r="BM39" s="4">
        <f t="shared" si="58"/>
        <v>52.6</v>
      </c>
      <c r="BN39" s="4">
        <f t="shared" si="27"/>
        <v>78.900000000000006</v>
      </c>
      <c r="BO39" s="4">
        <f t="shared" si="38"/>
        <v>81.599999999999994</v>
      </c>
    </row>
    <row r="40" spans="1:67" x14ac:dyDescent="0.25">
      <c r="A40" s="2">
        <v>38</v>
      </c>
      <c r="B40" s="5" t="s">
        <v>102</v>
      </c>
      <c r="C40" s="2">
        <v>4</v>
      </c>
      <c r="D40" s="9">
        <v>7.5</v>
      </c>
      <c r="E40" s="9">
        <v>3</v>
      </c>
      <c r="F40" s="9">
        <v>1</v>
      </c>
      <c r="G40" s="9">
        <v>4.8</v>
      </c>
      <c r="H40" s="9">
        <v>21.1</v>
      </c>
      <c r="I40" s="9">
        <v>0.5</v>
      </c>
      <c r="J40" s="9">
        <v>2.2999999999999998</v>
      </c>
      <c r="K40" s="9">
        <v>22.2</v>
      </c>
      <c r="L40" s="9">
        <v>0.3</v>
      </c>
      <c r="M40" s="9">
        <v>0.3</v>
      </c>
      <c r="N40" s="9">
        <v>100</v>
      </c>
      <c r="O40" s="9">
        <v>0.5</v>
      </c>
      <c r="P40" s="9">
        <v>1.3</v>
      </c>
      <c r="Q40" s="9">
        <v>1.8</v>
      </c>
      <c r="R40" s="9">
        <v>1.5</v>
      </c>
      <c r="S40" s="9">
        <v>0.5</v>
      </c>
      <c r="T40" s="9">
        <v>0</v>
      </c>
      <c r="U40" s="9">
        <v>1.5</v>
      </c>
      <c r="V40" s="9">
        <v>2.2999999999999998</v>
      </c>
      <c r="W40" s="9">
        <f t="shared" si="28"/>
        <v>0.5</v>
      </c>
      <c r="X40" s="9">
        <f t="shared" si="29"/>
        <v>2.5</v>
      </c>
      <c r="Y40" s="9">
        <f t="shared" si="30"/>
        <v>20</v>
      </c>
      <c r="Z40" s="6">
        <f t="shared" si="31"/>
        <v>1</v>
      </c>
      <c r="AA40" s="9">
        <f t="shared" si="32"/>
        <v>30.413625304136257</v>
      </c>
      <c r="AB40" s="6">
        <f t="shared" si="33"/>
        <v>0.6082725060827251</v>
      </c>
      <c r="AC40" s="6">
        <f t="shared" si="34"/>
        <v>0.46641791044776121</v>
      </c>
      <c r="AD40" s="9">
        <f t="shared" si="35"/>
        <v>26.041666666666668</v>
      </c>
      <c r="AE40" s="4">
        <f>100*(AA40/TOTAL_BASIC!$C$81)</f>
        <v>53.199413752067329</v>
      </c>
      <c r="AF40" s="4">
        <f>100*AC40/TOTAL_BASIC!$C$82</f>
        <v>46.099871785869396</v>
      </c>
      <c r="AG40" s="4">
        <f>100*N40/TOTAL_BASIC!$C$87</f>
        <v>131.65322580645162</v>
      </c>
      <c r="AH40" s="4">
        <f>100*AD40/TOTAL_BASIC!$C$86</f>
        <v>50.753363536518407</v>
      </c>
      <c r="AI40" s="3">
        <f t="shared" si="36"/>
        <v>0</v>
      </c>
      <c r="AJ40" s="9">
        <f t="shared" si="37"/>
        <v>23.32089552238806</v>
      </c>
      <c r="AM40" s="4">
        <f t="shared" si="42"/>
        <v>2.6</v>
      </c>
      <c r="AN40" s="4">
        <f t="shared" si="43"/>
        <v>2.6</v>
      </c>
      <c r="AO40" s="4">
        <f t="shared" si="44"/>
        <v>0</v>
      </c>
      <c r="AP40" s="4">
        <f t="shared" si="45"/>
        <v>2.6</v>
      </c>
      <c r="AQ40" s="4">
        <f t="shared" si="46"/>
        <v>0</v>
      </c>
      <c r="AR40" s="4">
        <f t="shared" si="47"/>
        <v>23.599999999999998</v>
      </c>
      <c r="AS40" s="4">
        <f t="shared" si="48"/>
        <v>42.1</v>
      </c>
      <c r="AT40" s="4">
        <f t="shared" si="49"/>
        <v>18.399999999999999</v>
      </c>
      <c r="AU40" s="4">
        <f t="shared" si="50"/>
        <v>5.2</v>
      </c>
      <c r="AV40" s="4">
        <f t="shared" si="50"/>
        <v>2.6</v>
      </c>
      <c r="AW40" s="4">
        <f t="shared" si="50"/>
        <v>86.8</v>
      </c>
      <c r="AX40" s="4">
        <f t="shared" si="50"/>
        <v>13.100000000000001</v>
      </c>
      <c r="AY40" s="4">
        <f t="shared" si="50"/>
        <v>2.6</v>
      </c>
      <c r="AZ40" s="4">
        <f t="shared" si="50"/>
        <v>2.6</v>
      </c>
      <c r="BA40" s="4">
        <f t="shared" si="50"/>
        <v>28.9</v>
      </c>
      <c r="BB40" s="4">
        <f t="shared" si="40"/>
        <v>28.9</v>
      </c>
      <c r="BC40" s="4">
        <f t="shared" si="41"/>
        <v>0</v>
      </c>
      <c r="BD40" s="4">
        <f t="shared" si="17"/>
        <v>52.7</v>
      </c>
      <c r="BE40" s="4">
        <f t="shared" si="18"/>
        <v>44.8</v>
      </c>
      <c r="BF40" s="4">
        <f t="shared" si="51"/>
        <v>0</v>
      </c>
      <c r="BG40" s="4">
        <f t="shared" si="52"/>
        <v>2.6</v>
      </c>
      <c r="BH40" s="4">
        <f t="shared" si="53"/>
        <v>0</v>
      </c>
      <c r="BI40" s="4">
        <f t="shared" si="54"/>
        <v>31.5</v>
      </c>
      <c r="BJ40" s="4">
        <f t="shared" si="55"/>
        <v>0</v>
      </c>
      <c r="BK40" s="4">
        <f t="shared" si="56"/>
        <v>0</v>
      </c>
      <c r="BL40" s="4">
        <f t="shared" si="57"/>
        <v>0</v>
      </c>
      <c r="BM40" s="4">
        <f t="shared" si="58"/>
        <v>0</v>
      </c>
      <c r="BN40" s="4">
        <f t="shared" si="27"/>
        <v>0</v>
      </c>
      <c r="BO40" s="4">
        <f t="shared" si="38"/>
        <v>2.7000000000000028</v>
      </c>
    </row>
    <row r="41" spans="1:67" x14ac:dyDescent="0.25">
      <c r="A41" s="2">
        <v>39</v>
      </c>
      <c r="B41" s="5" t="s">
        <v>103</v>
      </c>
      <c r="C41" s="2">
        <v>1</v>
      </c>
      <c r="D41" s="9">
        <v>5</v>
      </c>
      <c r="E41" s="9">
        <v>2</v>
      </c>
      <c r="F41" s="9">
        <v>1</v>
      </c>
      <c r="G41" s="9">
        <v>2</v>
      </c>
      <c r="H41" s="9">
        <v>50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1</v>
      </c>
      <c r="S41" s="9">
        <v>0</v>
      </c>
      <c r="T41" s="9">
        <v>0</v>
      </c>
      <c r="U41" s="9">
        <v>2</v>
      </c>
      <c r="V41" s="9">
        <v>3</v>
      </c>
      <c r="W41" s="9">
        <f t="shared" si="28"/>
        <v>1</v>
      </c>
      <c r="X41" s="9">
        <f t="shared" si="29"/>
        <v>2</v>
      </c>
      <c r="Y41" s="9">
        <f t="shared" si="30"/>
        <v>50</v>
      </c>
      <c r="Z41" s="6">
        <f t="shared" si="31"/>
        <v>0.5</v>
      </c>
      <c r="AA41" s="9">
        <f t="shared" si="32"/>
        <v>50</v>
      </c>
      <c r="AB41" s="6">
        <f t="shared" si="33"/>
        <v>1</v>
      </c>
      <c r="AC41" s="6">
        <f t="shared" si="34"/>
        <v>0.5</v>
      </c>
      <c r="AD41" s="9">
        <f t="shared" si="35"/>
        <v>50</v>
      </c>
      <c r="AE41" s="4">
        <f>100*(AA41/TOTAL_BASIC!$C$81)</f>
        <v>87.45983620839867</v>
      </c>
      <c r="AF41" s="4">
        <f>100*AC41/TOTAL_BASIC!$C$82</f>
        <v>49.41906255445199</v>
      </c>
      <c r="AG41" s="4">
        <f>100*N41/TOTAL_BASIC!$C$87</f>
        <v>0</v>
      </c>
      <c r="AH41" s="4">
        <f>100*AD41/TOTAL_BASIC!$C$86</f>
        <v>97.44645799011532</v>
      </c>
      <c r="AI41" s="3">
        <f t="shared" si="36"/>
        <v>0</v>
      </c>
      <c r="AJ41" s="9">
        <f t="shared" si="37"/>
        <v>50</v>
      </c>
      <c r="AM41" s="4">
        <f t="shared" si="42"/>
        <v>0</v>
      </c>
      <c r="AN41" s="4">
        <f t="shared" si="43"/>
        <v>0</v>
      </c>
      <c r="AO41" s="4">
        <f t="shared" si="44"/>
        <v>0</v>
      </c>
      <c r="AP41" s="4">
        <f t="shared" si="45"/>
        <v>0</v>
      </c>
      <c r="AQ41" s="4">
        <f t="shared" si="46"/>
        <v>73.599999999999994</v>
      </c>
      <c r="AR41" s="4">
        <f t="shared" si="47"/>
        <v>0</v>
      </c>
      <c r="AS41" s="4">
        <f t="shared" si="48"/>
        <v>0</v>
      </c>
      <c r="AT41" s="4">
        <f t="shared" si="49"/>
        <v>0</v>
      </c>
      <c r="AU41" s="4">
        <f t="shared" si="50"/>
        <v>0</v>
      </c>
      <c r="AV41" s="4">
        <f t="shared" si="50"/>
        <v>0</v>
      </c>
      <c r="AW41" s="4">
        <f t="shared" si="50"/>
        <v>0</v>
      </c>
      <c r="AX41" s="4">
        <f t="shared" si="50"/>
        <v>0</v>
      </c>
      <c r="AY41" s="4">
        <f t="shared" si="50"/>
        <v>0</v>
      </c>
      <c r="AZ41" s="4">
        <f t="shared" si="50"/>
        <v>0</v>
      </c>
      <c r="BA41" s="4">
        <f t="shared" si="50"/>
        <v>13.100000000000001</v>
      </c>
      <c r="BB41" s="4">
        <f t="shared" si="40"/>
        <v>0</v>
      </c>
      <c r="BC41" s="4">
        <f t="shared" si="41"/>
        <v>0</v>
      </c>
      <c r="BD41" s="4">
        <f t="shared" si="17"/>
        <v>15.799999999999997</v>
      </c>
      <c r="BE41" s="4">
        <f t="shared" si="18"/>
        <v>23.700000000000003</v>
      </c>
      <c r="BF41" s="4">
        <f t="shared" si="51"/>
        <v>2.6</v>
      </c>
      <c r="BG41" s="4">
        <f t="shared" si="52"/>
        <v>0</v>
      </c>
      <c r="BH41" s="4">
        <f t="shared" si="53"/>
        <v>47.3</v>
      </c>
      <c r="BI41" s="4">
        <f t="shared" si="54"/>
        <v>5.2</v>
      </c>
      <c r="BJ41" s="4">
        <f t="shared" si="55"/>
        <v>15.7</v>
      </c>
      <c r="BK41" s="4">
        <f t="shared" si="56"/>
        <v>15.7</v>
      </c>
      <c r="BL41" s="4">
        <f t="shared" si="57"/>
        <v>2.6</v>
      </c>
      <c r="BM41" s="4">
        <f t="shared" si="58"/>
        <v>52.6</v>
      </c>
      <c r="BN41" s="4">
        <f t="shared" si="27"/>
        <v>0</v>
      </c>
      <c r="BO41" s="4">
        <f t="shared" si="38"/>
        <v>0</v>
      </c>
    </row>
    <row r="42" spans="1:67" x14ac:dyDescent="0.25">
      <c r="A42" s="2"/>
      <c r="B42" s="5"/>
      <c r="C42" s="2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6"/>
      <c r="AA42" s="9"/>
      <c r="AB42" s="6"/>
      <c r="AC42" s="6"/>
      <c r="AD42" s="9"/>
      <c r="AE42" s="4"/>
      <c r="AF42" s="4"/>
      <c r="AG42" s="4"/>
      <c r="AH42" s="4"/>
      <c r="AI42" s="3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</row>
    <row r="43" spans="1:67" x14ac:dyDescent="0.25">
      <c r="A43" s="2"/>
      <c r="B43" s="5"/>
      <c r="C43" s="2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6"/>
      <c r="AA43" s="9"/>
      <c r="AB43" s="6"/>
      <c r="AC43" s="6"/>
      <c r="AD43" s="9"/>
      <c r="AE43" s="4"/>
      <c r="AF43" s="4"/>
      <c r="AG43" s="4"/>
      <c r="AH43" s="4"/>
      <c r="AI43" s="3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</row>
    <row r="44" spans="1:67" x14ac:dyDescent="0.25">
      <c r="A44" s="2"/>
      <c r="B44" s="5"/>
      <c r="C44" s="2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6"/>
      <c r="AA44" s="9"/>
      <c r="AB44" s="6"/>
      <c r="AC44" s="6"/>
      <c r="AD44" s="9"/>
      <c r="AE44" s="4"/>
      <c r="AF44" s="4"/>
      <c r="AG44" s="4"/>
      <c r="AH44" s="4"/>
      <c r="AI44" s="3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</row>
    <row r="45" spans="1:67" x14ac:dyDescent="0.25">
      <c r="A45" s="2"/>
      <c r="B45" s="5"/>
      <c r="C45" s="2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6"/>
      <c r="AA45" s="9"/>
      <c r="AB45" s="6"/>
      <c r="AC45" s="6"/>
      <c r="AD45" s="9"/>
      <c r="AE45" s="4"/>
      <c r="AF45" s="4"/>
      <c r="AG45" s="4"/>
      <c r="AH45" s="4"/>
      <c r="AI45" s="3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</row>
    <row r="46" spans="1:67" x14ac:dyDescent="0.25">
      <c r="A46" s="2"/>
      <c r="B46" s="5"/>
      <c r="C46" s="2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6"/>
      <c r="AA46" s="9"/>
      <c r="AB46" s="6"/>
      <c r="AC46" s="6"/>
      <c r="AD46" s="9"/>
      <c r="AE46" s="4"/>
      <c r="AF46" s="4"/>
      <c r="AG46" s="4"/>
      <c r="AH46" s="4"/>
      <c r="AI46" s="3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</row>
    <row r="47" spans="1:67" x14ac:dyDescent="0.25">
      <c r="A47" s="2"/>
      <c r="B47" s="5"/>
      <c r="C47" s="2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6"/>
      <c r="AA47" s="9"/>
      <c r="AB47" s="6"/>
      <c r="AC47" s="6"/>
      <c r="AD47" s="9"/>
      <c r="AE47" s="4"/>
      <c r="AF47" s="4"/>
      <c r="AG47" s="4"/>
      <c r="AH47" s="4"/>
      <c r="AI47" s="3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</row>
    <row r="48" spans="1:67" x14ac:dyDescent="0.25">
      <c r="A48" s="2"/>
      <c r="B48" s="5"/>
      <c r="C48" s="2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6"/>
      <c r="AA48" s="9"/>
      <c r="AB48" s="6"/>
      <c r="AC48" s="6"/>
      <c r="AD48" s="9"/>
      <c r="AE48" s="4"/>
      <c r="AF48" s="4"/>
      <c r="AG48" s="4"/>
      <c r="AH48" s="4"/>
      <c r="AI48" s="3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</row>
    <row r="49" spans="1:66" x14ac:dyDescent="0.25">
      <c r="A49" s="2"/>
      <c r="B49" s="5"/>
      <c r="C49" s="2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6"/>
      <c r="AA49" s="9"/>
      <c r="AB49" s="6"/>
      <c r="AC49" s="6"/>
      <c r="AD49" s="9"/>
      <c r="AE49" s="4"/>
      <c r="AF49" s="4"/>
      <c r="AG49" s="4"/>
      <c r="AH49" s="4"/>
      <c r="AI49" s="3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</row>
    <row r="80" spans="3:35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3:35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3:35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</sheetData>
  <autoFilter ref="A2:BO2" xr:uid="{00000000-0001-0000-0200-000000000000}"/>
  <mergeCells count="2">
    <mergeCell ref="A1:AI1"/>
    <mergeCell ref="AM1:BO1"/>
  </mergeCells>
  <conditionalFormatting sqref="C3:C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4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4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7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6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4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3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6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K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L3:B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N3:B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O3:BO41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41">
    <cfRule type="colorScale" priority="1">
      <colorScale>
        <cfvo type="min"/>
        <cfvo type="percentile" val="50"/>
        <cfvo type="max"/>
        <color rgb="FF63BE7B"/>
        <color theme="0" tint="-4.9989318521683403E-2"/>
        <color rgb="FFF8696B"/>
      </colorScale>
    </cfRule>
  </conditionalFormatting>
  <pageMargins left="0.7" right="0.7" top="0.75" bottom="0.75" header="0.3" footer="0.3"/>
  <ignoredErrors>
    <ignoredError sqref="BD3:BD4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I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D1"/>
    </sheetView>
  </sheetViews>
  <sheetFormatPr baseColWidth="10" defaultRowHeight="15" x14ac:dyDescent="0.25"/>
  <cols>
    <col min="1" max="1" width="20.7109375" customWidth="1"/>
    <col min="2" max="9" width="11.7109375" customWidth="1"/>
  </cols>
  <sheetData>
    <row r="1" spans="1:9" ht="26.25" x14ac:dyDescent="0.4">
      <c r="A1" s="15" t="s">
        <v>29</v>
      </c>
      <c r="B1" s="15"/>
      <c r="C1" s="15"/>
      <c r="D1" s="15"/>
      <c r="G1" s="17" t="s">
        <v>30</v>
      </c>
      <c r="H1" s="17"/>
      <c r="I1" s="17"/>
    </row>
    <row r="2" spans="1:9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G2" s="13" t="s">
        <v>57</v>
      </c>
      <c r="H2" s="13" t="s">
        <v>58</v>
      </c>
      <c r="I2" s="14" t="s">
        <v>64</v>
      </c>
    </row>
    <row r="3" spans="1:9" x14ac:dyDescent="0.25">
      <c r="A3" t="s">
        <v>67</v>
      </c>
      <c r="B3" s="9">
        <v>24.299761294702495</v>
      </c>
      <c r="C3" s="9">
        <v>37.663707057272056</v>
      </c>
      <c r="D3" s="6">
        <v>0.64517710000642992</v>
      </c>
      <c r="G3" s="4">
        <f>(PERCENTRANK(B$3:B$49,B3))*100</f>
        <v>60.5</v>
      </c>
      <c r="H3" s="4">
        <f t="shared" ref="H3:I18" si="0">(PERCENTRANK(C$3:C$49,C3))*100</f>
        <v>86.8</v>
      </c>
      <c r="I3" s="4">
        <f t="shared" si="0"/>
        <v>50</v>
      </c>
    </row>
    <row r="4" spans="1:9" x14ac:dyDescent="0.25">
      <c r="A4" t="s">
        <v>78</v>
      </c>
      <c r="B4" s="9">
        <v>25.502183406113534</v>
      </c>
      <c r="C4" s="9">
        <v>42.933901299707138</v>
      </c>
      <c r="D4" s="6">
        <v>0.59398709723794629</v>
      </c>
      <c r="G4" s="4">
        <f t="shared" ref="G4:I41" si="1">(PERCENTRANK(B$3:B$49,B4))*100</f>
        <v>65.7</v>
      </c>
      <c r="H4" s="4">
        <f t="shared" si="0"/>
        <v>97.3</v>
      </c>
      <c r="I4" s="4">
        <f t="shared" si="0"/>
        <v>39.4</v>
      </c>
    </row>
    <row r="5" spans="1:9" x14ac:dyDescent="0.25">
      <c r="A5" t="s">
        <v>89</v>
      </c>
      <c r="B5" s="9">
        <v>12.965868387555137</v>
      </c>
      <c r="C5" s="9">
        <v>22.126416290177787</v>
      </c>
      <c r="D5" s="6">
        <v>0.5859904386464454</v>
      </c>
      <c r="G5" s="4">
        <f t="shared" si="1"/>
        <v>15.7</v>
      </c>
      <c r="H5" s="4">
        <f t="shared" si="0"/>
        <v>0</v>
      </c>
      <c r="I5" s="4">
        <f t="shared" si="0"/>
        <v>36.799999999999997</v>
      </c>
    </row>
    <row r="6" spans="1:9" x14ac:dyDescent="0.25">
      <c r="A6" t="s">
        <v>94</v>
      </c>
      <c r="B6" s="9">
        <v>36.752674638137186</v>
      </c>
      <c r="C6" s="9">
        <v>32.528218918426589</v>
      </c>
      <c r="D6" s="6">
        <v>1.1298704896909535</v>
      </c>
      <c r="G6" s="4">
        <f t="shared" si="1"/>
        <v>84.2</v>
      </c>
      <c r="H6" s="4">
        <f t="shared" si="0"/>
        <v>47.3</v>
      </c>
      <c r="I6" s="4">
        <f t="shared" si="0"/>
        <v>84.2</v>
      </c>
    </row>
    <row r="7" spans="1:9" x14ac:dyDescent="0.25">
      <c r="A7" t="s">
        <v>95</v>
      </c>
      <c r="B7" s="9">
        <v>37.920709931099161</v>
      </c>
      <c r="C7" s="9">
        <v>29.396341992722085</v>
      </c>
      <c r="D7" s="6">
        <v>1.2899805676668046</v>
      </c>
      <c r="G7" s="4">
        <f t="shared" si="1"/>
        <v>89.4</v>
      </c>
      <c r="H7" s="4">
        <f t="shared" si="0"/>
        <v>18.399999999999999</v>
      </c>
      <c r="I7" s="4">
        <f t="shared" si="0"/>
        <v>92.100000000000009</v>
      </c>
    </row>
    <row r="8" spans="1:9" x14ac:dyDescent="0.25">
      <c r="A8" t="s">
        <v>99</v>
      </c>
      <c r="B8" s="9">
        <v>8.2050129257052937</v>
      </c>
      <c r="C8" s="9">
        <v>30.025571355952756</v>
      </c>
      <c r="D8" s="6">
        <v>0.27326750350342954</v>
      </c>
      <c r="G8" s="4">
        <f t="shared" si="1"/>
        <v>7.8</v>
      </c>
      <c r="H8" s="4">
        <f t="shared" si="0"/>
        <v>23.599999999999998</v>
      </c>
      <c r="I8" s="4">
        <f t="shared" si="0"/>
        <v>7.8</v>
      </c>
    </row>
    <row r="9" spans="1:9" x14ac:dyDescent="0.25">
      <c r="A9" t="s">
        <v>102</v>
      </c>
      <c r="B9" s="9">
        <v>22.115627366826558</v>
      </c>
      <c r="C9" s="9">
        <v>31.148233873402432</v>
      </c>
      <c r="D9" s="6">
        <v>0.71001224200101942</v>
      </c>
      <c r="G9" s="4">
        <f t="shared" si="1"/>
        <v>47.3</v>
      </c>
      <c r="H9" s="4">
        <f t="shared" si="0"/>
        <v>36.799999999999997</v>
      </c>
      <c r="I9" s="4">
        <f t="shared" si="0"/>
        <v>55.2</v>
      </c>
    </row>
    <row r="10" spans="1:9" x14ac:dyDescent="0.25">
      <c r="A10" t="s">
        <v>69</v>
      </c>
      <c r="B10" s="9">
        <v>24.528424191352819</v>
      </c>
      <c r="C10" s="9">
        <v>35.430701621081816</v>
      </c>
      <c r="D10" s="6">
        <v>0.69229292870559545</v>
      </c>
      <c r="G10" s="4">
        <f t="shared" si="1"/>
        <v>63.1</v>
      </c>
      <c r="H10" s="4">
        <f t="shared" si="0"/>
        <v>68.400000000000006</v>
      </c>
      <c r="I10" s="4">
        <f t="shared" si="0"/>
        <v>52.6</v>
      </c>
    </row>
    <row r="11" spans="1:9" x14ac:dyDescent="0.25">
      <c r="A11" t="s">
        <v>75</v>
      </c>
      <c r="B11" s="9">
        <v>10.122538201231686</v>
      </c>
      <c r="C11" s="9">
        <v>35.725618375310006</v>
      </c>
      <c r="D11" s="6">
        <v>0.28334116137307724</v>
      </c>
      <c r="G11" s="4">
        <f t="shared" si="1"/>
        <v>13.100000000000001</v>
      </c>
      <c r="H11" s="4">
        <f t="shared" si="0"/>
        <v>71</v>
      </c>
      <c r="I11" s="4">
        <f t="shared" si="0"/>
        <v>10.5</v>
      </c>
    </row>
    <row r="12" spans="1:9" x14ac:dyDescent="0.25">
      <c r="A12" t="s">
        <v>79</v>
      </c>
      <c r="B12" s="9">
        <v>22.969975913957981</v>
      </c>
      <c r="C12" s="9">
        <v>31.159104293983837</v>
      </c>
      <c r="D12" s="6">
        <v>0.73718344716324202</v>
      </c>
      <c r="G12" s="4">
        <f t="shared" si="1"/>
        <v>52.6</v>
      </c>
      <c r="H12" s="4">
        <f t="shared" si="0"/>
        <v>39.4</v>
      </c>
      <c r="I12" s="4">
        <f t="shared" si="0"/>
        <v>63.1</v>
      </c>
    </row>
    <row r="13" spans="1:9" x14ac:dyDescent="0.25">
      <c r="A13" t="s">
        <v>80</v>
      </c>
      <c r="B13" s="9">
        <v>35.37936515356926</v>
      </c>
      <c r="C13" s="9">
        <v>30.153468152571676</v>
      </c>
      <c r="D13" s="6">
        <v>1.1733099812782859</v>
      </c>
      <c r="G13" s="4">
        <f t="shared" si="1"/>
        <v>78.900000000000006</v>
      </c>
      <c r="H13" s="4">
        <f t="shared" si="0"/>
        <v>26.3</v>
      </c>
      <c r="I13" s="4">
        <f t="shared" si="0"/>
        <v>89.4</v>
      </c>
    </row>
    <row r="14" spans="1:9" x14ac:dyDescent="0.25">
      <c r="A14" t="s">
        <v>90</v>
      </c>
      <c r="B14" s="9">
        <v>15.481083675857311</v>
      </c>
      <c r="C14" s="9">
        <v>27.498735145730311</v>
      </c>
      <c r="D14" s="6">
        <v>0.56297439114253356</v>
      </c>
      <c r="G14" s="4">
        <f t="shared" si="1"/>
        <v>21</v>
      </c>
      <c r="H14" s="4">
        <f t="shared" si="0"/>
        <v>10.5</v>
      </c>
      <c r="I14" s="4">
        <f t="shared" si="0"/>
        <v>34.200000000000003</v>
      </c>
    </row>
    <row r="15" spans="1:9" x14ac:dyDescent="0.25">
      <c r="A15" t="s">
        <v>91</v>
      </c>
      <c r="B15" s="9">
        <v>29.061417588916104</v>
      </c>
      <c r="C15" s="9">
        <v>39.976188838636688</v>
      </c>
      <c r="D15" s="6">
        <v>0.72696818864404755</v>
      </c>
      <c r="G15" s="4">
        <f t="shared" si="1"/>
        <v>71</v>
      </c>
      <c r="H15" s="4">
        <f t="shared" si="0"/>
        <v>92.100000000000009</v>
      </c>
      <c r="I15" s="4">
        <f t="shared" si="0"/>
        <v>60.5</v>
      </c>
    </row>
    <row r="16" spans="1:9" x14ac:dyDescent="0.25">
      <c r="A16" t="s">
        <v>103</v>
      </c>
      <c r="B16" s="9">
        <v>23.071763916834342</v>
      </c>
      <c r="C16" s="9">
        <v>27.7385800104826</v>
      </c>
      <c r="D16" s="6">
        <v>0.83175720992622415</v>
      </c>
      <c r="G16" s="4">
        <f t="shared" si="1"/>
        <v>55.2</v>
      </c>
      <c r="H16" s="4">
        <f t="shared" si="0"/>
        <v>13.100000000000001</v>
      </c>
      <c r="I16" s="4">
        <f t="shared" si="0"/>
        <v>68.400000000000006</v>
      </c>
    </row>
    <row r="17" spans="1:9" x14ac:dyDescent="0.25">
      <c r="A17" t="s">
        <v>66</v>
      </c>
      <c r="B17" s="9">
        <v>42.680143462667097</v>
      </c>
      <c r="C17" s="9">
        <v>37.506282893506082</v>
      </c>
      <c r="D17" s="6">
        <v>1.1379465030926013</v>
      </c>
      <c r="G17" s="4">
        <f t="shared" si="1"/>
        <v>97.3</v>
      </c>
      <c r="H17" s="4">
        <f t="shared" si="0"/>
        <v>84.2</v>
      </c>
      <c r="I17" s="4">
        <f t="shared" si="0"/>
        <v>86.8</v>
      </c>
    </row>
    <row r="18" spans="1:9" x14ac:dyDescent="0.25">
      <c r="A18" t="s">
        <v>76</v>
      </c>
      <c r="B18" s="9">
        <v>15.859346968066021</v>
      </c>
      <c r="C18" s="9">
        <v>30.85130236678074</v>
      </c>
      <c r="D18" s="6">
        <v>0.51405761674238537</v>
      </c>
      <c r="G18" s="4">
        <f t="shared" si="1"/>
        <v>26.3</v>
      </c>
      <c r="H18" s="4">
        <f t="shared" si="0"/>
        <v>34.200000000000003</v>
      </c>
      <c r="I18" s="4">
        <f t="shared" si="0"/>
        <v>28.9</v>
      </c>
    </row>
    <row r="19" spans="1:9" x14ac:dyDescent="0.25">
      <c r="A19" t="s">
        <v>81</v>
      </c>
      <c r="B19" s="9">
        <v>21.495327102803738</v>
      </c>
      <c r="C19" s="9">
        <v>36.103021368904223</v>
      </c>
      <c r="D19" s="6">
        <v>0.59538859319175452</v>
      </c>
      <c r="G19" s="4">
        <f t="shared" si="1"/>
        <v>44.7</v>
      </c>
      <c r="H19" s="4">
        <f t="shared" si="1"/>
        <v>73.599999999999994</v>
      </c>
      <c r="I19" s="4">
        <f t="shared" si="1"/>
        <v>42.1</v>
      </c>
    </row>
    <row r="20" spans="1:9" x14ac:dyDescent="0.25">
      <c r="A20" t="s">
        <v>84</v>
      </c>
      <c r="B20" s="9">
        <v>16.563330380868027</v>
      </c>
      <c r="C20" s="9">
        <v>36.949390374839567</v>
      </c>
      <c r="D20" s="6">
        <v>0.4482707349928759</v>
      </c>
      <c r="G20" s="4">
        <f t="shared" si="1"/>
        <v>28.9</v>
      </c>
      <c r="H20" s="4">
        <f t="shared" si="1"/>
        <v>81.5</v>
      </c>
      <c r="I20" s="4">
        <f t="shared" si="1"/>
        <v>15.7</v>
      </c>
    </row>
    <row r="21" spans="1:9" x14ac:dyDescent="0.25">
      <c r="A21" s="5" t="s">
        <v>86</v>
      </c>
      <c r="B21" s="9">
        <v>7.1912013536378998</v>
      </c>
      <c r="C21" s="9">
        <v>38.954670342870102</v>
      </c>
      <c r="D21" s="6">
        <v>0.18460434372419507</v>
      </c>
      <c r="G21" s="4">
        <f t="shared" si="1"/>
        <v>2.6</v>
      </c>
      <c r="H21" s="4">
        <f t="shared" si="1"/>
        <v>89.4</v>
      </c>
      <c r="I21" s="4">
        <f t="shared" si="1"/>
        <v>0</v>
      </c>
    </row>
    <row r="22" spans="1:9" x14ac:dyDescent="0.25">
      <c r="A22" s="5" t="s">
        <v>93</v>
      </c>
      <c r="B22" s="9">
        <v>27.886435331230281</v>
      </c>
      <c r="C22" s="9">
        <v>29.499804004619705</v>
      </c>
      <c r="D22" s="6">
        <v>0.94530917313427687</v>
      </c>
      <c r="G22" s="4">
        <f t="shared" si="1"/>
        <v>68.400000000000006</v>
      </c>
      <c r="H22" s="4">
        <f t="shared" si="1"/>
        <v>21</v>
      </c>
      <c r="I22" s="4">
        <f t="shared" si="1"/>
        <v>76.3</v>
      </c>
    </row>
    <row r="23" spans="1:9" x14ac:dyDescent="0.25">
      <c r="A23" s="5" t="s">
        <v>96</v>
      </c>
      <c r="B23" s="9">
        <v>16.977854971775944</v>
      </c>
      <c r="C23" s="9">
        <v>23.466483008861534</v>
      </c>
      <c r="D23" s="6">
        <v>0.72349380030082389</v>
      </c>
      <c r="G23" s="4">
        <f t="shared" si="1"/>
        <v>34.200000000000003</v>
      </c>
      <c r="H23" s="4">
        <f t="shared" si="1"/>
        <v>5.2</v>
      </c>
      <c r="I23" s="4">
        <f t="shared" si="1"/>
        <v>57.8</v>
      </c>
    </row>
    <row r="24" spans="1:9" x14ac:dyDescent="0.25">
      <c r="A24" s="5" t="s">
        <v>65</v>
      </c>
      <c r="B24" s="9">
        <v>17.968232958305759</v>
      </c>
      <c r="C24" s="9">
        <v>34.344031758554785</v>
      </c>
      <c r="D24" s="6">
        <v>0.52318356460376947</v>
      </c>
      <c r="G24" s="4">
        <f t="shared" si="1"/>
        <v>36.799999999999997</v>
      </c>
      <c r="H24" s="4">
        <f t="shared" si="1"/>
        <v>57.8</v>
      </c>
      <c r="I24" s="4">
        <f t="shared" si="1"/>
        <v>31.5</v>
      </c>
    </row>
    <row r="25" spans="1:9" x14ac:dyDescent="0.25">
      <c r="A25" s="5" t="s">
        <v>68</v>
      </c>
      <c r="B25" s="9">
        <v>15.698178664353861</v>
      </c>
      <c r="C25" s="9">
        <v>31.247362321263239</v>
      </c>
      <c r="D25" s="6">
        <v>0.50238412135259003</v>
      </c>
      <c r="G25" s="4">
        <f t="shared" si="1"/>
        <v>23.599999999999998</v>
      </c>
      <c r="H25" s="4">
        <f t="shared" si="1"/>
        <v>42.1</v>
      </c>
      <c r="I25" s="4">
        <f t="shared" si="1"/>
        <v>26.3</v>
      </c>
    </row>
    <row r="26" spans="1:9" x14ac:dyDescent="0.25">
      <c r="A26" s="5" t="s">
        <v>71</v>
      </c>
      <c r="B26" s="9">
        <v>36.425173801683137</v>
      </c>
      <c r="C26" s="9">
        <v>34.835686245685295</v>
      </c>
      <c r="D26" s="6">
        <v>1.0456281396263498</v>
      </c>
      <c r="G26" s="4">
        <f t="shared" si="1"/>
        <v>81.5</v>
      </c>
      <c r="H26" s="4">
        <f t="shared" si="1"/>
        <v>60.5</v>
      </c>
      <c r="I26" s="4">
        <f t="shared" si="1"/>
        <v>81.5</v>
      </c>
    </row>
    <row r="27" spans="1:9" x14ac:dyDescent="0.25">
      <c r="A27" t="s">
        <v>83</v>
      </c>
      <c r="B27" s="9">
        <v>54.057585514956372</v>
      </c>
      <c r="C27" s="9">
        <v>33.335119037884937</v>
      </c>
      <c r="D27" s="6">
        <v>1.6216406923137312</v>
      </c>
      <c r="G27" s="4">
        <f t="shared" si="1"/>
        <v>100</v>
      </c>
      <c r="H27" s="4">
        <f t="shared" si="1"/>
        <v>55.2</v>
      </c>
      <c r="I27" s="4">
        <f t="shared" si="1"/>
        <v>100</v>
      </c>
    </row>
    <row r="28" spans="1:9" x14ac:dyDescent="0.25">
      <c r="A28" t="s">
        <v>85</v>
      </c>
      <c r="B28" s="9">
        <v>7.8638667632150607</v>
      </c>
      <c r="C28" s="9">
        <v>33.154460248243005</v>
      </c>
      <c r="D28" s="6">
        <v>0.23718880368839063</v>
      </c>
      <c r="G28" s="4">
        <f t="shared" si="1"/>
        <v>5.2</v>
      </c>
      <c r="H28" s="4">
        <f t="shared" si="1"/>
        <v>52.6</v>
      </c>
      <c r="I28" s="4">
        <f t="shared" si="1"/>
        <v>5.2</v>
      </c>
    </row>
    <row r="29" spans="1:9" x14ac:dyDescent="0.25">
      <c r="A29" t="s">
        <v>101</v>
      </c>
      <c r="B29" s="9">
        <v>6.7336309523809534</v>
      </c>
      <c r="C29" s="9">
        <v>30.736610425155465</v>
      </c>
      <c r="D29" s="6">
        <v>0.2190752610401703</v>
      </c>
      <c r="G29" s="4">
        <f t="shared" si="1"/>
        <v>0</v>
      </c>
      <c r="H29" s="4">
        <f t="shared" si="1"/>
        <v>31.5</v>
      </c>
      <c r="I29" s="4">
        <f t="shared" si="1"/>
        <v>2.6</v>
      </c>
    </row>
    <row r="30" spans="1:9" x14ac:dyDescent="0.25">
      <c r="A30" t="s">
        <v>73</v>
      </c>
      <c r="B30" s="9">
        <v>14.794771658563803</v>
      </c>
      <c r="C30" s="9">
        <v>32.232933205039899</v>
      </c>
      <c r="D30" s="6">
        <v>0.45899551134398503</v>
      </c>
      <c r="G30" s="4">
        <f t="shared" si="1"/>
        <v>18.399999999999999</v>
      </c>
      <c r="H30" s="4">
        <f t="shared" si="1"/>
        <v>44.7</v>
      </c>
      <c r="I30" s="4">
        <f t="shared" si="1"/>
        <v>18.399999999999999</v>
      </c>
    </row>
    <row r="31" spans="1:9" x14ac:dyDescent="0.25">
      <c r="A31" t="s">
        <v>74</v>
      </c>
      <c r="B31" s="9">
        <v>22.167413171539263</v>
      </c>
      <c r="C31" s="9">
        <v>44.583320872415761</v>
      </c>
      <c r="D31" s="6">
        <v>0.4972131446864585</v>
      </c>
      <c r="G31" s="4">
        <f t="shared" si="1"/>
        <v>50</v>
      </c>
      <c r="H31" s="4">
        <f t="shared" si="1"/>
        <v>100</v>
      </c>
      <c r="I31" s="4">
        <f t="shared" si="1"/>
        <v>23.599999999999998</v>
      </c>
    </row>
    <row r="32" spans="1:9" x14ac:dyDescent="0.25">
      <c r="A32" t="s">
        <v>77</v>
      </c>
      <c r="B32" s="9">
        <v>29.647095488431987</v>
      </c>
      <c r="C32" s="9">
        <v>35.121211289558822</v>
      </c>
      <c r="D32" s="6">
        <v>0.84413647479310505</v>
      </c>
      <c r="G32" s="4">
        <f t="shared" si="1"/>
        <v>73.599999999999994</v>
      </c>
      <c r="H32" s="4">
        <f t="shared" si="1"/>
        <v>63.1</v>
      </c>
      <c r="I32" s="4">
        <f t="shared" si="1"/>
        <v>71</v>
      </c>
    </row>
    <row r="33" spans="1:9" x14ac:dyDescent="0.25">
      <c r="A33" t="s">
        <v>82</v>
      </c>
      <c r="B33" s="9">
        <v>40.09426336537625</v>
      </c>
      <c r="C33" s="9">
        <v>28.90534701220518</v>
      </c>
      <c r="D33" s="6">
        <v>1.3870881172416505</v>
      </c>
      <c r="G33" s="4">
        <f t="shared" si="1"/>
        <v>94.699999999999989</v>
      </c>
      <c r="H33" s="4">
        <f t="shared" si="1"/>
        <v>15.7</v>
      </c>
      <c r="I33" s="4">
        <f t="shared" si="1"/>
        <v>97.3</v>
      </c>
    </row>
    <row r="34" spans="1:9" x14ac:dyDescent="0.25">
      <c r="A34" t="s">
        <v>92</v>
      </c>
      <c r="B34" s="9">
        <v>18.742356542799364</v>
      </c>
      <c r="C34" s="9">
        <v>23.214113688609654</v>
      </c>
      <c r="D34" s="6">
        <v>0.80736903395090964</v>
      </c>
      <c r="G34" s="4">
        <f t="shared" si="1"/>
        <v>39.4</v>
      </c>
      <c r="H34" s="4">
        <f t="shared" si="1"/>
        <v>2.6</v>
      </c>
      <c r="I34" s="4">
        <f t="shared" si="1"/>
        <v>65.7</v>
      </c>
    </row>
    <row r="35" spans="1:9" x14ac:dyDescent="0.25">
      <c r="A35" t="s">
        <v>100</v>
      </c>
      <c r="B35" s="9">
        <v>37.021599090564614</v>
      </c>
      <c r="C35" s="9">
        <v>42.108552142465783</v>
      </c>
      <c r="D35" s="6">
        <v>0.87919430155920608</v>
      </c>
      <c r="G35" s="4">
        <f t="shared" si="1"/>
        <v>86.8</v>
      </c>
      <c r="H35" s="4">
        <f t="shared" si="1"/>
        <v>94.699999999999989</v>
      </c>
      <c r="I35" s="4">
        <f t="shared" si="1"/>
        <v>73.599999999999994</v>
      </c>
    </row>
    <row r="36" spans="1:9" x14ac:dyDescent="0.25">
      <c r="A36" t="s">
        <v>70</v>
      </c>
      <c r="B36" s="9">
        <v>16.668440659925494</v>
      </c>
      <c r="C36" s="9">
        <v>36.282433404654903</v>
      </c>
      <c r="D36" s="6">
        <v>0.4594080136253208</v>
      </c>
      <c r="G36" s="4">
        <f t="shared" si="1"/>
        <v>31.5</v>
      </c>
      <c r="H36" s="4">
        <f t="shared" si="1"/>
        <v>78.900000000000006</v>
      </c>
      <c r="I36" s="4">
        <f t="shared" si="1"/>
        <v>21</v>
      </c>
    </row>
    <row r="37" spans="1:9" x14ac:dyDescent="0.25">
      <c r="A37" t="s">
        <v>72</v>
      </c>
      <c r="B37" s="9">
        <v>23.243085261843394</v>
      </c>
      <c r="C37" s="9">
        <v>36.264931552489493</v>
      </c>
      <c r="D37" s="6">
        <v>0.64092455898342426</v>
      </c>
      <c r="G37" s="4">
        <f t="shared" si="1"/>
        <v>57.8</v>
      </c>
      <c r="H37" s="4">
        <f t="shared" si="1"/>
        <v>76.3</v>
      </c>
      <c r="I37" s="4">
        <f t="shared" si="1"/>
        <v>47.3</v>
      </c>
    </row>
    <row r="38" spans="1:9" x14ac:dyDescent="0.25">
      <c r="A38" t="s">
        <v>87</v>
      </c>
      <c r="B38" s="9">
        <v>39.50531266329908</v>
      </c>
      <c r="C38" s="9">
        <v>30.624347127360387</v>
      </c>
      <c r="D38" s="6">
        <v>1.2899968936155464</v>
      </c>
      <c r="G38" s="4">
        <f t="shared" si="1"/>
        <v>92.100000000000009</v>
      </c>
      <c r="H38" s="4">
        <f t="shared" si="1"/>
        <v>28.9</v>
      </c>
      <c r="I38" s="4">
        <f t="shared" si="1"/>
        <v>94.699999999999989</v>
      </c>
    </row>
    <row r="39" spans="1:9" x14ac:dyDescent="0.25">
      <c r="A39" t="s">
        <v>88</v>
      </c>
      <c r="B39" s="9">
        <v>21.365355915732483</v>
      </c>
      <c r="C39" s="9">
        <v>35.395419847328242</v>
      </c>
      <c r="D39" s="6">
        <v>0.60361922553505765</v>
      </c>
      <c r="G39" s="4">
        <f t="shared" si="1"/>
        <v>42.1</v>
      </c>
      <c r="H39" s="4">
        <f t="shared" si="1"/>
        <v>65.7</v>
      </c>
      <c r="I39" s="4">
        <f t="shared" si="1"/>
        <v>44.7</v>
      </c>
    </row>
    <row r="40" spans="1:9" x14ac:dyDescent="0.25">
      <c r="A40" t="s">
        <v>97</v>
      </c>
      <c r="B40" s="9">
        <v>32.229304056294438</v>
      </c>
      <c r="C40" s="9">
        <v>32.939368001816689</v>
      </c>
      <c r="D40" s="6">
        <v>0.9784433039066478</v>
      </c>
      <c r="G40" s="4">
        <f t="shared" si="1"/>
        <v>76.3</v>
      </c>
      <c r="H40" s="4">
        <f t="shared" si="1"/>
        <v>50</v>
      </c>
      <c r="I40" s="4">
        <f t="shared" si="1"/>
        <v>78.900000000000006</v>
      </c>
    </row>
    <row r="41" spans="1:9" x14ac:dyDescent="0.25">
      <c r="A41" t="s">
        <v>98</v>
      </c>
      <c r="B41" s="9">
        <v>9.0053156377028092</v>
      </c>
      <c r="C41" s="9">
        <v>23.518607925291455</v>
      </c>
      <c r="D41" s="6">
        <v>0.38290172897600233</v>
      </c>
      <c r="G41" s="4">
        <f t="shared" si="1"/>
        <v>10.5</v>
      </c>
      <c r="H41" s="4">
        <f t="shared" si="1"/>
        <v>7.8</v>
      </c>
      <c r="I41" s="4">
        <f t="shared" si="1"/>
        <v>13.100000000000001</v>
      </c>
    </row>
    <row r="42" spans="1:9" x14ac:dyDescent="0.25">
      <c r="B42" s="9"/>
      <c r="C42" s="9"/>
      <c r="D42" s="6"/>
      <c r="G42" s="4"/>
      <c r="H42" s="4"/>
      <c r="I42" s="4"/>
    </row>
    <row r="43" spans="1:9" x14ac:dyDescent="0.25">
      <c r="B43" s="9"/>
      <c r="C43" s="9"/>
      <c r="D43" s="6"/>
      <c r="G43" s="4"/>
      <c r="H43" s="4"/>
      <c r="I43" s="4"/>
    </row>
    <row r="44" spans="1:9" x14ac:dyDescent="0.25">
      <c r="B44" s="9"/>
      <c r="C44" s="9"/>
      <c r="D44" s="6"/>
      <c r="G44" s="4"/>
      <c r="H44" s="4"/>
      <c r="I44" s="4"/>
    </row>
    <row r="45" spans="1:9" x14ac:dyDescent="0.25">
      <c r="B45" s="9"/>
      <c r="C45" s="9"/>
      <c r="D45" s="6"/>
      <c r="G45" s="4"/>
      <c r="H45" s="4"/>
      <c r="I45" s="4"/>
    </row>
    <row r="46" spans="1:9" x14ac:dyDescent="0.25">
      <c r="B46" s="9"/>
      <c r="C46" s="9"/>
      <c r="D46" s="6"/>
      <c r="G46" s="4"/>
      <c r="H46" s="4"/>
      <c r="I46" s="4"/>
    </row>
    <row r="47" spans="1:9" x14ac:dyDescent="0.25">
      <c r="B47" s="9"/>
      <c r="C47" s="9"/>
      <c r="D47" s="6"/>
      <c r="G47" s="4"/>
      <c r="H47" s="4"/>
      <c r="I47" s="4"/>
    </row>
    <row r="48" spans="1:9" x14ac:dyDescent="0.25">
      <c r="B48" s="9"/>
      <c r="C48" s="9"/>
      <c r="D48" s="6"/>
      <c r="G48" s="4"/>
      <c r="H48" s="4"/>
      <c r="I48" s="4"/>
    </row>
    <row r="49" spans="2:9" x14ac:dyDescent="0.25">
      <c r="B49" s="9"/>
      <c r="C49" s="9"/>
      <c r="D49" s="6"/>
      <c r="G49" s="4"/>
      <c r="H49" s="4"/>
      <c r="I49" s="4"/>
    </row>
    <row r="50" spans="2:9" x14ac:dyDescent="0.25">
      <c r="B50" s="9"/>
      <c r="C50" s="9"/>
      <c r="D50" s="6"/>
      <c r="G50" s="2"/>
    </row>
    <row r="51" spans="2:9" x14ac:dyDescent="0.25">
      <c r="B51" s="9"/>
      <c r="C51" s="9"/>
      <c r="D51" s="6"/>
      <c r="G51" s="2"/>
    </row>
    <row r="52" spans="2:9" x14ac:dyDescent="0.25">
      <c r="B52" s="9"/>
      <c r="C52" s="9"/>
      <c r="D52" s="6"/>
      <c r="G52" s="2"/>
    </row>
    <row r="53" spans="2:9" x14ac:dyDescent="0.25">
      <c r="B53" s="9"/>
      <c r="C53" s="9"/>
      <c r="D53" s="6"/>
      <c r="G53" s="2"/>
    </row>
    <row r="54" spans="2:9" x14ac:dyDescent="0.25">
      <c r="B54" s="9"/>
      <c r="C54" s="9"/>
      <c r="D54" s="6"/>
      <c r="G54" s="2"/>
    </row>
    <row r="55" spans="2:9" x14ac:dyDescent="0.25">
      <c r="B55" s="9"/>
      <c r="C55" s="9"/>
      <c r="D55" s="6"/>
      <c r="G55" s="2"/>
    </row>
    <row r="56" spans="2:9" x14ac:dyDescent="0.25">
      <c r="B56" s="9"/>
      <c r="C56" s="9"/>
      <c r="D56" s="6"/>
      <c r="G56" s="2"/>
    </row>
    <row r="57" spans="2:9" x14ac:dyDescent="0.25">
      <c r="B57" s="9"/>
      <c r="C57" s="9"/>
      <c r="D57" s="6"/>
      <c r="G57" s="2"/>
    </row>
    <row r="58" spans="2:9" x14ac:dyDescent="0.25">
      <c r="B58" s="9"/>
      <c r="C58" s="9"/>
      <c r="D58" s="6"/>
      <c r="G58" s="2"/>
    </row>
    <row r="59" spans="2:9" x14ac:dyDescent="0.25">
      <c r="B59" s="9"/>
      <c r="C59" s="9"/>
      <c r="D59" s="6"/>
      <c r="G59" s="2"/>
    </row>
    <row r="60" spans="2:9" x14ac:dyDescent="0.25">
      <c r="B60" s="9"/>
      <c r="C60" s="9"/>
      <c r="D60" s="6"/>
      <c r="G60" s="2"/>
    </row>
    <row r="61" spans="2:9" x14ac:dyDescent="0.25">
      <c r="B61" s="9"/>
      <c r="C61" s="9"/>
      <c r="D61" s="6"/>
      <c r="G61" s="2"/>
    </row>
    <row r="62" spans="2:9" x14ac:dyDescent="0.25">
      <c r="B62" s="9"/>
      <c r="C62" s="9"/>
      <c r="D62" s="6"/>
      <c r="G62" s="2"/>
    </row>
    <row r="63" spans="2:9" x14ac:dyDescent="0.25">
      <c r="B63" s="9"/>
      <c r="C63" s="9"/>
      <c r="D63" s="6"/>
      <c r="G63" s="2"/>
    </row>
    <row r="64" spans="2:9" x14ac:dyDescent="0.25">
      <c r="B64" s="9"/>
      <c r="C64" s="9"/>
      <c r="D64" s="6"/>
      <c r="G64" s="2"/>
    </row>
    <row r="65" spans="2:7" x14ac:dyDescent="0.25">
      <c r="B65" s="9"/>
      <c r="C65" s="9"/>
      <c r="D65" s="6"/>
      <c r="G65" s="2"/>
    </row>
    <row r="66" spans="2:7" x14ac:dyDescent="0.25">
      <c r="B66" s="9"/>
      <c r="C66" s="9"/>
      <c r="D66" s="6"/>
      <c r="G66" s="2"/>
    </row>
    <row r="67" spans="2:7" x14ac:dyDescent="0.25">
      <c r="B67" s="9"/>
      <c r="C67" s="9"/>
      <c r="D67" s="6"/>
      <c r="G67" s="2"/>
    </row>
    <row r="68" spans="2:7" x14ac:dyDescent="0.25">
      <c r="B68" s="9"/>
      <c r="C68" s="9"/>
      <c r="D68" s="6"/>
      <c r="G68" s="2"/>
    </row>
    <row r="69" spans="2:7" x14ac:dyDescent="0.25">
      <c r="B69" s="9"/>
      <c r="C69" s="9"/>
      <c r="D69" s="6"/>
      <c r="G69" s="2"/>
    </row>
    <row r="70" spans="2:7" x14ac:dyDescent="0.25">
      <c r="B70" s="9"/>
      <c r="C70" s="9"/>
      <c r="D70" s="6"/>
      <c r="G70" s="2"/>
    </row>
    <row r="71" spans="2:7" x14ac:dyDescent="0.25">
      <c r="B71" s="9"/>
      <c r="C71" s="9"/>
      <c r="D71" s="6"/>
      <c r="G71" s="2"/>
    </row>
    <row r="72" spans="2:7" x14ac:dyDescent="0.25">
      <c r="B72" s="9"/>
      <c r="C72" s="9"/>
      <c r="D72" s="6"/>
      <c r="G72" s="2"/>
    </row>
    <row r="73" spans="2:7" x14ac:dyDescent="0.25">
      <c r="B73" s="9"/>
      <c r="C73" s="9"/>
      <c r="D73" s="6"/>
      <c r="G73" s="2"/>
    </row>
    <row r="74" spans="2:7" x14ac:dyDescent="0.25">
      <c r="B74" s="9"/>
      <c r="C74" s="9"/>
      <c r="D74" s="6"/>
      <c r="G74" s="2"/>
    </row>
    <row r="75" spans="2:7" x14ac:dyDescent="0.25">
      <c r="B75" s="9"/>
      <c r="C75" s="9"/>
      <c r="D75" s="6"/>
      <c r="G75" s="2"/>
    </row>
    <row r="76" spans="2:7" x14ac:dyDescent="0.25">
      <c r="B76" s="9"/>
      <c r="C76" s="9"/>
      <c r="D76" s="6"/>
      <c r="G76" s="2"/>
    </row>
    <row r="77" spans="2:7" x14ac:dyDescent="0.25">
      <c r="B77" s="9"/>
      <c r="C77" s="9"/>
      <c r="D77" s="6"/>
      <c r="G77" s="2"/>
    </row>
    <row r="78" spans="2:7" x14ac:dyDescent="0.25">
      <c r="B78" s="9"/>
      <c r="C78" s="9"/>
      <c r="D78" s="6"/>
      <c r="G78" s="2"/>
    </row>
    <row r="79" spans="2:7" x14ac:dyDescent="0.25">
      <c r="B79" s="9"/>
      <c r="C79" s="9"/>
      <c r="D79" s="6"/>
      <c r="G79" s="2"/>
    </row>
  </sheetData>
  <autoFilter ref="A2:I2" xr:uid="{ABC38280-09A5-405D-93E7-135B8E0A1F5F}"/>
  <mergeCells count="2">
    <mergeCell ref="A1:D1"/>
    <mergeCell ref="G1:I1"/>
  </mergeCells>
  <conditionalFormatting sqref="B3:B49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49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49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49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49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49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67</v>
      </c>
      <c r="B2" s="2">
        <v>13</v>
      </c>
      <c r="C2" s="2">
        <v>249</v>
      </c>
      <c r="D2" s="2">
        <v>291</v>
      </c>
      <c r="E2" s="2">
        <v>102</v>
      </c>
      <c r="F2" s="2">
        <v>222</v>
      </c>
      <c r="G2" s="2">
        <v>41</v>
      </c>
      <c r="H2" s="2">
        <v>108</v>
      </c>
      <c r="I2" s="2">
        <v>27</v>
      </c>
      <c r="J2" s="2">
        <v>28</v>
      </c>
      <c r="K2" s="2">
        <v>7</v>
      </c>
      <c r="L2" s="2">
        <v>68</v>
      </c>
      <c r="M2" s="2">
        <v>75</v>
      </c>
      <c r="N2" s="2">
        <v>38</v>
      </c>
      <c r="O2" s="2">
        <v>14</v>
      </c>
      <c r="P2" s="2">
        <v>2</v>
      </c>
      <c r="Q2" s="2">
        <v>21</v>
      </c>
      <c r="R2" s="2">
        <v>17</v>
      </c>
      <c r="S2" s="9">
        <f>100*(N2)/((C2/($C$15/3))*$E$15-E2)</f>
        <v>24.299761294702495</v>
      </c>
      <c r="T2" s="9">
        <f>(100*(F2+0.44*J2+Q2)*($C$15/3))/(C2*($F$15+0.44*$J$15+$Q$15))</f>
        <v>37.663707057272056</v>
      </c>
      <c r="U2" s="6">
        <f>S2/T2</f>
        <v>0.64517710000642992</v>
      </c>
    </row>
    <row r="3" spans="1:40" x14ac:dyDescent="0.25">
      <c r="A3" s="5" t="s">
        <v>78</v>
      </c>
      <c r="B3" s="2">
        <v>10</v>
      </c>
      <c r="C3" s="2">
        <v>158</v>
      </c>
      <c r="D3" s="2">
        <v>161</v>
      </c>
      <c r="E3" s="2">
        <v>62</v>
      </c>
      <c r="F3" s="2">
        <v>157</v>
      </c>
      <c r="G3" s="2">
        <v>13</v>
      </c>
      <c r="H3" s="2">
        <v>53</v>
      </c>
      <c r="I3" s="2">
        <v>13</v>
      </c>
      <c r="J3" s="2">
        <v>22</v>
      </c>
      <c r="K3" s="2">
        <v>8</v>
      </c>
      <c r="L3" s="2">
        <v>45</v>
      </c>
      <c r="M3" s="2">
        <v>53</v>
      </c>
      <c r="N3" s="2">
        <v>26</v>
      </c>
      <c r="O3" s="2">
        <v>11</v>
      </c>
      <c r="P3" s="2">
        <v>1</v>
      </c>
      <c r="Q3" s="2">
        <v>18</v>
      </c>
      <c r="R3" s="2">
        <v>28</v>
      </c>
      <c r="S3" s="9">
        <f t="shared" ref="S3:S13" si="0">100*(N3)/((C3/($C$15/3))*$E$15-E3)</f>
        <v>25.502183406113534</v>
      </c>
      <c r="T3" s="9">
        <f t="shared" ref="T3:T13" si="1">(100*(F3+0.44*J3+Q3)*($C$15/3))/(C3*($F$15+0.44*$J$15+$Q$15))</f>
        <v>42.933901299707138</v>
      </c>
      <c r="U3" s="6">
        <f t="shared" ref="U3:U13" si="2">S3/T3</f>
        <v>0.59398709723794629</v>
      </c>
    </row>
    <row r="4" spans="1:40" x14ac:dyDescent="0.25">
      <c r="A4" s="5" t="s">
        <v>89</v>
      </c>
      <c r="B4" s="2">
        <v>13</v>
      </c>
      <c r="C4" s="2">
        <v>151</v>
      </c>
      <c r="D4" s="2">
        <v>109</v>
      </c>
      <c r="E4" s="2">
        <v>41</v>
      </c>
      <c r="F4" s="2">
        <v>69</v>
      </c>
      <c r="G4" s="2">
        <v>10</v>
      </c>
      <c r="H4" s="2">
        <v>22</v>
      </c>
      <c r="I4" s="2">
        <v>9</v>
      </c>
      <c r="J4" s="2">
        <v>9</v>
      </c>
      <c r="K4" s="2">
        <v>14</v>
      </c>
      <c r="L4" s="2">
        <v>48</v>
      </c>
      <c r="M4" s="2">
        <v>62</v>
      </c>
      <c r="N4" s="2">
        <v>15</v>
      </c>
      <c r="O4" s="2">
        <v>2</v>
      </c>
      <c r="P4" s="2">
        <v>4</v>
      </c>
      <c r="Q4" s="2">
        <v>18</v>
      </c>
      <c r="R4" s="2">
        <v>28</v>
      </c>
      <c r="S4" s="9">
        <f t="shared" si="0"/>
        <v>12.965868387555137</v>
      </c>
      <c r="T4" s="9">
        <f t="shared" si="1"/>
        <v>22.126416290177787</v>
      </c>
      <c r="U4" s="6">
        <f t="shared" si="2"/>
        <v>0.5859904386464454</v>
      </c>
    </row>
    <row r="5" spans="1:40" x14ac:dyDescent="0.25">
      <c r="A5" s="5" t="s">
        <v>94</v>
      </c>
      <c r="B5" s="2">
        <v>6</v>
      </c>
      <c r="C5" s="2">
        <v>79</v>
      </c>
      <c r="D5" s="2">
        <v>93</v>
      </c>
      <c r="E5" s="2">
        <v>33</v>
      </c>
      <c r="F5" s="2">
        <v>61</v>
      </c>
      <c r="G5" s="2">
        <v>15</v>
      </c>
      <c r="H5" s="2">
        <v>29</v>
      </c>
      <c r="I5" s="2">
        <v>7</v>
      </c>
      <c r="J5" s="2">
        <v>9</v>
      </c>
      <c r="K5" s="2">
        <v>6</v>
      </c>
      <c r="L5" s="2">
        <v>12</v>
      </c>
      <c r="M5" s="2">
        <v>18</v>
      </c>
      <c r="N5" s="2">
        <v>18</v>
      </c>
      <c r="O5" s="2">
        <v>3</v>
      </c>
      <c r="P5" s="2">
        <v>0</v>
      </c>
      <c r="Q5" s="2">
        <v>5</v>
      </c>
      <c r="R5" s="2">
        <v>18</v>
      </c>
      <c r="S5" s="9">
        <f t="shared" si="0"/>
        <v>36.752674638137186</v>
      </c>
      <c r="T5" s="9">
        <f t="shared" si="1"/>
        <v>32.528218918426589</v>
      </c>
      <c r="U5" s="6">
        <f t="shared" si="2"/>
        <v>1.1298704896909535</v>
      </c>
    </row>
    <row r="6" spans="1:40" x14ac:dyDescent="0.25">
      <c r="A6" s="5" t="s">
        <v>95</v>
      </c>
      <c r="B6" s="2">
        <v>8</v>
      </c>
      <c r="C6" s="2">
        <v>131</v>
      </c>
      <c r="D6" s="2">
        <v>90</v>
      </c>
      <c r="E6" s="2">
        <v>41</v>
      </c>
      <c r="F6" s="2">
        <v>79</v>
      </c>
      <c r="G6" s="2">
        <v>0</v>
      </c>
      <c r="H6" s="2">
        <v>0</v>
      </c>
      <c r="I6" s="2">
        <v>4</v>
      </c>
      <c r="J6" s="2">
        <v>11</v>
      </c>
      <c r="K6" s="2">
        <v>26</v>
      </c>
      <c r="L6" s="2">
        <v>64</v>
      </c>
      <c r="M6" s="2">
        <v>90</v>
      </c>
      <c r="N6" s="2">
        <v>36</v>
      </c>
      <c r="O6" s="2">
        <v>8</v>
      </c>
      <c r="P6" s="2">
        <v>2</v>
      </c>
      <c r="Q6" s="2">
        <v>21</v>
      </c>
      <c r="R6" s="2">
        <v>17</v>
      </c>
      <c r="S6" s="9">
        <f t="shared" si="0"/>
        <v>37.920709931099161</v>
      </c>
      <c r="T6" s="9">
        <f t="shared" si="1"/>
        <v>29.396341992722085</v>
      </c>
      <c r="U6" s="6">
        <f t="shared" si="2"/>
        <v>1.2899805676668046</v>
      </c>
    </row>
    <row r="7" spans="1:40" x14ac:dyDescent="0.25">
      <c r="A7" s="5" t="s">
        <v>99</v>
      </c>
      <c r="B7" s="2">
        <v>6</v>
      </c>
      <c r="C7" s="2">
        <v>78</v>
      </c>
      <c r="D7" s="2">
        <v>52</v>
      </c>
      <c r="E7" s="2">
        <v>20</v>
      </c>
      <c r="F7" s="2">
        <v>55</v>
      </c>
      <c r="G7" s="2">
        <v>6</v>
      </c>
      <c r="H7" s="2">
        <v>30</v>
      </c>
      <c r="I7" s="2">
        <v>3</v>
      </c>
      <c r="J7" s="2">
        <v>4</v>
      </c>
      <c r="K7" s="2">
        <v>4</v>
      </c>
      <c r="L7" s="2">
        <v>27</v>
      </c>
      <c r="M7" s="2">
        <v>31</v>
      </c>
      <c r="N7" s="2">
        <v>5</v>
      </c>
      <c r="O7" s="2">
        <v>7</v>
      </c>
      <c r="P7" s="2">
        <v>0</v>
      </c>
      <c r="Q7" s="2">
        <v>7</v>
      </c>
      <c r="R7" s="2">
        <v>15</v>
      </c>
      <c r="S7" s="9">
        <f t="shared" si="0"/>
        <v>8.2050129257052937</v>
      </c>
      <c r="T7" s="9">
        <f t="shared" si="1"/>
        <v>30.025571355952756</v>
      </c>
      <c r="U7" s="6">
        <f t="shared" si="2"/>
        <v>0.27326750350342954</v>
      </c>
    </row>
    <row r="8" spans="1:40" x14ac:dyDescent="0.25">
      <c r="A8" s="5" t="s">
        <v>102</v>
      </c>
      <c r="B8" s="2">
        <v>4</v>
      </c>
      <c r="C8" s="2">
        <v>30</v>
      </c>
      <c r="D8" s="2">
        <v>12</v>
      </c>
      <c r="E8" s="2">
        <v>4</v>
      </c>
      <c r="F8" s="2">
        <v>19</v>
      </c>
      <c r="G8" s="2">
        <v>2</v>
      </c>
      <c r="H8" s="2">
        <v>9</v>
      </c>
      <c r="I8" s="2">
        <v>1</v>
      </c>
      <c r="J8" s="2">
        <v>1</v>
      </c>
      <c r="K8" s="2">
        <v>2</v>
      </c>
      <c r="L8" s="2">
        <v>5</v>
      </c>
      <c r="M8" s="2">
        <v>7</v>
      </c>
      <c r="N8" s="2">
        <v>6</v>
      </c>
      <c r="O8" s="2">
        <v>2</v>
      </c>
      <c r="P8" s="2">
        <v>0</v>
      </c>
      <c r="Q8" s="2">
        <v>6</v>
      </c>
      <c r="R8" s="2">
        <v>9</v>
      </c>
      <c r="S8" s="9">
        <f t="shared" si="0"/>
        <v>22.115627366826558</v>
      </c>
      <c r="T8" s="9">
        <f t="shared" si="1"/>
        <v>31.148233873402432</v>
      </c>
      <c r="U8" s="6">
        <f t="shared" si="2"/>
        <v>0.71001224200101942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60</v>
      </c>
      <c r="C15" s="2">
        <f t="shared" ref="C15:R15" si="3">SUM(C2:C13)</f>
        <v>876</v>
      </c>
      <c r="D15" s="2">
        <f t="shared" si="3"/>
        <v>808</v>
      </c>
      <c r="E15" s="2">
        <f t="shared" si="3"/>
        <v>303</v>
      </c>
      <c r="F15" s="2">
        <f t="shared" si="3"/>
        <v>662</v>
      </c>
      <c r="G15" s="2">
        <f t="shared" si="3"/>
        <v>87</v>
      </c>
      <c r="H15" s="2">
        <f t="shared" si="3"/>
        <v>251</v>
      </c>
      <c r="I15" s="2">
        <f t="shared" si="3"/>
        <v>64</v>
      </c>
      <c r="J15" s="2">
        <f t="shared" si="3"/>
        <v>84</v>
      </c>
      <c r="K15" s="2">
        <f t="shared" si="3"/>
        <v>67</v>
      </c>
      <c r="L15" s="2">
        <f t="shared" si="3"/>
        <v>269</v>
      </c>
      <c r="M15" s="2">
        <f t="shared" si="3"/>
        <v>336</v>
      </c>
      <c r="N15" s="2">
        <f t="shared" si="3"/>
        <v>144</v>
      </c>
      <c r="O15" s="2">
        <f t="shared" si="3"/>
        <v>47</v>
      </c>
      <c r="P15" s="2">
        <f t="shared" si="3"/>
        <v>9</v>
      </c>
      <c r="Q15" s="2">
        <f t="shared" si="3"/>
        <v>96</v>
      </c>
      <c r="R15" s="2">
        <f t="shared" si="3"/>
        <v>132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69</v>
      </c>
      <c r="B2" s="2">
        <v>14</v>
      </c>
      <c r="C2" s="2">
        <v>260</v>
      </c>
      <c r="D2" s="2">
        <v>268</v>
      </c>
      <c r="E2" s="2">
        <v>98</v>
      </c>
      <c r="F2" s="2">
        <v>224</v>
      </c>
      <c r="G2" s="2">
        <v>8</v>
      </c>
      <c r="H2" s="2">
        <v>42</v>
      </c>
      <c r="I2" s="2">
        <v>37</v>
      </c>
      <c r="J2" s="2">
        <v>47</v>
      </c>
      <c r="K2" s="2">
        <v>15</v>
      </c>
      <c r="L2" s="2">
        <v>141</v>
      </c>
      <c r="M2" s="2">
        <v>156</v>
      </c>
      <c r="N2" s="2">
        <v>44</v>
      </c>
      <c r="O2" s="2">
        <v>16</v>
      </c>
      <c r="P2" s="2">
        <v>15</v>
      </c>
      <c r="Q2" s="2">
        <v>21</v>
      </c>
      <c r="R2" s="2">
        <v>27</v>
      </c>
      <c r="S2" s="9">
        <f>100*(N2)/((C2/($C$15/3))*$E$15-E2)</f>
        <v>24.528424191352819</v>
      </c>
      <c r="T2" s="9">
        <f>(100*(F2+0.44*J2+Q2)*($C$15/3))/(C2*($F$15+0.44*$J$15+$Q$15))</f>
        <v>35.430701621081816</v>
      </c>
      <c r="U2" s="6">
        <f>S2/T2</f>
        <v>0.69229292870559545</v>
      </c>
    </row>
    <row r="3" spans="1:40" x14ac:dyDescent="0.25">
      <c r="A3" s="5" t="s">
        <v>75</v>
      </c>
      <c r="B3" s="2">
        <v>14</v>
      </c>
      <c r="C3" s="2">
        <v>199</v>
      </c>
      <c r="D3" s="2">
        <v>192</v>
      </c>
      <c r="E3" s="2">
        <v>74</v>
      </c>
      <c r="F3" s="2">
        <v>174</v>
      </c>
      <c r="G3" s="2">
        <v>16</v>
      </c>
      <c r="H3" s="2">
        <v>47</v>
      </c>
      <c r="I3" s="2">
        <v>15</v>
      </c>
      <c r="J3" s="2">
        <v>16</v>
      </c>
      <c r="K3" s="2">
        <v>14</v>
      </c>
      <c r="L3" s="2">
        <v>43</v>
      </c>
      <c r="M3" s="2">
        <v>57</v>
      </c>
      <c r="N3" s="2">
        <v>14</v>
      </c>
      <c r="O3" s="2">
        <v>7</v>
      </c>
      <c r="P3" s="2">
        <v>5</v>
      </c>
      <c r="Q3" s="2">
        <v>24</v>
      </c>
      <c r="R3" s="2">
        <v>31</v>
      </c>
      <c r="S3" s="9">
        <f t="shared" ref="S3:S13" si="0">100*(N3)/((C3/($C$15/3))*$E$15-E3)</f>
        <v>10.122538201231686</v>
      </c>
      <c r="T3" s="9">
        <f t="shared" ref="T3:T13" si="1">(100*(F3+0.44*J3+Q3)*($C$15/3))/(C3*($F$15+0.44*$J$15+$Q$15))</f>
        <v>35.725618375310006</v>
      </c>
      <c r="U3" s="6">
        <f t="shared" ref="U3:U13" si="2">S3/T3</f>
        <v>0.28334116137307724</v>
      </c>
    </row>
    <row r="4" spans="1:40" x14ac:dyDescent="0.25">
      <c r="A4" s="5" t="s">
        <v>79</v>
      </c>
      <c r="B4" s="2">
        <v>12</v>
      </c>
      <c r="C4" s="2">
        <v>163</v>
      </c>
      <c r="D4" s="2">
        <v>146</v>
      </c>
      <c r="E4" s="2">
        <v>52</v>
      </c>
      <c r="F4" s="2">
        <v>117</v>
      </c>
      <c r="G4" s="2">
        <v>15</v>
      </c>
      <c r="H4" s="2">
        <v>40</v>
      </c>
      <c r="I4" s="2">
        <v>15</v>
      </c>
      <c r="J4" s="2">
        <v>17</v>
      </c>
      <c r="K4" s="2">
        <v>9</v>
      </c>
      <c r="L4" s="2">
        <v>23</v>
      </c>
      <c r="M4" s="2">
        <v>32</v>
      </c>
      <c r="N4" s="2">
        <v>28</v>
      </c>
      <c r="O4" s="2">
        <v>6</v>
      </c>
      <c r="P4" s="2">
        <v>1</v>
      </c>
      <c r="Q4" s="2">
        <v>22</v>
      </c>
      <c r="R4" s="2">
        <v>21</v>
      </c>
      <c r="S4" s="9">
        <f t="shared" si="0"/>
        <v>22.969975913957981</v>
      </c>
      <c r="T4" s="9">
        <f t="shared" si="1"/>
        <v>31.159104293983837</v>
      </c>
      <c r="U4" s="6">
        <f t="shared" si="2"/>
        <v>0.73718344716324202</v>
      </c>
    </row>
    <row r="5" spans="1:40" x14ac:dyDescent="0.25">
      <c r="A5" s="5" t="s">
        <v>80</v>
      </c>
      <c r="B5" s="2">
        <v>14</v>
      </c>
      <c r="C5" s="2">
        <v>170</v>
      </c>
      <c r="D5" s="2">
        <v>140</v>
      </c>
      <c r="E5" s="2">
        <v>57</v>
      </c>
      <c r="F5" s="2">
        <v>126</v>
      </c>
      <c r="G5" s="2">
        <v>10</v>
      </c>
      <c r="H5" s="2">
        <v>32</v>
      </c>
      <c r="I5" s="2">
        <v>9</v>
      </c>
      <c r="J5" s="2">
        <v>11</v>
      </c>
      <c r="K5" s="2">
        <v>6</v>
      </c>
      <c r="L5" s="2">
        <v>36</v>
      </c>
      <c r="M5" s="2">
        <v>42</v>
      </c>
      <c r="N5" s="2">
        <v>44</v>
      </c>
      <c r="O5" s="2">
        <v>8</v>
      </c>
      <c r="P5" s="2">
        <v>6</v>
      </c>
      <c r="Q5" s="2">
        <v>17</v>
      </c>
      <c r="R5" s="2">
        <v>25</v>
      </c>
      <c r="S5" s="9">
        <f t="shared" si="0"/>
        <v>35.37936515356926</v>
      </c>
      <c r="T5" s="9">
        <f t="shared" si="1"/>
        <v>30.153468152571676</v>
      </c>
      <c r="U5" s="6">
        <f t="shared" si="2"/>
        <v>1.1733099812782859</v>
      </c>
    </row>
    <row r="6" spans="1:40" x14ac:dyDescent="0.25">
      <c r="A6" s="5" t="s">
        <v>90</v>
      </c>
      <c r="B6" s="2">
        <v>14</v>
      </c>
      <c r="C6" s="2">
        <v>133</v>
      </c>
      <c r="D6" s="2">
        <v>107</v>
      </c>
      <c r="E6" s="2">
        <v>45</v>
      </c>
      <c r="F6" s="2">
        <v>79</v>
      </c>
      <c r="G6" s="2">
        <v>1</v>
      </c>
      <c r="H6" s="2">
        <v>1</v>
      </c>
      <c r="I6" s="2">
        <v>8</v>
      </c>
      <c r="J6" s="2">
        <v>17</v>
      </c>
      <c r="K6" s="2">
        <v>15</v>
      </c>
      <c r="L6" s="2">
        <v>60</v>
      </c>
      <c r="M6" s="2">
        <v>75</v>
      </c>
      <c r="N6" s="2">
        <v>15</v>
      </c>
      <c r="O6" s="2">
        <v>9</v>
      </c>
      <c r="P6" s="2">
        <v>5</v>
      </c>
      <c r="Q6" s="2">
        <v>19</v>
      </c>
      <c r="R6" s="2">
        <v>30</v>
      </c>
      <c r="S6" s="9">
        <f t="shared" si="0"/>
        <v>15.481083675857311</v>
      </c>
      <c r="T6" s="9">
        <f t="shared" si="1"/>
        <v>27.498735145730311</v>
      </c>
      <c r="U6" s="6">
        <f t="shared" si="2"/>
        <v>0.56297439114253356</v>
      </c>
    </row>
    <row r="7" spans="1:40" x14ac:dyDescent="0.25">
      <c r="A7" s="5" t="s">
        <v>91</v>
      </c>
      <c r="B7" s="2">
        <v>11</v>
      </c>
      <c r="C7" s="2">
        <v>102</v>
      </c>
      <c r="D7" s="2">
        <v>104</v>
      </c>
      <c r="E7" s="2">
        <v>40</v>
      </c>
      <c r="F7" s="2">
        <v>90</v>
      </c>
      <c r="G7" s="2">
        <v>8</v>
      </c>
      <c r="H7" s="2">
        <v>24</v>
      </c>
      <c r="I7" s="2">
        <v>9</v>
      </c>
      <c r="J7" s="2">
        <v>15</v>
      </c>
      <c r="K7" s="2">
        <v>9</v>
      </c>
      <c r="L7" s="2">
        <v>39</v>
      </c>
      <c r="M7" s="2">
        <v>48</v>
      </c>
      <c r="N7" s="2">
        <v>20</v>
      </c>
      <c r="O7" s="2">
        <v>18</v>
      </c>
      <c r="P7" s="2">
        <v>3</v>
      </c>
      <c r="Q7" s="2">
        <v>21</v>
      </c>
      <c r="R7" s="2">
        <v>31</v>
      </c>
      <c r="S7" s="9">
        <f t="shared" si="0"/>
        <v>29.061417588916104</v>
      </c>
      <c r="T7" s="9">
        <f t="shared" si="1"/>
        <v>39.976188838636688</v>
      </c>
      <c r="U7" s="6">
        <f t="shared" si="2"/>
        <v>0.72696818864404755</v>
      </c>
    </row>
    <row r="8" spans="1:40" x14ac:dyDescent="0.25">
      <c r="A8" t="s">
        <v>103</v>
      </c>
      <c r="B8" s="2">
        <v>1</v>
      </c>
      <c r="C8" s="2">
        <v>5</v>
      </c>
      <c r="D8" s="2">
        <v>2</v>
      </c>
      <c r="E8" s="2">
        <v>1</v>
      </c>
      <c r="F8" s="2">
        <v>2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1</v>
      </c>
      <c r="O8" s="2">
        <v>0</v>
      </c>
      <c r="P8" s="2">
        <v>0</v>
      </c>
      <c r="Q8" s="2">
        <v>2</v>
      </c>
      <c r="R8" s="2">
        <v>3</v>
      </c>
      <c r="S8" s="9">
        <f t="shared" si="0"/>
        <v>23.071763916834342</v>
      </c>
      <c r="T8" s="9">
        <f t="shared" si="1"/>
        <v>27.7385800104826</v>
      </c>
      <c r="U8" s="6">
        <f t="shared" si="2"/>
        <v>0.83175720992622415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80</v>
      </c>
      <c r="C15" s="2">
        <f t="shared" ref="C15:R15" si="3">SUM(C2:C13)</f>
        <v>1032</v>
      </c>
      <c r="D15" s="2">
        <f t="shared" si="3"/>
        <v>959</v>
      </c>
      <c r="E15" s="2">
        <f t="shared" si="3"/>
        <v>367</v>
      </c>
      <c r="F15" s="2">
        <f t="shared" si="3"/>
        <v>812</v>
      </c>
      <c r="G15" s="2">
        <f t="shared" si="3"/>
        <v>58</v>
      </c>
      <c r="H15" s="2">
        <f t="shared" si="3"/>
        <v>186</v>
      </c>
      <c r="I15" s="2">
        <f t="shared" si="3"/>
        <v>93</v>
      </c>
      <c r="J15" s="2">
        <f t="shared" si="3"/>
        <v>123</v>
      </c>
      <c r="K15" s="2">
        <f t="shared" si="3"/>
        <v>68</v>
      </c>
      <c r="L15" s="2">
        <f t="shared" si="3"/>
        <v>342</v>
      </c>
      <c r="M15" s="2">
        <f t="shared" si="3"/>
        <v>410</v>
      </c>
      <c r="N15" s="2">
        <f t="shared" si="3"/>
        <v>166</v>
      </c>
      <c r="O15" s="2">
        <f t="shared" si="3"/>
        <v>64</v>
      </c>
      <c r="P15" s="2">
        <f t="shared" si="3"/>
        <v>35</v>
      </c>
      <c r="Q15" s="2">
        <f t="shared" si="3"/>
        <v>126</v>
      </c>
      <c r="R15" s="2">
        <f t="shared" si="3"/>
        <v>168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66</v>
      </c>
      <c r="B2" s="2">
        <v>14</v>
      </c>
      <c r="C2" s="2">
        <v>279</v>
      </c>
      <c r="D2" s="2">
        <v>300</v>
      </c>
      <c r="E2" s="2">
        <v>115</v>
      </c>
      <c r="F2" s="2">
        <v>253</v>
      </c>
      <c r="G2" s="2">
        <v>36</v>
      </c>
      <c r="H2" s="2">
        <v>78</v>
      </c>
      <c r="I2" s="2">
        <v>22</v>
      </c>
      <c r="J2" s="2">
        <v>23</v>
      </c>
      <c r="K2" s="2">
        <v>14</v>
      </c>
      <c r="L2" s="2">
        <v>58</v>
      </c>
      <c r="M2" s="2">
        <v>72</v>
      </c>
      <c r="N2" s="2">
        <v>77</v>
      </c>
      <c r="O2" s="2">
        <v>18</v>
      </c>
      <c r="P2" s="2">
        <v>5</v>
      </c>
      <c r="Q2" s="2">
        <v>39</v>
      </c>
      <c r="R2" s="2">
        <v>31</v>
      </c>
      <c r="S2" s="9">
        <f>100*(N2)/((C2/($C$15/3))*$E$15-E2)</f>
        <v>42.680143462667097</v>
      </c>
      <c r="T2" s="9">
        <f>(100*(F2+0.44*J2+Q2)*($C$15/3))/(C2*($F$15+0.44*$J$15+$Q$15))</f>
        <v>37.506282893506082</v>
      </c>
      <c r="U2" s="6">
        <f>S2/T2</f>
        <v>1.1379465030926013</v>
      </c>
    </row>
    <row r="3" spans="1:40" x14ac:dyDescent="0.25">
      <c r="A3" s="5" t="s">
        <v>76</v>
      </c>
      <c r="B3" s="2">
        <v>14</v>
      </c>
      <c r="C3" s="2">
        <v>220</v>
      </c>
      <c r="D3" s="2">
        <v>186</v>
      </c>
      <c r="E3" s="2">
        <v>69</v>
      </c>
      <c r="F3" s="2">
        <v>147</v>
      </c>
      <c r="G3" s="2">
        <v>2</v>
      </c>
      <c r="H3" s="2">
        <v>9</v>
      </c>
      <c r="I3" s="2">
        <v>25</v>
      </c>
      <c r="J3" s="2">
        <v>34</v>
      </c>
      <c r="K3" s="2">
        <v>53</v>
      </c>
      <c r="L3" s="2">
        <v>120</v>
      </c>
      <c r="M3" s="2">
        <v>173</v>
      </c>
      <c r="N3" s="2">
        <v>26</v>
      </c>
      <c r="O3" s="2">
        <v>10</v>
      </c>
      <c r="P3" s="2">
        <v>6</v>
      </c>
      <c r="Q3" s="2">
        <v>34</v>
      </c>
      <c r="R3" s="2">
        <v>53</v>
      </c>
      <c r="S3" s="9">
        <f t="shared" ref="S3:S13" si="0">100*(N3)/((C3/($C$15/3))*$E$15-E3)</f>
        <v>15.859346968066021</v>
      </c>
      <c r="T3" s="9">
        <f t="shared" ref="T3:T13" si="1">(100*(F3+0.44*J3+Q3)*($C$15/3))/(C3*($F$15+0.44*$J$15+$Q$15))</f>
        <v>30.85130236678074</v>
      </c>
      <c r="U3" s="6">
        <f t="shared" ref="U3:U13" si="2">S3/T3</f>
        <v>0.51405761674238537</v>
      </c>
    </row>
    <row r="4" spans="1:40" x14ac:dyDescent="0.25">
      <c r="A4" s="5" t="s">
        <v>81</v>
      </c>
      <c r="B4" s="2">
        <v>12</v>
      </c>
      <c r="C4" s="2">
        <v>153</v>
      </c>
      <c r="D4" s="2">
        <v>139</v>
      </c>
      <c r="E4" s="2">
        <v>55</v>
      </c>
      <c r="F4" s="2">
        <v>131</v>
      </c>
      <c r="G4" s="2">
        <v>6</v>
      </c>
      <c r="H4" s="2">
        <v>26</v>
      </c>
      <c r="I4" s="2">
        <v>13</v>
      </c>
      <c r="J4" s="2">
        <v>17</v>
      </c>
      <c r="K4" s="2">
        <v>14</v>
      </c>
      <c r="L4" s="2">
        <v>32</v>
      </c>
      <c r="M4" s="2">
        <v>46</v>
      </c>
      <c r="N4" s="2">
        <v>23</v>
      </c>
      <c r="O4" s="2">
        <v>7</v>
      </c>
      <c r="P4" s="2">
        <v>1</v>
      </c>
      <c r="Q4" s="2">
        <v>21</v>
      </c>
      <c r="R4" s="2">
        <v>41</v>
      </c>
      <c r="S4" s="9">
        <f t="shared" si="0"/>
        <v>21.495327102803738</v>
      </c>
      <c r="T4" s="9">
        <f t="shared" si="1"/>
        <v>36.103021368904223</v>
      </c>
      <c r="U4" s="6">
        <f t="shared" si="2"/>
        <v>0.59538859319175452</v>
      </c>
    </row>
    <row r="5" spans="1:40" x14ac:dyDescent="0.25">
      <c r="A5" s="5" t="s">
        <v>84</v>
      </c>
      <c r="B5" s="2">
        <v>10</v>
      </c>
      <c r="C5" s="2">
        <v>109</v>
      </c>
      <c r="D5" s="2">
        <v>117</v>
      </c>
      <c r="E5" s="2">
        <v>49</v>
      </c>
      <c r="F5" s="2">
        <v>101</v>
      </c>
      <c r="G5" s="2">
        <v>6</v>
      </c>
      <c r="H5" s="2">
        <v>33</v>
      </c>
      <c r="I5" s="2">
        <v>8</v>
      </c>
      <c r="J5" s="2">
        <v>12</v>
      </c>
      <c r="K5" s="2">
        <v>17</v>
      </c>
      <c r="L5" s="2">
        <v>56</v>
      </c>
      <c r="M5" s="2">
        <v>73</v>
      </c>
      <c r="N5" s="2">
        <v>11</v>
      </c>
      <c r="O5" s="2">
        <v>7</v>
      </c>
      <c r="P5" s="2">
        <v>7</v>
      </c>
      <c r="Q5" s="2">
        <v>10</v>
      </c>
      <c r="R5" s="2">
        <v>18</v>
      </c>
      <c r="S5" s="9">
        <f t="shared" si="0"/>
        <v>16.563330380868027</v>
      </c>
      <c r="T5" s="9">
        <f t="shared" si="1"/>
        <v>36.949390374839567</v>
      </c>
      <c r="U5" s="6">
        <f t="shared" si="2"/>
        <v>0.4482707349928759</v>
      </c>
    </row>
    <row r="6" spans="1:40" x14ac:dyDescent="0.25">
      <c r="A6" s="5" t="s">
        <v>86</v>
      </c>
      <c r="B6" s="2">
        <v>7</v>
      </c>
      <c r="C6" s="2">
        <v>111</v>
      </c>
      <c r="D6" s="2">
        <v>116</v>
      </c>
      <c r="E6" s="2">
        <v>48</v>
      </c>
      <c r="F6" s="2">
        <v>106</v>
      </c>
      <c r="G6" s="2">
        <v>6</v>
      </c>
      <c r="H6" s="2">
        <v>25</v>
      </c>
      <c r="I6" s="2">
        <v>7</v>
      </c>
      <c r="J6" s="2">
        <v>11</v>
      </c>
      <c r="K6" s="2">
        <v>7</v>
      </c>
      <c r="L6" s="2">
        <v>40</v>
      </c>
      <c r="M6" s="2">
        <v>47</v>
      </c>
      <c r="N6" s="2">
        <v>5</v>
      </c>
      <c r="O6" s="2">
        <v>5</v>
      </c>
      <c r="P6" s="2">
        <v>1</v>
      </c>
      <c r="Q6" s="2">
        <v>14</v>
      </c>
      <c r="R6" s="2">
        <v>20</v>
      </c>
      <c r="S6" s="9">
        <f t="shared" si="0"/>
        <v>7.1912013536378998</v>
      </c>
      <c r="T6" s="9">
        <f t="shared" si="1"/>
        <v>38.954670342870102</v>
      </c>
      <c r="U6" s="6">
        <f t="shared" si="2"/>
        <v>0.18460434372419507</v>
      </c>
    </row>
    <row r="7" spans="1:40" x14ac:dyDescent="0.25">
      <c r="A7" s="5" t="s">
        <v>93</v>
      </c>
      <c r="B7" s="2">
        <v>12</v>
      </c>
      <c r="C7" s="2">
        <v>123</v>
      </c>
      <c r="D7" s="2">
        <v>94</v>
      </c>
      <c r="E7" s="2">
        <v>37</v>
      </c>
      <c r="F7" s="2">
        <v>92</v>
      </c>
      <c r="G7" s="2">
        <v>14</v>
      </c>
      <c r="H7" s="2">
        <v>41</v>
      </c>
      <c r="I7" s="2">
        <v>4</v>
      </c>
      <c r="J7" s="2">
        <v>4</v>
      </c>
      <c r="K7" s="2">
        <v>2</v>
      </c>
      <c r="L7" s="2">
        <v>39</v>
      </c>
      <c r="M7" s="2">
        <v>41</v>
      </c>
      <c r="N7" s="2">
        <v>26</v>
      </c>
      <c r="O7" s="2">
        <v>4</v>
      </c>
      <c r="P7" s="2">
        <v>5</v>
      </c>
      <c r="Q7" s="2">
        <v>11</v>
      </c>
      <c r="R7" s="2">
        <v>24</v>
      </c>
      <c r="S7" s="9">
        <f t="shared" si="0"/>
        <v>27.886435331230281</v>
      </c>
      <c r="T7" s="9">
        <f t="shared" si="1"/>
        <v>29.499804004619705</v>
      </c>
      <c r="U7" s="6">
        <f t="shared" si="2"/>
        <v>0.94530917313427687</v>
      </c>
    </row>
    <row r="8" spans="1:40" x14ac:dyDescent="0.25">
      <c r="A8" t="s">
        <v>96</v>
      </c>
      <c r="B8" s="2">
        <v>14</v>
      </c>
      <c r="C8" s="2">
        <v>161</v>
      </c>
      <c r="D8" s="2">
        <v>89</v>
      </c>
      <c r="E8" s="2">
        <v>35</v>
      </c>
      <c r="F8" s="2">
        <v>98</v>
      </c>
      <c r="G8" s="2">
        <v>9</v>
      </c>
      <c r="H8" s="2">
        <v>39</v>
      </c>
      <c r="I8" s="2">
        <v>5</v>
      </c>
      <c r="J8" s="2">
        <v>7</v>
      </c>
      <c r="K8" s="2">
        <v>14</v>
      </c>
      <c r="L8" s="2">
        <v>29</v>
      </c>
      <c r="M8" s="2">
        <v>43</v>
      </c>
      <c r="N8" s="2">
        <v>23</v>
      </c>
      <c r="O8" s="2">
        <v>4</v>
      </c>
      <c r="P8" s="2">
        <v>1</v>
      </c>
      <c r="Q8" s="2">
        <v>8</v>
      </c>
      <c r="R8" s="2">
        <v>41</v>
      </c>
      <c r="S8" s="9">
        <f t="shared" si="0"/>
        <v>16.977854971775944</v>
      </c>
      <c r="T8" s="9">
        <f t="shared" si="1"/>
        <v>23.466483008861534</v>
      </c>
      <c r="U8" s="6">
        <f t="shared" si="2"/>
        <v>0.72349380030082389</v>
      </c>
    </row>
    <row r="9" spans="1:40" x14ac:dyDescent="0.25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83</v>
      </c>
      <c r="C15" s="2">
        <f t="shared" ref="C15:R15" si="3">SUM(C2:C13)</f>
        <v>1156</v>
      </c>
      <c r="D15" s="2">
        <f t="shared" si="3"/>
        <v>1041</v>
      </c>
      <c r="E15" s="2">
        <f t="shared" si="3"/>
        <v>408</v>
      </c>
      <c r="F15" s="2">
        <f t="shared" si="3"/>
        <v>928</v>
      </c>
      <c r="G15" s="2">
        <f t="shared" si="3"/>
        <v>79</v>
      </c>
      <c r="H15" s="2">
        <f t="shared" si="3"/>
        <v>251</v>
      </c>
      <c r="I15" s="2">
        <f t="shared" si="3"/>
        <v>84</v>
      </c>
      <c r="J15" s="2">
        <f t="shared" si="3"/>
        <v>108</v>
      </c>
      <c r="K15" s="2">
        <f t="shared" si="3"/>
        <v>121</v>
      </c>
      <c r="L15" s="2">
        <f t="shared" si="3"/>
        <v>374</v>
      </c>
      <c r="M15" s="2">
        <f t="shared" si="3"/>
        <v>495</v>
      </c>
      <c r="N15" s="2">
        <f t="shared" si="3"/>
        <v>191</v>
      </c>
      <c r="O15" s="2">
        <f t="shared" si="3"/>
        <v>55</v>
      </c>
      <c r="P15" s="2">
        <f t="shared" si="3"/>
        <v>26</v>
      </c>
      <c r="Q15" s="2">
        <f t="shared" si="3"/>
        <v>137</v>
      </c>
      <c r="R15" s="2">
        <f t="shared" si="3"/>
        <v>228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65</v>
      </c>
      <c r="B2" s="2">
        <v>14</v>
      </c>
      <c r="C2" s="2">
        <v>296</v>
      </c>
      <c r="D2" s="2">
        <v>360</v>
      </c>
      <c r="E2" s="2">
        <v>146</v>
      </c>
      <c r="F2" s="2">
        <v>239</v>
      </c>
      <c r="G2" s="2">
        <v>17</v>
      </c>
      <c r="H2" s="2">
        <v>54</v>
      </c>
      <c r="I2" s="2">
        <v>32</v>
      </c>
      <c r="J2" s="2">
        <v>40</v>
      </c>
      <c r="K2" s="2">
        <v>23</v>
      </c>
      <c r="L2" s="2">
        <v>127</v>
      </c>
      <c r="M2" s="2">
        <v>150</v>
      </c>
      <c r="N2" s="2">
        <v>39</v>
      </c>
      <c r="O2" s="2">
        <v>28</v>
      </c>
      <c r="P2" s="2">
        <v>20</v>
      </c>
      <c r="Q2" s="2">
        <v>22</v>
      </c>
      <c r="R2" s="2">
        <v>48</v>
      </c>
      <c r="S2" s="9">
        <f>100*(N2)/((C2/($C$15/3))*$E$15-E2)</f>
        <v>17.968232958305759</v>
      </c>
      <c r="T2" s="9">
        <f>(100*(F2+0.44*J2+Q2)*($C$15/3))/(C2*($F$15+0.44*$J$15+$Q$15))</f>
        <v>34.344031758554785</v>
      </c>
      <c r="U2" s="6">
        <f>S2/T2</f>
        <v>0.52318356460376947</v>
      </c>
    </row>
    <row r="3" spans="1:40" x14ac:dyDescent="0.25">
      <c r="A3" s="5" t="s">
        <v>68</v>
      </c>
      <c r="B3" s="2">
        <v>14</v>
      </c>
      <c r="C3" s="2">
        <v>274</v>
      </c>
      <c r="D3" s="2">
        <v>271</v>
      </c>
      <c r="E3" s="2">
        <v>94</v>
      </c>
      <c r="F3" s="2">
        <v>200</v>
      </c>
      <c r="G3" s="2">
        <v>33</v>
      </c>
      <c r="H3" s="2">
        <v>87</v>
      </c>
      <c r="I3" s="2">
        <v>27</v>
      </c>
      <c r="J3" s="2">
        <v>31</v>
      </c>
      <c r="K3" s="2">
        <v>10</v>
      </c>
      <c r="L3" s="2">
        <v>70</v>
      </c>
      <c r="M3" s="2">
        <v>80</v>
      </c>
      <c r="N3" s="2">
        <v>38</v>
      </c>
      <c r="O3" s="2">
        <v>17</v>
      </c>
      <c r="P3" s="2">
        <v>2</v>
      </c>
      <c r="Q3" s="2">
        <v>21</v>
      </c>
      <c r="R3" s="2">
        <v>43</v>
      </c>
      <c r="S3" s="9">
        <f t="shared" ref="S3:S13" si="0">100*(N3)/((C3/($C$15/3))*$E$15-E3)</f>
        <v>15.698178664353861</v>
      </c>
      <c r="T3" s="9">
        <f t="shared" ref="T3:T13" si="1">(100*(F3+0.44*J3+Q3)*($C$15/3))/(C3*($F$15+0.44*$J$15+$Q$15))</f>
        <v>31.247362321263239</v>
      </c>
      <c r="U3" s="6">
        <f t="shared" ref="U3:U13" si="2">S3/T3</f>
        <v>0.50238412135259003</v>
      </c>
    </row>
    <row r="4" spans="1:40" x14ac:dyDescent="0.25">
      <c r="A4" s="5" t="s">
        <v>71</v>
      </c>
      <c r="B4" s="2">
        <v>14</v>
      </c>
      <c r="C4" s="2">
        <v>226</v>
      </c>
      <c r="D4" s="2">
        <v>251</v>
      </c>
      <c r="E4" s="2">
        <v>96</v>
      </c>
      <c r="F4" s="2">
        <v>184</v>
      </c>
      <c r="G4" s="2">
        <v>16</v>
      </c>
      <c r="H4" s="2">
        <v>50</v>
      </c>
      <c r="I4" s="2">
        <v>23</v>
      </c>
      <c r="J4" s="2">
        <v>29</v>
      </c>
      <c r="K4" s="2">
        <v>15</v>
      </c>
      <c r="L4" s="2">
        <v>22</v>
      </c>
      <c r="M4" s="2">
        <v>37</v>
      </c>
      <c r="N4" s="2">
        <v>66</v>
      </c>
      <c r="O4" s="2">
        <v>21</v>
      </c>
      <c r="P4" s="2">
        <v>6</v>
      </c>
      <c r="Q4" s="2">
        <v>19</v>
      </c>
      <c r="R4" s="2">
        <v>47</v>
      </c>
      <c r="S4" s="9">
        <f t="shared" si="0"/>
        <v>36.425173801683137</v>
      </c>
      <c r="T4" s="9">
        <f t="shared" si="1"/>
        <v>34.835686245685295</v>
      </c>
      <c r="U4" s="6">
        <f t="shared" si="2"/>
        <v>1.0456281396263498</v>
      </c>
    </row>
    <row r="5" spans="1:40" x14ac:dyDescent="0.25">
      <c r="A5" s="5" t="s">
        <v>83</v>
      </c>
      <c r="B5" s="2">
        <v>14</v>
      </c>
      <c r="C5" s="2">
        <v>143</v>
      </c>
      <c r="D5" s="2">
        <v>131</v>
      </c>
      <c r="E5" s="2">
        <v>57</v>
      </c>
      <c r="F5" s="2">
        <v>117</v>
      </c>
      <c r="G5" s="2">
        <v>6</v>
      </c>
      <c r="H5" s="2">
        <v>15</v>
      </c>
      <c r="I5" s="2">
        <v>6</v>
      </c>
      <c r="J5" s="2">
        <v>6</v>
      </c>
      <c r="K5" s="2">
        <v>3</v>
      </c>
      <c r="L5" s="2">
        <v>54</v>
      </c>
      <c r="M5" s="2">
        <v>57</v>
      </c>
      <c r="N5" s="2">
        <v>64</v>
      </c>
      <c r="O5" s="2">
        <v>5</v>
      </c>
      <c r="P5" s="2">
        <v>1</v>
      </c>
      <c r="Q5" s="2">
        <v>11</v>
      </c>
      <c r="R5" s="2">
        <v>29</v>
      </c>
      <c r="S5" s="9">
        <f t="shared" si="0"/>
        <v>54.057585514956372</v>
      </c>
      <c r="T5" s="9">
        <f t="shared" si="1"/>
        <v>33.335119037884937</v>
      </c>
      <c r="U5" s="6">
        <f t="shared" si="2"/>
        <v>1.6216406923137312</v>
      </c>
    </row>
    <row r="6" spans="1:40" x14ac:dyDescent="0.25">
      <c r="A6" s="5" t="s">
        <v>85</v>
      </c>
      <c r="B6" s="2">
        <v>14</v>
      </c>
      <c r="C6" s="2">
        <v>130</v>
      </c>
      <c r="D6" s="2">
        <v>117</v>
      </c>
      <c r="E6" s="2">
        <v>45</v>
      </c>
      <c r="F6" s="2">
        <v>89</v>
      </c>
      <c r="G6" s="2">
        <v>0</v>
      </c>
      <c r="H6" s="2">
        <v>3</v>
      </c>
      <c r="I6" s="2">
        <v>17</v>
      </c>
      <c r="J6" s="2">
        <v>23</v>
      </c>
      <c r="K6" s="2">
        <v>26</v>
      </c>
      <c r="L6" s="2">
        <v>34</v>
      </c>
      <c r="M6" s="2">
        <v>60</v>
      </c>
      <c r="N6" s="2">
        <v>9</v>
      </c>
      <c r="O6" s="2">
        <v>6</v>
      </c>
      <c r="P6" s="2">
        <v>9</v>
      </c>
      <c r="Q6" s="2">
        <v>19</v>
      </c>
      <c r="R6" s="2">
        <v>37</v>
      </c>
      <c r="S6" s="9">
        <f t="shared" si="0"/>
        <v>7.8638667632150607</v>
      </c>
      <c r="T6" s="9">
        <f t="shared" si="1"/>
        <v>33.154460248243005</v>
      </c>
      <c r="U6" s="6">
        <f t="shared" si="2"/>
        <v>0.23718880368839063</v>
      </c>
    </row>
    <row r="7" spans="1:40" x14ac:dyDescent="0.25">
      <c r="A7" s="5" t="s">
        <v>101</v>
      </c>
      <c r="B7" s="2">
        <v>2</v>
      </c>
      <c r="C7" s="2">
        <v>17</v>
      </c>
      <c r="D7" s="2">
        <v>20</v>
      </c>
      <c r="E7" s="2">
        <v>6</v>
      </c>
      <c r="F7" s="2">
        <v>11</v>
      </c>
      <c r="G7" s="2">
        <v>2</v>
      </c>
      <c r="H7" s="2">
        <v>4</v>
      </c>
      <c r="I7" s="2">
        <v>3</v>
      </c>
      <c r="J7" s="2">
        <v>3</v>
      </c>
      <c r="K7" s="2">
        <v>1</v>
      </c>
      <c r="L7" s="2">
        <v>6</v>
      </c>
      <c r="M7" s="2">
        <v>7</v>
      </c>
      <c r="N7" s="2">
        <v>1</v>
      </c>
      <c r="O7" s="2">
        <v>1</v>
      </c>
      <c r="P7" s="2">
        <v>0</v>
      </c>
      <c r="Q7" s="2">
        <v>2</v>
      </c>
      <c r="R7" s="2">
        <v>3</v>
      </c>
      <c r="S7" s="9">
        <f t="shared" si="0"/>
        <v>6.7336309523809534</v>
      </c>
      <c r="T7" s="9">
        <f t="shared" si="1"/>
        <v>30.736610425155465</v>
      </c>
      <c r="U7" s="6">
        <f t="shared" si="2"/>
        <v>0.2190752610401703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72</v>
      </c>
      <c r="C15" s="2">
        <f t="shared" ref="C15:R15" si="3">SUM(C2:C13)</f>
        <v>1086</v>
      </c>
      <c r="D15" s="2">
        <f t="shared" si="3"/>
        <v>1150</v>
      </c>
      <c r="E15" s="2">
        <f t="shared" si="3"/>
        <v>444</v>
      </c>
      <c r="F15" s="2">
        <f t="shared" si="3"/>
        <v>840</v>
      </c>
      <c r="G15" s="2">
        <f t="shared" si="3"/>
        <v>74</v>
      </c>
      <c r="H15" s="2">
        <f t="shared" si="3"/>
        <v>213</v>
      </c>
      <c r="I15" s="2">
        <f t="shared" si="3"/>
        <v>108</v>
      </c>
      <c r="J15" s="2">
        <f t="shared" si="3"/>
        <v>132</v>
      </c>
      <c r="K15" s="2">
        <f t="shared" si="3"/>
        <v>78</v>
      </c>
      <c r="L15" s="2">
        <f t="shared" si="3"/>
        <v>313</v>
      </c>
      <c r="M15" s="2">
        <f t="shared" si="3"/>
        <v>391</v>
      </c>
      <c r="N15" s="2">
        <f t="shared" si="3"/>
        <v>217</v>
      </c>
      <c r="O15" s="2">
        <f t="shared" si="3"/>
        <v>78</v>
      </c>
      <c r="P15" s="2">
        <f t="shared" si="3"/>
        <v>38</v>
      </c>
      <c r="Q15" s="2">
        <f t="shared" si="3"/>
        <v>94</v>
      </c>
      <c r="R15" s="2">
        <f t="shared" si="3"/>
        <v>207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73</v>
      </c>
      <c r="B2" s="2">
        <v>14</v>
      </c>
      <c r="C2" s="2">
        <v>215</v>
      </c>
      <c r="D2" s="2">
        <v>234</v>
      </c>
      <c r="E2" s="2">
        <v>100</v>
      </c>
      <c r="F2" s="2">
        <v>155</v>
      </c>
      <c r="G2" s="2">
        <v>5</v>
      </c>
      <c r="H2" s="2">
        <v>9</v>
      </c>
      <c r="I2" s="2">
        <v>16</v>
      </c>
      <c r="J2" s="2">
        <v>21</v>
      </c>
      <c r="K2" s="2">
        <v>13</v>
      </c>
      <c r="L2" s="2">
        <v>68</v>
      </c>
      <c r="M2" s="2">
        <v>81</v>
      </c>
      <c r="N2" s="2">
        <v>19</v>
      </c>
      <c r="O2" s="2">
        <v>4</v>
      </c>
      <c r="P2" s="2">
        <v>18</v>
      </c>
      <c r="Q2" s="2">
        <v>24</v>
      </c>
      <c r="R2" s="2">
        <v>25</v>
      </c>
      <c r="S2" s="9">
        <f>100*(N2)/((C2/($C$15/3))*$E$15-E2)</f>
        <v>14.794771658563803</v>
      </c>
      <c r="T2" s="9">
        <f>(100*(F2+0.44*J2+Q2)*($C$15/3))/(C2*($F$15+0.44*$J$15+$Q$15))</f>
        <v>32.232933205039899</v>
      </c>
      <c r="U2" s="6">
        <f>S2/T2</f>
        <v>0.45899551134398503</v>
      </c>
    </row>
    <row r="3" spans="1:40" x14ac:dyDescent="0.25">
      <c r="A3" s="5" t="s">
        <v>74</v>
      </c>
      <c r="B3" s="2">
        <v>14</v>
      </c>
      <c r="C3" s="2">
        <v>189</v>
      </c>
      <c r="D3" s="2">
        <v>214</v>
      </c>
      <c r="E3" s="2">
        <v>79</v>
      </c>
      <c r="F3" s="2">
        <v>185</v>
      </c>
      <c r="G3" s="2">
        <v>25</v>
      </c>
      <c r="H3" s="2">
        <v>66</v>
      </c>
      <c r="I3" s="2">
        <v>17</v>
      </c>
      <c r="J3" s="2">
        <v>27</v>
      </c>
      <c r="K3" s="2">
        <v>12</v>
      </c>
      <c r="L3" s="2">
        <v>68</v>
      </c>
      <c r="M3" s="2">
        <v>80</v>
      </c>
      <c r="N3" s="2">
        <v>27</v>
      </c>
      <c r="O3" s="2">
        <v>8</v>
      </c>
      <c r="P3" s="2">
        <v>2</v>
      </c>
      <c r="Q3" s="2">
        <v>32</v>
      </c>
      <c r="R3" s="2">
        <v>48</v>
      </c>
      <c r="S3" s="9">
        <f t="shared" ref="S3:S13" si="0">100*(N3)/((C3/($C$15/3))*$E$15-E3)</f>
        <v>22.167413171539263</v>
      </c>
      <c r="T3" s="9">
        <f t="shared" ref="T3:T13" si="1">(100*(F3+0.44*J3+Q3)*($C$15/3))/(C3*($F$15+0.44*$J$15+$Q$15))</f>
        <v>44.583320872415761</v>
      </c>
      <c r="U3" s="6">
        <f t="shared" ref="U3:U13" si="2">S3/T3</f>
        <v>0.4972131446864585</v>
      </c>
    </row>
    <row r="4" spans="1:40" x14ac:dyDescent="0.25">
      <c r="A4" s="5" t="s">
        <v>77</v>
      </c>
      <c r="B4" s="2">
        <v>9</v>
      </c>
      <c r="C4" s="2">
        <v>173</v>
      </c>
      <c r="D4" s="2">
        <v>164</v>
      </c>
      <c r="E4" s="2">
        <v>59</v>
      </c>
      <c r="F4" s="2">
        <v>143</v>
      </c>
      <c r="G4" s="2">
        <v>23</v>
      </c>
      <c r="H4" s="2">
        <v>64</v>
      </c>
      <c r="I4" s="2">
        <v>13</v>
      </c>
      <c r="J4" s="2">
        <v>16</v>
      </c>
      <c r="K4" s="2">
        <v>13</v>
      </c>
      <c r="L4" s="2">
        <v>50</v>
      </c>
      <c r="M4" s="2">
        <v>63</v>
      </c>
      <c r="N4" s="2">
        <v>37</v>
      </c>
      <c r="O4" s="2">
        <v>4</v>
      </c>
      <c r="P4" s="2">
        <v>2</v>
      </c>
      <c r="Q4" s="2">
        <v>15</v>
      </c>
      <c r="R4" s="2">
        <v>16</v>
      </c>
      <c r="S4" s="9">
        <f t="shared" si="0"/>
        <v>29.647095488431987</v>
      </c>
      <c r="T4" s="9">
        <f t="shared" si="1"/>
        <v>35.121211289558822</v>
      </c>
      <c r="U4" s="6">
        <f t="shared" si="2"/>
        <v>0.84413647479310505</v>
      </c>
    </row>
    <row r="5" spans="1:40" x14ac:dyDescent="0.25">
      <c r="A5" s="5" t="s">
        <v>82</v>
      </c>
      <c r="B5" s="2">
        <v>14</v>
      </c>
      <c r="C5" s="2">
        <v>202</v>
      </c>
      <c r="D5" s="2">
        <v>136</v>
      </c>
      <c r="E5" s="2">
        <v>50</v>
      </c>
      <c r="F5" s="2">
        <v>126</v>
      </c>
      <c r="G5" s="2">
        <v>14</v>
      </c>
      <c r="H5" s="2">
        <v>58</v>
      </c>
      <c r="I5" s="2">
        <v>12</v>
      </c>
      <c r="J5" s="2">
        <v>15</v>
      </c>
      <c r="K5" s="2">
        <v>10</v>
      </c>
      <c r="L5" s="2">
        <v>59</v>
      </c>
      <c r="M5" s="2">
        <v>69</v>
      </c>
      <c r="N5" s="2">
        <v>66</v>
      </c>
      <c r="O5" s="2">
        <v>6</v>
      </c>
      <c r="P5" s="2">
        <v>2</v>
      </c>
      <c r="Q5" s="2">
        <v>26</v>
      </c>
      <c r="R5" s="2">
        <v>27</v>
      </c>
      <c r="S5" s="9">
        <f t="shared" si="0"/>
        <v>40.09426336537625</v>
      </c>
      <c r="T5" s="9">
        <f t="shared" si="1"/>
        <v>28.90534701220518</v>
      </c>
      <c r="U5" s="6">
        <f t="shared" si="2"/>
        <v>1.3870881172416505</v>
      </c>
    </row>
    <row r="6" spans="1:40" x14ac:dyDescent="0.25">
      <c r="A6" s="5" t="s">
        <v>92</v>
      </c>
      <c r="B6" s="2">
        <v>14</v>
      </c>
      <c r="C6" s="2">
        <v>161</v>
      </c>
      <c r="D6" s="2">
        <v>100</v>
      </c>
      <c r="E6" s="2">
        <v>43</v>
      </c>
      <c r="F6" s="2">
        <v>88</v>
      </c>
      <c r="G6" s="2">
        <v>10</v>
      </c>
      <c r="H6" s="2">
        <v>28</v>
      </c>
      <c r="I6" s="2">
        <v>3</v>
      </c>
      <c r="J6" s="2">
        <v>8</v>
      </c>
      <c r="K6" s="2">
        <v>12</v>
      </c>
      <c r="L6" s="2">
        <v>28</v>
      </c>
      <c r="M6" s="2">
        <v>40</v>
      </c>
      <c r="N6" s="2">
        <v>24</v>
      </c>
      <c r="O6" s="2">
        <v>10</v>
      </c>
      <c r="P6" s="2">
        <v>5</v>
      </c>
      <c r="Q6" s="2">
        <v>10</v>
      </c>
      <c r="R6" s="2">
        <v>29</v>
      </c>
      <c r="S6" s="9">
        <f t="shared" si="0"/>
        <v>18.742356542799364</v>
      </c>
      <c r="T6" s="9">
        <f t="shared" si="1"/>
        <v>23.214113688609654</v>
      </c>
      <c r="U6" s="6">
        <f t="shared" si="2"/>
        <v>0.80736903395090964</v>
      </c>
    </row>
    <row r="7" spans="1:40" x14ac:dyDescent="0.25">
      <c r="A7" s="5" t="s">
        <v>100</v>
      </c>
      <c r="B7" s="2">
        <v>3</v>
      </c>
      <c r="C7" s="2">
        <v>37</v>
      </c>
      <c r="D7" s="2">
        <v>44</v>
      </c>
      <c r="E7" s="2">
        <v>15</v>
      </c>
      <c r="F7" s="2">
        <v>39</v>
      </c>
      <c r="G7" s="2">
        <v>8</v>
      </c>
      <c r="H7" s="2">
        <v>23</v>
      </c>
      <c r="I7" s="2">
        <v>3</v>
      </c>
      <c r="J7" s="2">
        <v>3</v>
      </c>
      <c r="K7" s="2">
        <v>2</v>
      </c>
      <c r="L7" s="2">
        <v>11</v>
      </c>
      <c r="M7" s="2">
        <v>13</v>
      </c>
      <c r="N7" s="2">
        <v>9</v>
      </c>
      <c r="O7" s="2">
        <v>0</v>
      </c>
      <c r="P7" s="2">
        <v>1</v>
      </c>
      <c r="Q7" s="2">
        <v>2</v>
      </c>
      <c r="R7" s="2">
        <v>8</v>
      </c>
      <c r="S7" s="9">
        <f t="shared" si="0"/>
        <v>37.021599090564614</v>
      </c>
      <c r="T7" s="9">
        <f t="shared" si="1"/>
        <v>42.108552142465783</v>
      </c>
      <c r="U7" s="6">
        <f t="shared" si="2"/>
        <v>0.87919430155920608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68</v>
      </c>
      <c r="C15" s="2">
        <f t="shared" ref="C15:R15" si="3">SUM(C2:C13)</f>
        <v>977</v>
      </c>
      <c r="D15" s="2">
        <f t="shared" si="3"/>
        <v>892</v>
      </c>
      <c r="E15" s="2">
        <f t="shared" si="3"/>
        <v>346</v>
      </c>
      <c r="F15" s="2">
        <f t="shared" si="3"/>
        <v>736</v>
      </c>
      <c r="G15" s="2">
        <f t="shared" si="3"/>
        <v>85</v>
      </c>
      <c r="H15" s="2">
        <f t="shared" si="3"/>
        <v>248</v>
      </c>
      <c r="I15" s="2">
        <f t="shared" si="3"/>
        <v>64</v>
      </c>
      <c r="J15" s="2">
        <f t="shared" si="3"/>
        <v>90</v>
      </c>
      <c r="K15" s="2">
        <f t="shared" si="3"/>
        <v>62</v>
      </c>
      <c r="L15" s="2">
        <f t="shared" si="3"/>
        <v>284</v>
      </c>
      <c r="M15" s="2">
        <f t="shared" si="3"/>
        <v>346</v>
      </c>
      <c r="N15" s="2">
        <f t="shared" si="3"/>
        <v>182</v>
      </c>
      <c r="O15" s="2">
        <f t="shared" si="3"/>
        <v>32</v>
      </c>
      <c r="P15" s="2">
        <f t="shared" si="3"/>
        <v>30</v>
      </c>
      <c r="Q15" s="2">
        <f t="shared" si="3"/>
        <v>109</v>
      </c>
      <c r="R15" s="2">
        <f t="shared" si="3"/>
        <v>153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70</v>
      </c>
      <c r="B2" s="2">
        <v>13</v>
      </c>
      <c r="C2" s="2">
        <v>258</v>
      </c>
      <c r="D2" s="2">
        <v>267</v>
      </c>
      <c r="E2" s="2">
        <v>88</v>
      </c>
      <c r="F2" s="2">
        <v>226</v>
      </c>
      <c r="G2" s="2">
        <v>46</v>
      </c>
      <c r="H2" s="2">
        <v>124</v>
      </c>
      <c r="I2" s="2">
        <v>23</v>
      </c>
      <c r="J2" s="2">
        <v>27</v>
      </c>
      <c r="K2" s="2">
        <v>14</v>
      </c>
      <c r="L2" s="2">
        <v>60</v>
      </c>
      <c r="M2" s="2">
        <v>74</v>
      </c>
      <c r="N2" s="2">
        <v>29</v>
      </c>
      <c r="O2" s="2">
        <v>15</v>
      </c>
      <c r="P2" s="2">
        <v>14</v>
      </c>
      <c r="Q2" s="2">
        <v>21</v>
      </c>
      <c r="R2" s="2">
        <v>42</v>
      </c>
      <c r="S2" s="9">
        <f>100*(N2)/((C2/($C$15/3))*$E$15-E2)</f>
        <v>16.668440659925494</v>
      </c>
      <c r="T2" s="9">
        <f>(100*(F2+0.44*J2+Q2)*($C$15/3))/(C2*($F$15+0.44*$J$15+$Q$15))</f>
        <v>36.282433404654903</v>
      </c>
      <c r="U2" s="6">
        <f>S2/T2</f>
        <v>0.4594080136253208</v>
      </c>
    </row>
    <row r="3" spans="1:40" x14ac:dyDescent="0.25">
      <c r="A3" s="5" t="s">
        <v>72</v>
      </c>
      <c r="B3" s="2">
        <v>12</v>
      </c>
      <c r="C3" s="2">
        <v>205</v>
      </c>
      <c r="D3" s="2">
        <v>239</v>
      </c>
      <c r="E3" s="2">
        <v>92</v>
      </c>
      <c r="F3" s="2">
        <v>164</v>
      </c>
      <c r="G3" s="2">
        <v>10</v>
      </c>
      <c r="H3" s="2">
        <v>25</v>
      </c>
      <c r="I3" s="2">
        <v>26</v>
      </c>
      <c r="J3" s="2">
        <v>40</v>
      </c>
      <c r="K3" s="2">
        <v>28</v>
      </c>
      <c r="L3" s="2">
        <v>91</v>
      </c>
      <c r="M3" s="2">
        <v>119</v>
      </c>
      <c r="N3" s="2">
        <v>27</v>
      </c>
      <c r="O3" s="2">
        <v>15</v>
      </c>
      <c r="P3" s="2">
        <v>4</v>
      </c>
      <c r="Q3" s="2">
        <v>24</v>
      </c>
      <c r="R3" s="2">
        <v>36</v>
      </c>
      <c r="S3" s="9">
        <f t="shared" ref="S3:S13" si="0">100*(N3)/((C3/($C$15/3))*$E$15-E3)</f>
        <v>23.243085261843394</v>
      </c>
      <c r="T3" s="9">
        <f t="shared" ref="T3:T13" si="1">(100*(F3+0.44*J3+Q3)*($C$15/3))/(C3*($F$15+0.44*$J$15+$Q$15))</f>
        <v>36.264931552489493</v>
      </c>
      <c r="U3" s="6">
        <f t="shared" ref="U3:U13" si="2">S3/T3</f>
        <v>0.64092455898342426</v>
      </c>
    </row>
    <row r="4" spans="1:40" x14ac:dyDescent="0.25">
      <c r="A4" s="5" t="s">
        <v>87</v>
      </c>
      <c r="B4" s="2">
        <v>12</v>
      </c>
      <c r="C4" s="2">
        <v>150</v>
      </c>
      <c r="D4" s="2">
        <v>115</v>
      </c>
      <c r="E4" s="2">
        <v>46</v>
      </c>
      <c r="F4" s="2">
        <v>104</v>
      </c>
      <c r="G4" s="2">
        <v>4</v>
      </c>
      <c r="H4" s="2">
        <v>20</v>
      </c>
      <c r="I4" s="2">
        <v>11</v>
      </c>
      <c r="J4" s="2">
        <v>16</v>
      </c>
      <c r="K4" s="2">
        <v>10</v>
      </c>
      <c r="L4" s="2">
        <v>32</v>
      </c>
      <c r="M4" s="2">
        <v>42</v>
      </c>
      <c r="N4" s="2">
        <v>42</v>
      </c>
      <c r="O4" s="2">
        <v>7</v>
      </c>
      <c r="P4" s="2">
        <v>2</v>
      </c>
      <c r="Q4" s="2">
        <v>16</v>
      </c>
      <c r="R4" s="2">
        <v>25</v>
      </c>
      <c r="S4" s="9">
        <f t="shared" si="0"/>
        <v>39.50531266329908</v>
      </c>
      <c r="T4" s="9">
        <f t="shared" si="1"/>
        <v>30.624347127360387</v>
      </c>
      <c r="U4" s="6">
        <f t="shared" si="2"/>
        <v>1.2899968936155464</v>
      </c>
    </row>
    <row r="5" spans="1:40" x14ac:dyDescent="0.25">
      <c r="A5" s="5" t="s">
        <v>88</v>
      </c>
      <c r="B5" s="2">
        <v>13</v>
      </c>
      <c r="C5" s="2">
        <v>125</v>
      </c>
      <c r="D5" s="2">
        <v>111</v>
      </c>
      <c r="E5" s="2">
        <v>38</v>
      </c>
      <c r="F5" s="2">
        <v>101</v>
      </c>
      <c r="G5" s="2">
        <v>9</v>
      </c>
      <c r="H5" s="2">
        <v>28</v>
      </c>
      <c r="I5" s="2">
        <v>13</v>
      </c>
      <c r="J5" s="2">
        <v>19</v>
      </c>
      <c r="K5" s="2">
        <v>8</v>
      </c>
      <c r="L5" s="2">
        <v>24</v>
      </c>
      <c r="M5" s="2">
        <v>32</v>
      </c>
      <c r="N5" s="2">
        <v>19</v>
      </c>
      <c r="O5" s="2">
        <v>9</v>
      </c>
      <c r="P5" s="2">
        <v>6</v>
      </c>
      <c r="Q5" s="2">
        <v>13</v>
      </c>
      <c r="R5" s="2">
        <v>18</v>
      </c>
      <c r="S5" s="9">
        <f t="shared" si="0"/>
        <v>21.365355915732483</v>
      </c>
      <c r="T5" s="9">
        <f t="shared" si="1"/>
        <v>35.395419847328242</v>
      </c>
      <c r="U5" s="6">
        <f t="shared" si="2"/>
        <v>0.60361922553505765</v>
      </c>
    </row>
    <row r="6" spans="1:40" x14ac:dyDescent="0.25">
      <c r="A6" s="5" t="s">
        <v>97</v>
      </c>
      <c r="B6" s="2">
        <v>8</v>
      </c>
      <c r="C6" s="2">
        <v>115</v>
      </c>
      <c r="D6" s="2">
        <v>80</v>
      </c>
      <c r="E6" s="2">
        <v>33</v>
      </c>
      <c r="F6" s="2">
        <v>93</v>
      </c>
      <c r="G6" s="2">
        <v>9</v>
      </c>
      <c r="H6" s="2">
        <v>36</v>
      </c>
      <c r="I6" s="2">
        <v>3</v>
      </c>
      <c r="J6" s="2">
        <v>4</v>
      </c>
      <c r="K6" s="2">
        <v>1</v>
      </c>
      <c r="L6" s="2">
        <v>22</v>
      </c>
      <c r="M6" s="2">
        <v>23</v>
      </c>
      <c r="N6" s="2">
        <v>27</v>
      </c>
      <c r="O6" s="2">
        <v>6</v>
      </c>
      <c r="P6" s="2">
        <v>2</v>
      </c>
      <c r="Q6" s="2">
        <v>10</v>
      </c>
      <c r="R6" s="2">
        <v>17</v>
      </c>
      <c r="S6" s="9">
        <f t="shared" si="0"/>
        <v>32.229304056294438</v>
      </c>
      <c r="T6" s="9">
        <f t="shared" si="1"/>
        <v>32.939368001816689</v>
      </c>
      <c r="U6" s="6">
        <f t="shared" si="2"/>
        <v>0.9784433039066478</v>
      </c>
    </row>
    <row r="7" spans="1:40" x14ac:dyDescent="0.25">
      <c r="A7" s="5" t="s">
        <v>98</v>
      </c>
      <c r="B7" s="2">
        <v>13</v>
      </c>
      <c r="C7" s="2">
        <v>119</v>
      </c>
      <c r="D7" s="2">
        <v>77</v>
      </c>
      <c r="E7" s="2">
        <v>32</v>
      </c>
      <c r="F7" s="2">
        <v>66</v>
      </c>
      <c r="G7" s="2">
        <v>1</v>
      </c>
      <c r="H7" s="2">
        <v>2</v>
      </c>
      <c r="I7" s="2">
        <v>7</v>
      </c>
      <c r="J7" s="2">
        <v>10</v>
      </c>
      <c r="K7" s="2">
        <v>18</v>
      </c>
      <c r="L7" s="2">
        <v>52</v>
      </c>
      <c r="M7" s="2">
        <v>70</v>
      </c>
      <c r="N7" s="2">
        <v>8</v>
      </c>
      <c r="O7" s="2">
        <v>3</v>
      </c>
      <c r="P7" s="2">
        <v>5</v>
      </c>
      <c r="Q7" s="2">
        <v>7</v>
      </c>
      <c r="R7" s="2">
        <v>23</v>
      </c>
      <c r="S7" s="9">
        <f t="shared" si="0"/>
        <v>9.0053156377028092</v>
      </c>
      <c r="T7" s="9">
        <f t="shared" si="1"/>
        <v>23.518607925291455</v>
      </c>
      <c r="U7" s="6">
        <f t="shared" si="2"/>
        <v>0.38290172897600233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71</v>
      </c>
      <c r="C15" s="2">
        <f t="shared" ref="C15:R15" si="3">SUM(C2:C13)</f>
        <v>972</v>
      </c>
      <c r="D15" s="2">
        <f t="shared" si="3"/>
        <v>889</v>
      </c>
      <c r="E15" s="2">
        <f t="shared" si="3"/>
        <v>329</v>
      </c>
      <c r="F15" s="2">
        <f t="shared" si="3"/>
        <v>754</v>
      </c>
      <c r="G15" s="2">
        <f t="shared" si="3"/>
        <v>79</v>
      </c>
      <c r="H15" s="2">
        <f t="shared" si="3"/>
        <v>235</v>
      </c>
      <c r="I15" s="2">
        <f t="shared" si="3"/>
        <v>83</v>
      </c>
      <c r="J15" s="2">
        <f t="shared" si="3"/>
        <v>116</v>
      </c>
      <c r="K15" s="2">
        <f t="shared" si="3"/>
        <v>79</v>
      </c>
      <c r="L15" s="2">
        <f t="shared" si="3"/>
        <v>281</v>
      </c>
      <c r="M15" s="2">
        <f t="shared" si="3"/>
        <v>360</v>
      </c>
      <c r="N15" s="2">
        <f t="shared" si="3"/>
        <v>152</v>
      </c>
      <c r="O15" s="2">
        <f t="shared" si="3"/>
        <v>55</v>
      </c>
      <c r="P15" s="2">
        <f t="shared" si="3"/>
        <v>33</v>
      </c>
      <c r="Q15" s="2">
        <f t="shared" si="3"/>
        <v>91</v>
      </c>
      <c r="R15" s="2">
        <f t="shared" si="3"/>
        <v>161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2026-02-03T07:54:07Z</dcterms:modified>
</cp:coreProperties>
</file>