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Modèle\"/>
    </mc:Choice>
  </mc:AlternateContent>
  <xr:revisionPtr revIDLastSave="0" documentId="13_ncr:1_{4E954D91-EBCB-40BE-805E-9BE6F8EE95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r:id="rId5"/>
    <sheet name="LACES" sheetId="10" r:id="rId6"/>
    <sheet name="MIST" sheetId="11" r:id="rId7"/>
    <sheet name="ROSE" sheetId="12" r:id="rId8"/>
    <sheet name="HIVE" sheetId="13" r:id="rId9"/>
    <sheet name="LUNAR OWLS" sheetId="14" r:id="rId10"/>
    <sheet name="PHANTOM" sheetId="15" r:id="rId11"/>
    <sheet name="VINYL" sheetId="16" r:id="rId12"/>
  </sheets>
  <definedNames>
    <definedName name="_xlnm._FilterDatabase" localSheetId="3" hidden="1">ADVANCED!$A$2:$I$2</definedName>
    <definedName name="_xlnm._FilterDatabase" localSheetId="2" hidden="1">PER_GAME_BASIC!$A$2:$BM$2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3" i="17"/>
  <c r="T12" i="16"/>
  <c r="S8" i="16"/>
  <c r="S10" i="16"/>
  <c r="T11" i="15"/>
  <c r="S13" i="15"/>
  <c r="S11" i="14"/>
  <c r="S10" i="13"/>
  <c r="S11" i="12"/>
  <c r="S9" i="11"/>
  <c r="S11" i="11"/>
  <c r="S12" i="11"/>
  <c r="S13" i="11"/>
  <c r="S10" i="10"/>
  <c r="S8" i="9"/>
  <c r="S10" i="9"/>
  <c r="S13" i="9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T5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T5" i="15" s="1"/>
  <c r="B15" i="15"/>
  <c r="R15" i="14"/>
  <c r="Q15" i="14"/>
  <c r="T9" i="14" s="1"/>
  <c r="P15" i="14"/>
  <c r="O15" i="14"/>
  <c r="N15" i="14"/>
  <c r="M15" i="14"/>
  <c r="L15" i="14"/>
  <c r="K15" i="14"/>
  <c r="J15" i="14"/>
  <c r="T13" i="14" s="1"/>
  <c r="I15" i="14"/>
  <c r="H15" i="14"/>
  <c r="G15" i="14"/>
  <c r="F15" i="14"/>
  <c r="T10" i="14" s="1"/>
  <c r="E15" i="14"/>
  <c r="S12" i="14" s="1"/>
  <c r="D15" i="14"/>
  <c r="C15" i="14"/>
  <c r="T11" i="14" s="1"/>
  <c r="B15" i="14"/>
  <c r="R15" i="13"/>
  <c r="Q15" i="13"/>
  <c r="P15" i="13"/>
  <c r="O15" i="13"/>
  <c r="N15" i="13"/>
  <c r="M15" i="13"/>
  <c r="L15" i="13"/>
  <c r="K15" i="13"/>
  <c r="J15" i="13"/>
  <c r="T8" i="13" s="1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U9" i="11" s="1"/>
  <c r="E15" i="11"/>
  <c r="D15" i="11"/>
  <c r="C15" i="11"/>
  <c r="T8" i="11" s="1"/>
  <c r="B15" i="11"/>
  <c r="R15" i="10"/>
  <c r="Q15" i="10"/>
  <c r="T13" i="10" s="1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T9" i="10" s="1"/>
  <c r="B15" i="10"/>
  <c r="S2" i="9"/>
  <c r="T5" i="9"/>
  <c r="S4" i="9"/>
  <c r="S6" i="9"/>
  <c r="S7" i="9"/>
  <c r="C15" i="9"/>
  <c r="S9" i="9" s="1"/>
  <c r="D15" i="9"/>
  <c r="E15" i="9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L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U8" i="16" l="1"/>
  <c r="S13" i="16"/>
  <c r="T11" i="16"/>
  <c r="S12" i="16"/>
  <c r="U12" i="16" s="1"/>
  <c r="T10" i="16"/>
  <c r="U10" i="16" s="1"/>
  <c r="S11" i="16"/>
  <c r="U11" i="16" s="1"/>
  <c r="T9" i="16"/>
  <c r="T8" i="16"/>
  <c r="S9" i="16"/>
  <c r="U9" i="16" s="1"/>
  <c r="T13" i="16"/>
  <c r="S12" i="15"/>
  <c r="U12" i="15" s="1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U12" i="14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U13" i="13" s="1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U12" i="12" s="1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12" i="11" s="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U8" i="9"/>
  <c r="U2" i="9"/>
  <c r="U6" i="9"/>
  <c r="U4" i="9"/>
  <c r="T4" i="9"/>
  <c r="T13" i="9"/>
  <c r="U13" i="9" s="1"/>
  <c r="S5" i="9"/>
  <c r="U5" i="9" s="1"/>
  <c r="T3" i="9"/>
  <c r="T12" i="9"/>
  <c r="T11" i="9"/>
  <c r="S3" i="9"/>
  <c r="U3" i="9" s="1"/>
  <c r="S12" i="9"/>
  <c r="U12" i="9" s="1"/>
  <c r="T10" i="9"/>
  <c r="U10" i="9" s="1"/>
  <c r="T2" i="9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U5" i="14" s="1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L23" i="8"/>
  <c r="BL39" i="8"/>
  <c r="BI44" i="8"/>
  <c r="BI12" i="8"/>
  <c r="BM38" i="8"/>
  <c r="BM30" i="8"/>
  <c r="BH46" i="8"/>
  <c r="BH38" i="8"/>
  <c r="BH30" i="8"/>
  <c r="BI28" i="8"/>
  <c r="BM46" i="8"/>
  <c r="Y21" i="8"/>
  <c r="BE46" i="8"/>
  <c r="BE38" i="8"/>
  <c r="BE30" i="8"/>
  <c r="BE22" i="8"/>
  <c r="BF44" i="8"/>
  <c r="BF36" i="8"/>
  <c r="BF28" i="8"/>
  <c r="BF20" i="8"/>
  <c r="BF12" i="8"/>
  <c r="BH22" i="8"/>
  <c r="BL7" i="8"/>
  <c r="BE29" i="8"/>
  <c r="BE5" i="8"/>
  <c r="BF11" i="8"/>
  <c r="BI27" i="8"/>
  <c r="BM45" i="8"/>
  <c r="BM37" i="8"/>
  <c r="BM29" i="8"/>
  <c r="BM21" i="8"/>
  <c r="BM13" i="8"/>
  <c r="BM5" i="8"/>
  <c r="BH45" i="8"/>
  <c r="BH37" i="8"/>
  <c r="BH29" i="8"/>
  <c r="BH21" i="8"/>
  <c r="BH13" i="8"/>
  <c r="BH5" i="8"/>
  <c r="C85" i="7"/>
  <c r="BL38" i="8"/>
  <c r="BL22" i="8"/>
  <c r="BL6" i="8"/>
  <c r="BK27" i="8"/>
  <c r="BE45" i="8"/>
  <c r="BE21" i="8"/>
  <c r="BF43" i="8"/>
  <c r="BF27" i="8"/>
  <c r="BI11" i="8"/>
  <c r="BK26" i="8"/>
  <c r="Y3" i="8"/>
  <c r="BE36" i="8"/>
  <c r="BE12" i="8"/>
  <c r="BF34" i="8"/>
  <c r="BF18" i="8"/>
  <c r="BK9" i="8"/>
  <c r="BM28" i="8"/>
  <c r="BM20" i="8"/>
  <c r="BM4" i="8"/>
  <c r="BH44" i="8"/>
  <c r="BH36" i="8"/>
  <c r="BH28" i="8"/>
  <c r="BH20" i="8"/>
  <c r="BH12" i="8"/>
  <c r="BH4" i="8"/>
  <c r="C82" i="7"/>
  <c r="AF31" i="8" s="1"/>
  <c r="BL37" i="8"/>
  <c r="BL21" i="8"/>
  <c r="BL5" i="8"/>
  <c r="BK11" i="8"/>
  <c r="BM22" i="8"/>
  <c r="BH14" i="8"/>
  <c r="BE3" i="8"/>
  <c r="Y37" i="8"/>
  <c r="BE13" i="8"/>
  <c r="BF35" i="8"/>
  <c r="BF19" i="8"/>
  <c r="BI43" i="8"/>
  <c r="BK42" i="8"/>
  <c r="BK10" i="8"/>
  <c r="BE44" i="8"/>
  <c r="BE28" i="8"/>
  <c r="BE20" i="8"/>
  <c r="BE4" i="8"/>
  <c r="BF42" i="8"/>
  <c r="BF26" i="8"/>
  <c r="BF10" i="8"/>
  <c r="BI42" i="8"/>
  <c r="BI26" i="8"/>
  <c r="BI10" i="8"/>
  <c r="BK41" i="8"/>
  <c r="BK25" i="8"/>
  <c r="BM44" i="8"/>
  <c r="BM36" i="8"/>
  <c r="BM12" i="8"/>
  <c r="BE43" i="8"/>
  <c r="BE35" i="8"/>
  <c r="BE27" i="8"/>
  <c r="BE19" i="8"/>
  <c r="BE11" i="8"/>
  <c r="BF49" i="8"/>
  <c r="BF41" i="8"/>
  <c r="BF33" i="8"/>
  <c r="BF25" i="8"/>
  <c r="BF17" i="8"/>
  <c r="BF9" i="8"/>
  <c r="BI41" i="8"/>
  <c r="BI33" i="8"/>
  <c r="BI25" i="8"/>
  <c r="BI9" i="8"/>
  <c r="BK40" i="8"/>
  <c r="BK24" i="8"/>
  <c r="BK8" i="8"/>
  <c r="BM43" i="8"/>
  <c r="BM35" i="8"/>
  <c r="BM27" i="8"/>
  <c r="BM19" i="8"/>
  <c r="BM11" i="8"/>
  <c r="BH43" i="8"/>
  <c r="BH35" i="8"/>
  <c r="BH27" i="8"/>
  <c r="BH19" i="8"/>
  <c r="BH11" i="8"/>
  <c r="BL36" i="8"/>
  <c r="BL20" i="8"/>
  <c r="BL4" i="8"/>
  <c r="BE6" i="8"/>
  <c r="BE42" i="8"/>
  <c r="BE10" i="8"/>
  <c r="BF32" i="8"/>
  <c r="BF16" i="8"/>
  <c r="BF8" i="8"/>
  <c r="BI48" i="8"/>
  <c r="BI40" i="8"/>
  <c r="BI24" i="8"/>
  <c r="BI8" i="8"/>
  <c r="BK39" i="8"/>
  <c r="BK23" i="8"/>
  <c r="BK7" i="8"/>
  <c r="BM3" i="8"/>
  <c r="BM42" i="8"/>
  <c r="BM34" i="8"/>
  <c r="BM26" i="8"/>
  <c r="BM18" i="8"/>
  <c r="BM10" i="8"/>
  <c r="BH3" i="8"/>
  <c r="BH42" i="8"/>
  <c r="BH34" i="8"/>
  <c r="BH26" i="8"/>
  <c r="BH18" i="8"/>
  <c r="BH10" i="8"/>
  <c r="BL43" i="8"/>
  <c r="BL27" i="8"/>
  <c r="BL11" i="8"/>
  <c r="BE26" i="8"/>
  <c r="BF48" i="8"/>
  <c r="BF24" i="8"/>
  <c r="BE33" i="8"/>
  <c r="BE17" i="8"/>
  <c r="BF47" i="8"/>
  <c r="BF23" i="8"/>
  <c r="BK38" i="8"/>
  <c r="BK6" i="8"/>
  <c r="T80" i="7"/>
  <c r="BM41" i="8"/>
  <c r="BM33" i="8"/>
  <c r="BM25" i="8"/>
  <c r="BM17" i="8"/>
  <c r="BM9" i="8"/>
  <c r="BH49" i="8"/>
  <c r="BH41" i="8"/>
  <c r="BH33" i="8"/>
  <c r="BH25" i="8"/>
  <c r="BH17" i="8"/>
  <c r="BH9" i="8"/>
  <c r="C87" i="7"/>
  <c r="AG34" i="8" s="1"/>
  <c r="BL42" i="8"/>
  <c r="BL26" i="8"/>
  <c r="BL10" i="8"/>
  <c r="BE14" i="8"/>
  <c r="BF4" i="8"/>
  <c r="BK43" i="8"/>
  <c r="BM6" i="8"/>
  <c r="BE34" i="8"/>
  <c r="BE18" i="8"/>
  <c r="BF40" i="8"/>
  <c r="BE49" i="8"/>
  <c r="BE9" i="8"/>
  <c r="BF31" i="8"/>
  <c r="BF15" i="8"/>
  <c r="BI39" i="8"/>
  <c r="BI23" i="8"/>
  <c r="BI7" i="8"/>
  <c r="BK22" i="8"/>
  <c r="BM49" i="8"/>
  <c r="BE48" i="8"/>
  <c r="Y40" i="8"/>
  <c r="BE32" i="8"/>
  <c r="BE24" i="8"/>
  <c r="BE16" i="8"/>
  <c r="Y8" i="8"/>
  <c r="BF46" i="8"/>
  <c r="BF38" i="8"/>
  <c r="BF30" i="8"/>
  <c r="BF22" i="8"/>
  <c r="BF14" i="8"/>
  <c r="BF6" i="8"/>
  <c r="AE38" i="8"/>
  <c r="AE22" i="8"/>
  <c r="AE6" i="8"/>
  <c r="BK45" i="8"/>
  <c r="BK29" i="8"/>
  <c r="BK13" i="8"/>
  <c r="U80" i="7"/>
  <c r="BM48" i="8"/>
  <c r="BM40" i="8"/>
  <c r="BM32" i="8"/>
  <c r="BM24" i="8"/>
  <c r="BM16" i="8"/>
  <c r="BM8" i="8"/>
  <c r="BH48" i="8"/>
  <c r="BH40" i="8"/>
  <c r="BH32" i="8"/>
  <c r="BH24" i="8"/>
  <c r="BH16" i="8"/>
  <c r="BH8" i="8"/>
  <c r="BL41" i="8"/>
  <c r="BL25" i="8"/>
  <c r="BL9" i="8"/>
  <c r="BM14" i="8"/>
  <c r="BH6" i="8"/>
  <c r="BE47" i="8"/>
  <c r="BE39" i="8"/>
  <c r="BE31" i="8"/>
  <c r="BE23" i="8"/>
  <c r="BE15" i="8"/>
  <c r="BE7" i="8"/>
  <c r="BF45" i="8"/>
  <c r="BF37" i="8"/>
  <c r="BF29" i="8"/>
  <c r="BF21" i="8"/>
  <c r="BF13" i="8"/>
  <c r="BI45" i="8"/>
  <c r="BI29" i="8"/>
  <c r="BI13" i="8"/>
  <c r="BK44" i="8"/>
  <c r="BK28" i="8"/>
  <c r="BK12" i="8"/>
  <c r="BM47" i="8"/>
  <c r="BM39" i="8"/>
  <c r="BM31" i="8"/>
  <c r="BM23" i="8"/>
  <c r="BM15" i="8"/>
  <c r="BM7" i="8"/>
  <c r="BH47" i="8"/>
  <c r="BH39" i="8"/>
  <c r="BH31" i="8"/>
  <c r="BH23" i="8"/>
  <c r="BH15" i="8"/>
  <c r="BH7" i="8"/>
  <c r="BL40" i="8"/>
  <c r="BL24" i="8"/>
  <c r="BL8" i="8"/>
  <c r="AG19" i="8"/>
  <c r="AG35" i="8"/>
  <c r="AG18" i="8"/>
  <c r="AG3" i="8"/>
  <c r="AG33" i="8"/>
  <c r="AG49" i="8"/>
  <c r="AG16" i="8"/>
  <c r="AG32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AF4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I34" i="8"/>
  <c r="BI18" i="8"/>
  <c r="BK46" i="8"/>
  <c r="BK30" i="8"/>
  <c r="BK14" i="8"/>
  <c r="BL44" i="8"/>
  <c r="BL28" i="8"/>
  <c r="BL12" i="8"/>
  <c r="AE39" i="8"/>
  <c r="AE23" i="8"/>
  <c r="AE7" i="8"/>
  <c r="BI35" i="8"/>
  <c r="BI19" i="8"/>
  <c r="BK47" i="8"/>
  <c r="BK31" i="8"/>
  <c r="BK15" i="8"/>
  <c r="BL45" i="8"/>
  <c r="BL29" i="8"/>
  <c r="BL13" i="8"/>
  <c r="AE40" i="8"/>
  <c r="AE24" i="8"/>
  <c r="AE8" i="8"/>
  <c r="AF23" i="8"/>
  <c r="AB18" i="8"/>
  <c r="BI36" i="8"/>
  <c r="BI20" i="8"/>
  <c r="BI4" i="8"/>
  <c r="BK48" i="8"/>
  <c r="BK32" i="8"/>
  <c r="BK16" i="8"/>
  <c r="BL46" i="8"/>
  <c r="BL30" i="8"/>
  <c r="BL14" i="8"/>
  <c r="AE41" i="8"/>
  <c r="AE25" i="8"/>
  <c r="AE9" i="8"/>
  <c r="AF24" i="8"/>
  <c r="BI37" i="8"/>
  <c r="BI21" i="8"/>
  <c r="BI5" i="8"/>
  <c r="BK49" i="8"/>
  <c r="BK33" i="8"/>
  <c r="BK17" i="8"/>
  <c r="BL47" i="8"/>
  <c r="BL31" i="8"/>
  <c r="BL15" i="8"/>
  <c r="AE42" i="8"/>
  <c r="AE26" i="8"/>
  <c r="AE10" i="8"/>
  <c r="AF9" i="8"/>
  <c r="AB35" i="8"/>
  <c r="BI38" i="8"/>
  <c r="BI22" i="8"/>
  <c r="BI6" i="8"/>
  <c r="BK34" i="8"/>
  <c r="BK18" i="8"/>
  <c r="BL48" i="8"/>
  <c r="BL32" i="8"/>
  <c r="BL16" i="8"/>
  <c r="AE43" i="8"/>
  <c r="AE27" i="8"/>
  <c r="AE11" i="8"/>
  <c r="AH8" i="8"/>
  <c r="BK35" i="8"/>
  <c r="BK19" i="8"/>
  <c r="BL49" i="8"/>
  <c r="BL33" i="8"/>
  <c r="BL17" i="8"/>
  <c r="AE44" i="8"/>
  <c r="AE28" i="8"/>
  <c r="AE12" i="8"/>
  <c r="BK36" i="8"/>
  <c r="BK20" i="8"/>
  <c r="BK4" i="8"/>
  <c r="BL34" i="8"/>
  <c r="BL18" i="8"/>
  <c r="AE45" i="8"/>
  <c r="AE29" i="8"/>
  <c r="AE13" i="8"/>
  <c r="Y5" i="8"/>
  <c r="BF3" i="8"/>
  <c r="BK37" i="8"/>
  <c r="BK21" i="8"/>
  <c r="BK5" i="8"/>
  <c r="BL35" i="8"/>
  <c r="BL19" i="8"/>
  <c r="AE46" i="8"/>
  <c r="AE30" i="8"/>
  <c r="AE14" i="8"/>
  <c r="AE47" i="8"/>
  <c r="AE31" i="8"/>
  <c r="AE15" i="8"/>
  <c r="Y39" i="8"/>
  <c r="Y7" i="8"/>
  <c r="AE48" i="8"/>
  <c r="AE32" i="8"/>
  <c r="AE16" i="8"/>
  <c r="BI3" i="8"/>
  <c r="AE49" i="8"/>
  <c r="AE33" i="8"/>
  <c r="AE17" i="8"/>
  <c r="BE37" i="8"/>
  <c r="AE3" i="8"/>
  <c r="AE34" i="8"/>
  <c r="Y42" i="8"/>
  <c r="Y26" i="8"/>
  <c r="BK3" i="8"/>
  <c r="BI46" i="8"/>
  <c r="BI30" i="8"/>
  <c r="BI14" i="8"/>
  <c r="BL3" i="8"/>
  <c r="BF5" i="8"/>
  <c r="BI47" i="8"/>
  <c r="BI31" i="8"/>
  <c r="BI15" i="8"/>
  <c r="BE40" i="8"/>
  <c r="BE8" i="8"/>
  <c r="BI32" i="8"/>
  <c r="BI16" i="8"/>
  <c r="BE41" i="8"/>
  <c r="BE25" i="8"/>
  <c r="BF39" i="8"/>
  <c r="BF7" i="8"/>
  <c r="BI49" i="8"/>
  <c r="BI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13" i="16" l="1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G25" i="8"/>
  <c r="AH28" i="8"/>
  <c r="BJ47" i="8"/>
  <c r="AH44" i="8"/>
  <c r="BG49" i="8"/>
  <c r="BG35" i="8"/>
  <c r="BG32" i="8"/>
  <c r="BJ13" i="8"/>
  <c r="BG33" i="8"/>
  <c r="BG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J16" i="8"/>
  <c r="BJ24" i="8"/>
  <c r="BG19" i="8"/>
  <c r="BJ46" i="8"/>
  <c r="BG22" i="8"/>
  <c r="BG36" i="8"/>
  <c r="BJ9" i="8"/>
  <c r="BJ30" i="8"/>
  <c r="BG47" i="8"/>
  <c r="BG44" i="8"/>
  <c r="BG28" i="8"/>
  <c r="BJ38" i="8"/>
  <c r="BG6" i="8"/>
  <c r="BG4" i="8"/>
  <c r="BJ32" i="8"/>
  <c r="BJ14" i="8"/>
  <c r="BJ37" i="8"/>
  <c r="BJ21" i="8"/>
  <c r="BJ5" i="8"/>
  <c r="BG15" i="8"/>
  <c r="BG30" i="8"/>
  <c r="BJ6" i="8"/>
  <c r="BJ43" i="8"/>
  <c r="BG20" i="8"/>
  <c r="BJ8" i="8"/>
  <c r="BJ48" i="8"/>
  <c r="BG37" i="8"/>
  <c r="BG38" i="8"/>
  <c r="BJ4" i="8"/>
  <c r="BJ31" i="8"/>
  <c r="BG34" i="8"/>
  <c r="BG41" i="8"/>
  <c r="BG31" i="8"/>
  <c r="BG29" i="8"/>
  <c r="BJ44" i="8"/>
  <c r="BJ41" i="8"/>
  <c r="BJ18" i="8"/>
  <c r="BJ15" i="8"/>
  <c r="BJ40" i="8"/>
  <c r="BG45" i="8"/>
  <c r="BJ11" i="8"/>
  <c r="BJ36" i="8"/>
  <c r="BG48" i="8"/>
  <c r="BG13" i="8"/>
  <c r="BJ12" i="8"/>
  <c r="BG17" i="8"/>
  <c r="BG40" i="8"/>
  <c r="BG23" i="8"/>
  <c r="BG5" i="8"/>
  <c r="BJ17" i="8"/>
  <c r="BG42" i="8"/>
  <c r="BJ35" i="8"/>
  <c r="BG3" i="8"/>
  <c r="BG18" i="8"/>
  <c r="BJ49" i="8"/>
  <c r="BJ7" i="8"/>
  <c r="BG12" i="8"/>
  <c r="BG39" i="8"/>
  <c r="BG10" i="8"/>
  <c r="BJ19" i="8"/>
  <c r="BG16" i="8"/>
  <c r="BG26" i="8"/>
  <c r="BJ42" i="8"/>
  <c r="BJ20" i="8"/>
  <c r="BG9" i="8"/>
  <c r="BJ10" i="8"/>
  <c r="BG43" i="8"/>
  <c r="BJ45" i="8"/>
  <c r="BG46" i="8"/>
  <c r="BG27" i="8"/>
  <c r="BJ27" i="8"/>
  <c r="BG7" i="8"/>
  <c r="BJ34" i="8"/>
  <c r="BJ39" i="8"/>
  <c r="BJ3" i="8"/>
  <c r="BJ23" i="8"/>
  <c r="BJ33" i="8"/>
  <c r="BJ26" i="8"/>
  <c r="BJ25" i="8"/>
  <c r="BJ22" i="8"/>
  <c r="BG24" i="8"/>
  <c r="BJ29" i="8"/>
  <c r="BG14" i="8"/>
  <c r="BG11" i="8"/>
  <c r="BJ28" i="8"/>
  <c r="BG8" i="8"/>
</calcChain>
</file>

<file path=xl/sharedStrings.xml><?xml version="1.0" encoding="utf-8"?>
<sst xmlns="http://schemas.openxmlformats.org/spreadsheetml/2006/main" count="286" uniqueCount="65">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</sst>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/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>
        <f>F3-H3</f>
        <v>0</v>
      </c>
      <c r="U3" s="2">
        <f>G3-I3</f>
        <v>0</v>
      </c>
    </row>
    <row r="4" spans="1:21" x14ac:dyDescent="0.25">
      <c r="A4" s="2"/>
      <c r="B4" s="5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>
        <f t="shared" ref="T4:T49" si="0">F4-H4</f>
        <v>0</v>
      </c>
      <c r="U4" s="2">
        <f t="shared" ref="U4:U49" si="1">G4-I4</f>
        <v>0</v>
      </c>
    </row>
    <row r="5" spans="1:21" x14ac:dyDescent="0.25">
      <c r="A5" s="2"/>
      <c r="B5" s="5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>
        <f t="shared" si="0"/>
        <v>0</v>
      </c>
      <c r="U5" s="2">
        <f t="shared" si="1"/>
        <v>0</v>
      </c>
    </row>
    <row r="6" spans="1:21" x14ac:dyDescent="0.25">
      <c r="A6" s="2"/>
      <c r="B6" s="5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>
        <f t="shared" si="0"/>
        <v>0</v>
      </c>
      <c r="U6" s="2">
        <f t="shared" si="1"/>
        <v>0</v>
      </c>
    </row>
    <row r="7" spans="1:21" x14ac:dyDescent="0.25">
      <c r="A7" s="2"/>
      <c r="B7" s="5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>
        <f t="shared" si="0"/>
        <v>0</v>
      </c>
      <c r="U7" s="2">
        <f t="shared" si="1"/>
        <v>0</v>
      </c>
    </row>
    <row r="8" spans="1:21" x14ac:dyDescent="0.25">
      <c r="A8" s="2"/>
      <c r="B8" s="5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>
        <f t="shared" si="0"/>
        <v>0</v>
      </c>
      <c r="U8" s="2">
        <f t="shared" si="1"/>
        <v>0</v>
      </c>
    </row>
    <row r="9" spans="1:21" x14ac:dyDescent="0.25">
      <c r="A9" s="2"/>
      <c r="B9" s="5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>
        <f t="shared" si="0"/>
        <v>0</v>
      </c>
      <c r="U9" s="2">
        <f t="shared" si="1"/>
        <v>0</v>
      </c>
    </row>
    <row r="10" spans="1:21" x14ac:dyDescent="0.25">
      <c r="A10" s="2"/>
      <c r="B10" s="5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f t="shared" si="0"/>
        <v>0</v>
      </c>
      <c r="U10" s="2">
        <f t="shared" si="1"/>
        <v>0</v>
      </c>
    </row>
    <row r="11" spans="1:21" x14ac:dyDescent="0.25">
      <c r="A11" s="2"/>
      <c r="B11" s="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>
        <f t="shared" si="0"/>
        <v>0</v>
      </c>
      <c r="U11" s="2">
        <f t="shared" si="1"/>
        <v>0</v>
      </c>
    </row>
    <row r="12" spans="1:21" x14ac:dyDescent="0.25">
      <c r="A12" s="2"/>
      <c r="B12" s="5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>
        <f t="shared" si="0"/>
        <v>0</v>
      </c>
      <c r="U12" s="2">
        <f t="shared" si="1"/>
        <v>0</v>
      </c>
    </row>
    <row r="13" spans="1:21" x14ac:dyDescent="0.25">
      <c r="A13" s="2"/>
      <c r="B13" s="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>
        <f t="shared" si="0"/>
        <v>0</v>
      </c>
      <c r="U13" s="2">
        <f t="shared" si="1"/>
        <v>0</v>
      </c>
    </row>
    <row r="14" spans="1:21" x14ac:dyDescent="0.25">
      <c r="A14" s="2"/>
      <c r="B14" s="5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>
        <f t="shared" si="0"/>
        <v>0</v>
      </c>
      <c r="U14" s="2">
        <f t="shared" si="1"/>
        <v>0</v>
      </c>
    </row>
    <row r="15" spans="1:21" x14ac:dyDescent="0.25">
      <c r="A15" s="2"/>
      <c r="B15" s="5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>
        <f t="shared" si="0"/>
        <v>0</v>
      </c>
      <c r="U15" s="2">
        <f t="shared" si="1"/>
        <v>0</v>
      </c>
    </row>
    <row r="16" spans="1:21" x14ac:dyDescent="0.25">
      <c r="A16" s="2"/>
      <c r="B16" s="5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>
        <f t="shared" si="0"/>
        <v>0</v>
      </c>
      <c r="U16" s="2">
        <f t="shared" si="1"/>
        <v>0</v>
      </c>
    </row>
    <row r="17" spans="1:21" x14ac:dyDescent="0.25">
      <c r="A17" s="2"/>
      <c r="B17" s="5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>
        <f t="shared" si="0"/>
        <v>0</v>
      </c>
      <c r="U17" s="2">
        <f t="shared" si="1"/>
        <v>0</v>
      </c>
    </row>
    <row r="18" spans="1:21" x14ac:dyDescent="0.25">
      <c r="A18" s="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f t="shared" si="0"/>
        <v>0</v>
      </c>
      <c r="U18" s="2">
        <f t="shared" si="1"/>
        <v>0</v>
      </c>
    </row>
    <row r="19" spans="1:21" x14ac:dyDescent="0.25">
      <c r="A19" s="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>
        <f t="shared" si="0"/>
        <v>0</v>
      </c>
      <c r="U19" s="2">
        <f t="shared" si="1"/>
        <v>0</v>
      </c>
    </row>
    <row r="20" spans="1:21" x14ac:dyDescent="0.25">
      <c r="A20" s="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>
        <f t="shared" si="0"/>
        <v>0</v>
      </c>
      <c r="U20" s="2">
        <f t="shared" si="1"/>
        <v>0</v>
      </c>
    </row>
    <row r="21" spans="1:21" x14ac:dyDescent="0.25">
      <c r="A21" s="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>
        <f t="shared" si="0"/>
        <v>0</v>
      </c>
      <c r="U21" s="2">
        <f t="shared" si="1"/>
        <v>0</v>
      </c>
    </row>
    <row r="22" spans="1:21" x14ac:dyDescent="0.25">
      <c r="A22" s="2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>
        <f t="shared" si="0"/>
        <v>0</v>
      </c>
      <c r="U22" s="2">
        <f t="shared" si="1"/>
        <v>0</v>
      </c>
    </row>
    <row r="23" spans="1:21" x14ac:dyDescent="0.25">
      <c r="A23" s="2"/>
      <c r="B23" s="5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>
        <f t="shared" si="0"/>
        <v>0</v>
      </c>
      <c r="U23" s="2">
        <f t="shared" si="1"/>
        <v>0</v>
      </c>
    </row>
    <row r="24" spans="1:21" x14ac:dyDescent="0.25">
      <c r="A24" s="2"/>
      <c r="B24" s="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>
        <f t="shared" si="0"/>
        <v>0</v>
      </c>
      <c r="U24" s="2">
        <f t="shared" si="1"/>
        <v>0</v>
      </c>
    </row>
    <row r="25" spans="1:21" x14ac:dyDescent="0.25">
      <c r="A25" s="2"/>
      <c r="B25" s="5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>
        <f t="shared" si="0"/>
        <v>0</v>
      </c>
      <c r="U25" s="2">
        <f t="shared" si="1"/>
        <v>0</v>
      </c>
    </row>
    <row r="26" spans="1:21" x14ac:dyDescent="0.25">
      <c r="A26" s="2"/>
      <c r="B26" s="5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f t="shared" si="0"/>
        <v>0</v>
      </c>
      <c r="U26" s="2">
        <f t="shared" si="1"/>
        <v>0</v>
      </c>
    </row>
    <row r="27" spans="1:21" x14ac:dyDescent="0.25">
      <c r="A27" s="2"/>
      <c r="B27" s="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>
        <f t="shared" si="0"/>
        <v>0</v>
      </c>
      <c r="U27" s="2">
        <f t="shared" si="1"/>
        <v>0</v>
      </c>
    </row>
    <row r="28" spans="1:21" x14ac:dyDescent="0.25">
      <c r="A28" s="2"/>
      <c r="B28" s="5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f t="shared" si="0"/>
        <v>0</v>
      </c>
      <c r="U28" s="2">
        <f t="shared" si="1"/>
        <v>0</v>
      </c>
    </row>
    <row r="29" spans="1:21" x14ac:dyDescent="0.25">
      <c r="A29" s="2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f t="shared" si="0"/>
        <v>0</v>
      </c>
      <c r="U29" s="2">
        <f t="shared" si="1"/>
        <v>0</v>
      </c>
    </row>
    <row r="30" spans="1:21" x14ac:dyDescent="0.25">
      <c r="A30" s="2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f t="shared" si="0"/>
        <v>0</v>
      </c>
      <c r="U30" s="2">
        <f t="shared" si="1"/>
        <v>0</v>
      </c>
    </row>
    <row r="31" spans="1:21" x14ac:dyDescent="0.25">
      <c r="A31" s="2"/>
      <c r="B31" s="5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>
        <f t="shared" si="0"/>
        <v>0</v>
      </c>
      <c r="U31" s="2">
        <f t="shared" si="1"/>
        <v>0</v>
      </c>
    </row>
    <row r="32" spans="1:21" x14ac:dyDescent="0.25">
      <c r="A32" s="2"/>
      <c r="B32" s="5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>
        <f t="shared" si="0"/>
        <v>0</v>
      </c>
      <c r="U32" s="2">
        <f t="shared" si="1"/>
        <v>0</v>
      </c>
    </row>
    <row r="33" spans="1:21" x14ac:dyDescent="0.25">
      <c r="A33" s="2"/>
      <c r="B33" s="5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>
        <f t="shared" si="0"/>
        <v>0</v>
      </c>
      <c r="U33" s="2">
        <f t="shared" si="1"/>
        <v>0</v>
      </c>
    </row>
    <row r="34" spans="1:21" x14ac:dyDescent="0.25">
      <c r="A34" s="2"/>
      <c r="B34" s="5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>
        <f t="shared" si="0"/>
        <v>0</v>
      </c>
      <c r="U34" s="2">
        <f t="shared" si="1"/>
        <v>0</v>
      </c>
    </row>
    <row r="35" spans="1:21" x14ac:dyDescent="0.25">
      <c r="A35" s="2"/>
      <c r="B35" s="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>
        <f t="shared" si="0"/>
        <v>0</v>
      </c>
      <c r="U35" s="2">
        <f t="shared" si="1"/>
        <v>0</v>
      </c>
    </row>
    <row r="36" spans="1:21" x14ac:dyDescent="0.25">
      <c r="A36" s="2"/>
      <c r="B36" s="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>
        <f t="shared" si="0"/>
        <v>0</v>
      </c>
      <c r="U36" s="2">
        <f t="shared" si="1"/>
        <v>0</v>
      </c>
    </row>
    <row r="37" spans="1:21" x14ac:dyDescent="0.25">
      <c r="A37" s="2"/>
      <c r="B37" s="5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>
        <f t="shared" si="0"/>
        <v>0</v>
      </c>
      <c r="U37" s="2">
        <f t="shared" si="1"/>
        <v>0</v>
      </c>
    </row>
    <row r="38" spans="1:21" x14ac:dyDescent="0.25">
      <c r="A38" s="2"/>
      <c r="B38" s="5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>
        <f t="shared" si="0"/>
        <v>0</v>
      </c>
      <c r="U38" s="2">
        <f t="shared" si="1"/>
        <v>0</v>
      </c>
    </row>
    <row r="39" spans="1:21" x14ac:dyDescent="0.25">
      <c r="A39" s="2"/>
      <c r="B39" s="5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>
        <f t="shared" si="0"/>
        <v>0</v>
      </c>
      <c r="U39" s="2">
        <f t="shared" si="1"/>
        <v>0</v>
      </c>
    </row>
    <row r="40" spans="1:21" x14ac:dyDescent="0.25">
      <c r="A40" s="2"/>
      <c r="B40" s="5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>
        <f t="shared" si="0"/>
        <v>0</v>
      </c>
      <c r="U40" s="2">
        <f t="shared" si="1"/>
        <v>0</v>
      </c>
    </row>
    <row r="41" spans="1:21" x14ac:dyDescent="0.25">
      <c r="A41" s="2"/>
      <c r="B41" s="5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>
        <f t="shared" si="0"/>
        <v>0</v>
      </c>
      <c r="U41" s="2">
        <f t="shared" si="1"/>
        <v>0</v>
      </c>
    </row>
    <row r="42" spans="1:21" x14ac:dyDescent="0.25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>
        <f t="shared" si="0"/>
        <v>0</v>
      </c>
      <c r="U42" s="2">
        <f t="shared" si="1"/>
        <v>0</v>
      </c>
    </row>
    <row r="43" spans="1:21" x14ac:dyDescent="0.25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>
        <f t="shared" si="0"/>
        <v>0</v>
      </c>
      <c r="U43" s="2">
        <f t="shared" si="1"/>
        <v>0</v>
      </c>
    </row>
    <row r="44" spans="1:21" x14ac:dyDescent="0.25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>
        <f t="shared" si="0"/>
        <v>0</v>
      </c>
      <c r="U44" s="2">
        <f t="shared" si="1"/>
        <v>0</v>
      </c>
    </row>
    <row r="45" spans="1:21" x14ac:dyDescent="0.25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>
        <f t="shared" si="0"/>
        <v>0</v>
      </c>
      <c r="U45" s="2">
        <f t="shared" si="1"/>
        <v>0</v>
      </c>
    </row>
    <row r="46" spans="1:21" x14ac:dyDescent="0.25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>
        <f t="shared" si="0"/>
        <v>0</v>
      </c>
      <c r="U46" s="2">
        <f t="shared" si="1"/>
        <v>0</v>
      </c>
    </row>
    <row r="47" spans="1:21" x14ac:dyDescent="0.25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>
        <f t="shared" si="0"/>
        <v>0</v>
      </c>
      <c r="U47" s="2">
        <f t="shared" si="1"/>
        <v>0</v>
      </c>
    </row>
    <row r="48" spans="1:21" x14ac:dyDescent="0.25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>
        <f t="shared" si="0"/>
        <v>0</v>
      </c>
      <c r="U48" s="2">
        <f t="shared" si="1"/>
        <v>0</v>
      </c>
    </row>
    <row r="49" spans="1:21" x14ac:dyDescent="0.25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>
        <f t="shared" si="0"/>
        <v>0</v>
      </c>
      <c r="U49" s="2">
        <f t="shared" si="1"/>
        <v>0</v>
      </c>
    </row>
    <row r="80" spans="2:31" x14ac:dyDescent="0.25">
      <c r="B80" t="s">
        <v>36</v>
      </c>
      <c r="C80" s="6">
        <f>SUM(C3:C49)</f>
        <v>0</v>
      </c>
      <c r="D80" s="6">
        <f t="shared" ref="D80:U80" si="2">SUM(D3:D49)</f>
        <v>0</v>
      </c>
      <c r="E80" s="6">
        <f t="shared" si="2"/>
        <v>0</v>
      </c>
      <c r="F80" s="6">
        <f t="shared" si="2"/>
        <v>0</v>
      </c>
      <c r="G80" s="6">
        <f t="shared" si="2"/>
        <v>0</v>
      </c>
      <c r="H80" s="6">
        <f t="shared" si="2"/>
        <v>0</v>
      </c>
      <c r="I80" s="6">
        <f t="shared" si="2"/>
        <v>0</v>
      </c>
      <c r="J80" s="6">
        <f t="shared" si="2"/>
        <v>0</v>
      </c>
      <c r="K80" s="6">
        <f t="shared" si="2"/>
        <v>0</v>
      </c>
      <c r="L80" s="6">
        <f t="shared" si="2"/>
        <v>0</v>
      </c>
      <c r="M80" s="6">
        <f t="shared" si="2"/>
        <v>0</v>
      </c>
      <c r="N80" s="6">
        <f t="shared" si="2"/>
        <v>0</v>
      </c>
      <c r="O80" s="6">
        <f t="shared" si="2"/>
        <v>0</v>
      </c>
      <c r="P80" s="6">
        <f t="shared" si="2"/>
        <v>0</v>
      </c>
      <c r="Q80" s="6">
        <f t="shared" si="2"/>
        <v>0</v>
      </c>
      <c r="R80" s="6">
        <f t="shared" si="2"/>
        <v>0</v>
      </c>
      <c r="S80" s="6">
        <f t="shared" si="2"/>
        <v>0</v>
      </c>
      <c r="T80" s="6">
        <f t="shared" si="2"/>
        <v>0</v>
      </c>
      <c r="U80" s="6">
        <f t="shared" si="2"/>
        <v>0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 t="e">
        <f>100*(E80)/(2*(G80+0.44*K80))</f>
        <v>#DIV/0!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 t="e">
        <f>(E80)/((G80+0.44*K80+R80))</f>
        <v>#DIV/0!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 t="e">
        <f>100*(H80/I80)</f>
        <v>#DIV/0!</v>
      </c>
    </row>
    <row r="84" spans="2:31" x14ac:dyDescent="0.25">
      <c r="B84" t="s">
        <v>40</v>
      </c>
      <c r="C84" s="9" t="e">
        <f>100*(T80/U80)</f>
        <v>#DIV/0!</v>
      </c>
    </row>
    <row r="85" spans="2:31" x14ac:dyDescent="0.25">
      <c r="B85" t="s">
        <v>41</v>
      </c>
      <c r="C85" s="9" t="e">
        <f>100*(F80/G80)</f>
        <v>#DIV/0!</v>
      </c>
    </row>
    <row r="86" spans="2:31" x14ac:dyDescent="0.25">
      <c r="B86" t="s">
        <v>42</v>
      </c>
      <c r="C86" s="9" t="e">
        <f>100*(F80+0.5*H80)/(G80)</f>
        <v>#DIV/0!</v>
      </c>
    </row>
    <row r="87" spans="2:31" x14ac:dyDescent="0.25">
      <c r="B87" t="s">
        <v>44</v>
      </c>
      <c r="C87" s="9" t="e">
        <f>100*(J80/K80)</f>
        <v>#DIV/0!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5" width="7.5703125" customWidth="1"/>
    <col min="36" max="37" width="8.5703125" customWidth="1"/>
    <col min="38" max="59" width="6.5703125" customWidth="1"/>
    <col min="60" max="65" width="7.5703125" customWidth="1"/>
  </cols>
  <sheetData>
    <row r="1" spans="1:65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L1" s="16" t="s">
        <v>30</v>
      </c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</row>
    <row r="2" spans="1:65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L2" s="7" t="s">
        <v>4</v>
      </c>
      <c r="AM2" s="7" t="s">
        <v>24</v>
      </c>
      <c r="AN2" s="7" t="s">
        <v>5</v>
      </c>
      <c r="AO2" s="7" t="s">
        <v>6</v>
      </c>
      <c r="AP2" s="7" t="s">
        <v>7</v>
      </c>
      <c r="AQ2" s="7" t="s">
        <v>8</v>
      </c>
      <c r="AR2" s="7" t="s">
        <v>9</v>
      </c>
      <c r="AS2" s="7" t="s">
        <v>10</v>
      </c>
      <c r="AT2" s="7" t="s">
        <v>14</v>
      </c>
      <c r="AU2" s="7" t="s">
        <v>15</v>
      </c>
      <c r="AV2" s="7" t="s">
        <v>16</v>
      </c>
      <c r="AW2" s="7" t="s">
        <v>17</v>
      </c>
      <c r="AX2" s="7" t="s">
        <v>34</v>
      </c>
      <c r="AY2" s="7" t="s">
        <v>18</v>
      </c>
      <c r="AZ2" s="7" t="s">
        <v>19</v>
      </c>
      <c r="BA2" s="7" t="s">
        <v>20</v>
      </c>
      <c r="BB2" s="7" t="s">
        <v>21</v>
      </c>
      <c r="BC2" s="7" t="s">
        <v>22</v>
      </c>
      <c r="BD2" s="7" t="s">
        <v>23</v>
      </c>
      <c r="BE2" s="7" t="s">
        <v>11</v>
      </c>
      <c r="BF2" s="7" t="s">
        <v>12</v>
      </c>
      <c r="BG2" s="7" t="s">
        <v>13</v>
      </c>
      <c r="BH2" s="7" t="s">
        <v>25</v>
      </c>
      <c r="BI2" s="7" t="s">
        <v>26</v>
      </c>
      <c r="BJ2" s="7" t="s">
        <v>35</v>
      </c>
      <c r="BK2" s="7" t="s">
        <v>28</v>
      </c>
      <c r="BL2" s="7" t="s">
        <v>43</v>
      </c>
      <c r="BM2" s="7" t="s">
        <v>31</v>
      </c>
    </row>
    <row r="3" spans="1:65" x14ac:dyDescent="0.25">
      <c r="A3" s="2"/>
      <c r="B3" s="5"/>
      <c r="C3" s="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>
        <f>F3-I3</f>
        <v>0</v>
      </c>
      <c r="X3" s="9">
        <f>G3-J3</f>
        <v>0</v>
      </c>
      <c r="Y3" s="9" t="str">
        <f>IF(X3=0,"0",(W3/X3)*100)</f>
        <v>0</v>
      </c>
      <c r="Z3" s="6" t="str">
        <f>IF(U3=0,"0",R3/U3)</f>
        <v>0</v>
      </c>
      <c r="AA3" s="9" t="e">
        <f>100*(E3)/(2*(G3+0.44*M3))</f>
        <v>#DIV/0!</v>
      </c>
      <c r="AB3" s="6" t="e">
        <f>2*AA3/100</f>
        <v>#DIV/0!</v>
      </c>
      <c r="AC3" s="6" t="e">
        <f>(E3)/(G3+0.44*M3+U3)</f>
        <v>#DIV/0!</v>
      </c>
      <c r="AD3" s="9" t="e">
        <f>100*(F3+0.5*I3)/(G3)</f>
        <v>#DIV/0!</v>
      </c>
      <c r="AE3" s="4" t="e">
        <f>100*(AA3/TOTAL_BASIC!$C$81)</f>
        <v>#DIV/0!</v>
      </c>
      <c r="AF3" s="4" t="e">
        <f>100*AC3/TOTAL_BASIC!$C$82</f>
        <v>#DIV/0!</v>
      </c>
      <c r="AG3" s="4" t="e">
        <f>100*N3/TOTAL_BASIC!$C$87</f>
        <v>#DIV/0!</v>
      </c>
      <c r="AH3" s="4" t="e">
        <f>100*AD3/TOTAL_BASIC!$C$86</f>
        <v>#DIV/0!</v>
      </c>
      <c r="AI3" s="3" t="e">
        <f>T3/V3</f>
        <v>#DIV/0!</v>
      </c>
      <c r="AL3" s="4" t="e">
        <f t="shared" ref="AL3:AL17" si="0">(PERCENTRANK(D$3:D$78,D3))*100</f>
        <v>#N/A</v>
      </c>
      <c r="AM3" s="4" t="e">
        <f t="shared" ref="AM3:AM17" si="1">(PERCENTRANK(E$3:E$78,E3))*100</f>
        <v>#N/A</v>
      </c>
      <c r="AN3" s="4" t="e">
        <f t="shared" ref="AN3:AN17" si="2">(PERCENTRANK(F$3:F$78,F3))*100</f>
        <v>#N/A</v>
      </c>
      <c r="AO3" s="4" t="e">
        <f t="shared" ref="AO3:AO17" si="3">(PERCENTRANK(G$3:G$78,G3))*100</f>
        <v>#N/A</v>
      </c>
      <c r="AP3" s="4" t="e">
        <f t="shared" ref="AP3:AP17" si="4">(PERCENTRANK(H$3:H$78,H3))*100</f>
        <v>#N/A</v>
      </c>
      <c r="AQ3" s="4" t="e">
        <f t="shared" ref="AQ3:AQ17" si="5">(PERCENTRANK(I$3:I$78,I3))*100</f>
        <v>#N/A</v>
      </c>
      <c r="AR3" s="4" t="e">
        <f t="shared" ref="AR3:AR17" si="6">(PERCENTRANK(J$3:J$78,J3))*100</f>
        <v>#N/A</v>
      </c>
      <c r="AS3" s="4" t="e">
        <f t="shared" ref="AS3:AS17" si="7">(PERCENTRANK(K$3:K$78,K3))*100</f>
        <v>#N/A</v>
      </c>
      <c r="AT3" s="4" t="e">
        <f t="shared" ref="AT3:AT17" si="8">(PERCENTRANK(L$3:L$78,L3))*100</f>
        <v>#N/A</v>
      </c>
      <c r="AU3" s="4" t="e">
        <f t="shared" ref="AU3:AU17" si="9">(PERCENTRANK(M$3:M$78,M3))*100</f>
        <v>#N/A</v>
      </c>
      <c r="AV3" s="4" t="e">
        <f t="shared" ref="AV3:AV17" si="10">(PERCENTRANK(N$3:N$78,N3))*100</f>
        <v>#N/A</v>
      </c>
      <c r="AW3" s="4" t="e">
        <f t="shared" ref="AW3:AW17" si="11">(PERCENTRANK(O$3:O$78,O3))*100</f>
        <v>#N/A</v>
      </c>
      <c r="AX3" s="4" t="e">
        <f t="shared" ref="AX3:AX17" si="12">(PERCENTRANK(P$3:P$78,P3))*100</f>
        <v>#N/A</v>
      </c>
      <c r="AY3" s="4" t="e">
        <f t="shared" ref="AY3:AY17" si="13">(PERCENTRANK(Q$3:Q$78,Q3))*100</f>
        <v>#N/A</v>
      </c>
      <c r="AZ3" s="4" t="e">
        <f t="shared" ref="AZ3:AZ17" si="14">(PERCENTRANK(R$3:R$78,R3))*100</f>
        <v>#N/A</v>
      </c>
      <c r="BA3" s="4" t="e">
        <f t="shared" ref="BA3:BA17" si="15">(PERCENTRANK(S$3:S$78,S3))*100</f>
        <v>#N/A</v>
      </c>
      <c r="BB3" s="4" t="e">
        <f t="shared" ref="BB3:BB17" si="16">(PERCENTRANK(T$3:T$78,T3))*100</f>
        <v>#N/A</v>
      </c>
      <c r="BC3" s="4" t="e">
        <f t="shared" ref="BC3:BC49" si="17">100-(PERCENTRANK(U$3:U$78,U3))*100</f>
        <v>#N/A</v>
      </c>
      <c r="BD3" s="4" t="e">
        <f t="shared" ref="BD3:BD49" si="18">100-(PERCENTRANK(V$3:V$78,V3))*100</f>
        <v>#N/A</v>
      </c>
      <c r="BE3" s="4">
        <f t="shared" ref="BE3:BE28" si="19">(PERCENTRANK(W$3:W$78,W3))*100</f>
        <v>0</v>
      </c>
      <c r="BF3" s="4">
        <f t="shared" ref="BF3:BF28" si="20">(PERCENTRANK(X$3:X$78,X3))*100</f>
        <v>0</v>
      </c>
      <c r="BG3" s="4" t="e">
        <f t="shared" ref="BG3:BG28" si="21">(PERCENTRANK(Y$3:Y$78,Y3))*100</f>
        <v>#N/A</v>
      </c>
      <c r="BH3" s="4" t="e">
        <f t="shared" ref="BH3:BH28" si="22">(PERCENTRANK(Z$3:Z$78,Z3))*100</f>
        <v>#N/A</v>
      </c>
      <c r="BI3" s="4" t="e">
        <f t="shared" ref="BI3:BI28" si="23">(PERCENTRANK(AA$3:AA$78,AA3))*100</f>
        <v>#DIV/0!</v>
      </c>
      <c r="BJ3" s="4" t="e">
        <f t="shared" ref="BJ3:BJ28" si="24">(PERCENTRANK(AB$3:AB$78,AB3))*100</f>
        <v>#DIV/0!</v>
      </c>
      <c r="BK3" s="4" t="e">
        <f t="shared" ref="BK3:BK28" si="25">(PERCENTRANK(AC$3:AC$78,AC3))*100</f>
        <v>#DIV/0!</v>
      </c>
      <c r="BL3" s="4" t="e">
        <f t="shared" ref="BL3:BL28" si="26">(PERCENTRANK(AD$3:AD$78,AD3))*100</f>
        <v>#DIV/0!</v>
      </c>
      <c r="BM3" s="4" t="e">
        <f t="shared" ref="BM3:BM49" si="27">(PERCENTRANK(AI$3:AI$78,AI3))*100</f>
        <v>#DIV/0!</v>
      </c>
    </row>
    <row r="4" spans="1:65" x14ac:dyDescent="0.25">
      <c r="A4" s="2"/>
      <c r="B4" s="5"/>
      <c r="C4" s="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>
        <f t="shared" ref="W4:W49" si="28">F4-I4</f>
        <v>0</v>
      </c>
      <c r="X4" s="9">
        <f t="shared" ref="X4:X49" si="29">G4-J4</f>
        <v>0</v>
      </c>
      <c r="Y4" s="9" t="str">
        <f t="shared" ref="Y4:Y49" si="30">IF(X4=0,"0",(W4/X4)*100)</f>
        <v>0</v>
      </c>
      <c r="Z4" s="6" t="str">
        <f t="shared" ref="Z4:Z49" si="31">IF(U4=0,"0",R4/U4)</f>
        <v>0</v>
      </c>
      <c r="AA4" s="9" t="e">
        <f t="shared" ref="AA4:AA49" si="32">100*(E4)/(2*(G4+0.44*M4))</f>
        <v>#DIV/0!</v>
      </c>
      <c r="AB4" s="6" t="e">
        <f t="shared" ref="AB4:AB49" si="33">2*AA4/100</f>
        <v>#DIV/0!</v>
      </c>
      <c r="AC4" s="6" t="e">
        <f t="shared" ref="AC4:AC49" si="34">(E4)/(G4+0.44*M4+U4)</f>
        <v>#DIV/0!</v>
      </c>
      <c r="AD4" s="9" t="e">
        <f t="shared" ref="AD4:AD49" si="35">100*(F4+0.5*I4)/(G4)</f>
        <v>#DIV/0!</v>
      </c>
      <c r="AE4" s="4" t="e">
        <f>100*(AA4/TOTAL_BASIC!$C$81)</f>
        <v>#DIV/0!</v>
      </c>
      <c r="AF4" s="4" t="e">
        <f>100*AC4/TOTAL_BASIC!$C$82</f>
        <v>#DIV/0!</v>
      </c>
      <c r="AG4" s="4" t="e">
        <f>100*N4/TOTAL_BASIC!$C$87</f>
        <v>#DIV/0!</v>
      </c>
      <c r="AH4" s="4" t="e">
        <f>100*AD4/TOTAL_BASIC!$C$86</f>
        <v>#DIV/0!</v>
      </c>
      <c r="AI4" s="3" t="e">
        <f t="shared" ref="AI4:AI49" si="36">T4/V4</f>
        <v>#DIV/0!</v>
      </c>
      <c r="AL4" s="4" t="e">
        <f t="shared" si="0"/>
        <v>#N/A</v>
      </c>
      <c r="AM4" s="4" t="e">
        <f t="shared" si="1"/>
        <v>#N/A</v>
      </c>
      <c r="AN4" s="4" t="e">
        <f t="shared" si="2"/>
        <v>#N/A</v>
      </c>
      <c r="AO4" s="4" t="e">
        <f t="shared" si="3"/>
        <v>#N/A</v>
      </c>
      <c r="AP4" s="4" t="e">
        <f t="shared" si="4"/>
        <v>#N/A</v>
      </c>
      <c r="AQ4" s="4" t="e">
        <f t="shared" si="5"/>
        <v>#N/A</v>
      </c>
      <c r="AR4" s="4" t="e">
        <f t="shared" si="6"/>
        <v>#N/A</v>
      </c>
      <c r="AS4" s="4" t="e">
        <f t="shared" si="7"/>
        <v>#N/A</v>
      </c>
      <c r="AT4" s="4" t="e">
        <f t="shared" si="8"/>
        <v>#N/A</v>
      </c>
      <c r="AU4" s="4" t="e">
        <f t="shared" si="9"/>
        <v>#N/A</v>
      </c>
      <c r="AV4" s="4" t="e">
        <f t="shared" si="10"/>
        <v>#N/A</v>
      </c>
      <c r="AW4" s="4" t="e">
        <f t="shared" si="11"/>
        <v>#N/A</v>
      </c>
      <c r="AX4" s="4" t="e">
        <f t="shared" si="12"/>
        <v>#N/A</v>
      </c>
      <c r="AY4" s="4" t="e">
        <f t="shared" si="13"/>
        <v>#N/A</v>
      </c>
      <c r="AZ4" s="4" t="e">
        <f t="shared" si="14"/>
        <v>#N/A</v>
      </c>
      <c r="BA4" s="4" t="e">
        <f t="shared" si="15"/>
        <v>#N/A</v>
      </c>
      <c r="BB4" s="4" t="e">
        <f t="shared" si="16"/>
        <v>#N/A</v>
      </c>
      <c r="BC4" s="4" t="e">
        <f t="shared" si="17"/>
        <v>#N/A</v>
      </c>
      <c r="BD4" s="4" t="e">
        <f t="shared" si="18"/>
        <v>#N/A</v>
      </c>
      <c r="BE4" s="4">
        <f t="shared" si="19"/>
        <v>0</v>
      </c>
      <c r="BF4" s="4">
        <f t="shared" si="20"/>
        <v>0</v>
      </c>
      <c r="BG4" s="4" t="e">
        <f t="shared" si="21"/>
        <v>#N/A</v>
      </c>
      <c r="BH4" s="4" t="e">
        <f t="shared" si="22"/>
        <v>#N/A</v>
      </c>
      <c r="BI4" s="4" t="e">
        <f t="shared" si="23"/>
        <v>#DIV/0!</v>
      </c>
      <c r="BJ4" s="4" t="e">
        <f t="shared" si="24"/>
        <v>#DIV/0!</v>
      </c>
      <c r="BK4" s="4" t="e">
        <f t="shared" si="25"/>
        <v>#DIV/0!</v>
      </c>
      <c r="BL4" s="4" t="e">
        <f t="shared" si="26"/>
        <v>#DIV/0!</v>
      </c>
      <c r="BM4" s="4" t="e">
        <f t="shared" si="27"/>
        <v>#DIV/0!</v>
      </c>
    </row>
    <row r="5" spans="1:65" x14ac:dyDescent="0.25">
      <c r="A5" s="2"/>
      <c r="B5" s="5"/>
      <c r="C5" s="2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f t="shared" si="28"/>
        <v>0</v>
      </c>
      <c r="X5" s="9">
        <f t="shared" si="29"/>
        <v>0</v>
      </c>
      <c r="Y5" s="9" t="str">
        <f t="shared" si="30"/>
        <v>0</v>
      </c>
      <c r="Z5" s="6" t="str">
        <f t="shared" si="31"/>
        <v>0</v>
      </c>
      <c r="AA5" s="9" t="e">
        <f t="shared" si="32"/>
        <v>#DIV/0!</v>
      </c>
      <c r="AB5" s="6" t="e">
        <f t="shared" si="33"/>
        <v>#DIV/0!</v>
      </c>
      <c r="AC5" s="6" t="e">
        <f t="shared" si="34"/>
        <v>#DIV/0!</v>
      </c>
      <c r="AD5" s="9" t="e">
        <f t="shared" si="35"/>
        <v>#DIV/0!</v>
      </c>
      <c r="AE5" s="4" t="e">
        <f>100*(AA5/TOTAL_BASIC!$C$81)</f>
        <v>#DIV/0!</v>
      </c>
      <c r="AF5" s="4" t="e">
        <f>100*AC5/TOTAL_BASIC!$C$82</f>
        <v>#DIV/0!</v>
      </c>
      <c r="AG5" s="4" t="e">
        <f>100*N5/TOTAL_BASIC!$C$87</f>
        <v>#DIV/0!</v>
      </c>
      <c r="AH5" s="4" t="e">
        <f>100*AD5/TOTAL_BASIC!$C$86</f>
        <v>#DIV/0!</v>
      </c>
      <c r="AI5" s="3" t="e">
        <f t="shared" si="36"/>
        <v>#DIV/0!</v>
      </c>
      <c r="AL5" s="4" t="e">
        <f t="shared" si="0"/>
        <v>#N/A</v>
      </c>
      <c r="AM5" s="4" t="e">
        <f t="shared" si="1"/>
        <v>#N/A</v>
      </c>
      <c r="AN5" s="4" t="e">
        <f t="shared" si="2"/>
        <v>#N/A</v>
      </c>
      <c r="AO5" s="4" t="e">
        <f t="shared" si="3"/>
        <v>#N/A</v>
      </c>
      <c r="AP5" s="4" t="e">
        <f t="shared" si="4"/>
        <v>#N/A</v>
      </c>
      <c r="AQ5" s="4" t="e">
        <f t="shared" si="5"/>
        <v>#N/A</v>
      </c>
      <c r="AR5" s="4" t="e">
        <f t="shared" si="6"/>
        <v>#N/A</v>
      </c>
      <c r="AS5" s="4" t="e">
        <f t="shared" si="7"/>
        <v>#N/A</v>
      </c>
      <c r="AT5" s="4" t="e">
        <f t="shared" si="8"/>
        <v>#N/A</v>
      </c>
      <c r="AU5" s="4" t="e">
        <f t="shared" si="9"/>
        <v>#N/A</v>
      </c>
      <c r="AV5" s="4" t="e">
        <f t="shared" si="10"/>
        <v>#N/A</v>
      </c>
      <c r="AW5" s="4" t="e">
        <f t="shared" si="11"/>
        <v>#N/A</v>
      </c>
      <c r="AX5" s="4" t="e">
        <f t="shared" si="12"/>
        <v>#N/A</v>
      </c>
      <c r="AY5" s="4" t="e">
        <f t="shared" si="13"/>
        <v>#N/A</v>
      </c>
      <c r="AZ5" s="4" t="e">
        <f t="shared" si="14"/>
        <v>#N/A</v>
      </c>
      <c r="BA5" s="4" t="e">
        <f t="shared" si="15"/>
        <v>#N/A</v>
      </c>
      <c r="BB5" s="4" t="e">
        <f t="shared" si="16"/>
        <v>#N/A</v>
      </c>
      <c r="BC5" s="4" t="e">
        <f t="shared" si="17"/>
        <v>#N/A</v>
      </c>
      <c r="BD5" s="4" t="e">
        <f t="shared" si="18"/>
        <v>#N/A</v>
      </c>
      <c r="BE5" s="4">
        <f t="shared" si="19"/>
        <v>0</v>
      </c>
      <c r="BF5" s="4">
        <f t="shared" si="20"/>
        <v>0</v>
      </c>
      <c r="BG5" s="4" t="e">
        <f t="shared" si="21"/>
        <v>#N/A</v>
      </c>
      <c r="BH5" s="4" t="e">
        <f t="shared" si="22"/>
        <v>#N/A</v>
      </c>
      <c r="BI5" s="4" t="e">
        <f t="shared" si="23"/>
        <v>#DIV/0!</v>
      </c>
      <c r="BJ5" s="4" t="e">
        <f t="shared" si="24"/>
        <v>#DIV/0!</v>
      </c>
      <c r="BK5" s="4" t="e">
        <f t="shared" si="25"/>
        <v>#DIV/0!</v>
      </c>
      <c r="BL5" s="4" t="e">
        <f t="shared" si="26"/>
        <v>#DIV/0!</v>
      </c>
      <c r="BM5" s="4" t="e">
        <f t="shared" si="27"/>
        <v>#DIV/0!</v>
      </c>
    </row>
    <row r="6" spans="1:65" x14ac:dyDescent="0.25">
      <c r="A6" s="2"/>
      <c r="B6" s="5"/>
      <c r="C6" s="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>
        <f t="shared" si="28"/>
        <v>0</v>
      </c>
      <c r="X6" s="9">
        <f t="shared" si="29"/>
        <v>0</v>
      </c>
      <c r="Y6" s="9" t="str">
        <f t="shared" si="30"/>
        <v>0</v>
      </c>
      <c r="Z6" s="6" t="str">
        <f t="shared" si="31"/>
        <v>0</v>
      </c>
      <c r="AA6" s="9" t="e">
        <f t="shared" si="32"/>
        <v>#DIV/0!</v>
      </c>
      <c r="AB6" s="6" t="e">
        <f t="shared" si="33"/>
        <v>#DIV/0!</v>
      </c>
      <c r="AC6" s="6" t="e">
        <f t="shared" si="34"/>
        <v>#DIV/0!</v>
      </c>
      <c r="AD6" s="9" t="e">
        <f t="shared" si="35"/>
        <v>#DIV/0!</v>
      </c>
      <c r="AE6" s="4" t="e">
        <f>100*(AA6/TOTAL_BASIC!$C$81)</f>
        <v>#DIV/0!</v>
      </c>
      <c r="AF6" s="4" t="e">
        <f>100*AC6/TOTAL_BASIC!$C$82</f>
        <v>#DIV/0!</v>
      </c>
      <c r="AG6" s="4" t="e">
        <f>100*N6/TOTAL_BASIC!$C$87</f>
        <v>#DIV/0!</v>
      </c>
      <c r="AH6" s="4" t="e">
        <f>100*AD6/TOTAL_BASIC!$C$86</f>
        <v>#DIV/0!</v>
      </c>
      <c r="AI6" s="3" t="e">
        <f t="shared" si="36"/>
        <v>#DIV/0!</v>
      </c>
      <c r="AL6" s="4" t="e">
        <f t="shared" si="0"/>
        <v>#N/A</v>
      </c>
      <c r="AM6" s="4" t="e">
        <f t="shared" si="1"/>
        <v>#N/A</v>
      </c>
      <c r="AN6" s="4" t="e">
        <f t="shared" si="2"/>
        <v>#N/A</v>
      </c>
      <c r="AO6" s="4" t="e">
        <f t="shared" si="3"/>
        <v>#N/A</v>
      </c>
      <c r="AP6" s="4" t="e">
        <f t="shared" si="4"/>
        <v>#N/A</v>
      </c>
      <c r="AQ6" s="4" t="e">
        <f t="shared" si="5"/>
        <v>#N/A</v>
      </c>
      <c r="AR6" s="4" t="e">
        <f t="shared" si="6"/>
        <v>#N/A</v>
      </c>
      <c r="AS6" s="4" t="e">
        <f t="shared" si="7"/>
        <v>#N/A</v>
      </c>
      <c r="AT6" s="4" t="e">
        <f t="shared" si="8"/>
        <v>#N/A</v>
      </c>
      <c r="AU6" s="4" t="e">
        <f t="shared" si="9"/>
        <v>#N/A</v>
      </c>
      <c r="AV6" s="4" t="e">
        <f t="shared" si="10"/>
        <v>#N/A</v>
      </c>
      <c r="AW6" s="4" t="e">
        <f t="shared" si="11"/>
        <v>#N/A</v>
      </c>
      <c r="AX6" s="4" t="e">
        <f t="shared" si="12"/>
        <v>#N/A</v>
      </c>
      <c r="AY6" s="4" t="e">
        <f t="shared" si="13"/>
        <v>#N/A</v>
      </c>
      <c r="AZ6" s="4" t="e">
        <f t="shared" si="14"/>
        <v>#N/A</v>
      </c>
      <c r="BA6" s="4" t="e">
        <f t="shared" si="15"/>
        <v>#N/A</v>
      </c>
      <c r="BB6" s="4" t="e">
        <f t="shared" si="16"/>
        <v>#N/A</v>
      </c>
      <c r="BC6" s="4" t="e">
        <f t="shared" si="17"/>
        <v>#N/A</v>
      </c>
      <c r="BD6" s="4" t="e">
        <f t="shared" si="18"/>
        <v>#N/A</v>
      </c>
      <c r="BE6" s="4">
        <f t="shared" si="19"/>
        <v>0</v>
      </c>
      <c r="BF6" s="4">
        <f t="shared" si="20"/>
        <v>0</v>
      </c>
      <c r="BG6" s="4" t="e">
        <f t="shared" si="21"/>
        <v>#N/A</v>
      </c>
      <c r="BH6" s="4" t="e">
        <f t="shared" si="22"/>
        <v>#N/A</v>
      </c>
      <c r="BI6" s="4" t="e">
        <f t="shared" si="23"/>
        <v>#DIV/0!</v>
      </c>
      <c r="BJ6" s="4" t="e">
        <f t="shared" si="24"/>
        <v>#DIV/0!</v>
      </c>
      <c r="BK6" s="4" t="e">
        <f t="shared" si="25"/>
        <v>#DIV/0!</v>
      </c>
      <c r="BL6" s="4" t="e">
        <f t="shared" si="26"/>
        <v>#DIV/0!</v>
      </c>
      <c r="BM6" s="4" t="e">
        <f t="shared" si="27"/>
        <v>#DIV/0!</v>
      </c>
    </row>
    <row r="7" spans="1:65" x14ac:dyDescent="0.25">
      <c r="A7" s="2"/>
      <c r="B7" s="5"/>
      <c r="C7" s="2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>
        <f t="shared" si="28"/>
        <v>0</v>
      </c>
      <c r="X7" s="9">
        <f t="shared" si="29"/>
        <v>0</v>
      </c>
      <c r="Y7" s="9" t="str">
        <f t="shared" si="30"/>
        <v>0</v>
      </c>
      <c r="Z7" s="6" t="str">
        <f t="shared" si="31"/>
        <v>0</v>
      </c>
      <c r="AA7" s="9" t="e">
        <f t="shared" si="32"/>
        <v>#DIV/0!</v>
      </c>
      <c r="AB7" s="6" t="e">
        <f t="shared" si="33"/>
        <v>#DIV/0!</v>
      </c>
      <c r="AC7" s="6" t="e">
        <f t="shared" si="34"/>
        <v>#DIV/0!</v>
      </c>
      <c r="AD7" s="9" t="e">
        <f t="shared" si="35"/>
        <v>#DIV/0!</v>
      </c>
      <c r="AE7" s="4" t="e">
        <f>100*(AA7/TOTAL_BASIC!$C$81)</f>
        <v>#DIV/0!</v>
      </c>
      <c r="AF7" s="4" t="e">
        <f>100*AC7/TOTAL_BASIC!$C$82</f>
        <v>#DIV/0!</v>
      </c>
      <c r="AG7" s="4" t="e">
        <f>100*N7/TOTAL_BASIC!$C$87</f>
        <v>#DIV/0!</v>
      </c>
      <c r="AH7" s="4" t="e">
        <f>100*AD7/TOTAL_BASIC!$C$86</f>
        <v>#DIV/0!</v>
      </c>
      <c r="AI7" s="3" t="e">
        <f t="shared" si="36"/>
        <v>#DIV/0!</v>
      </c>
      <c r="AL7" s="4" t="e">
        <f t="shared" si="0"/>
        <v>#N/A</v>
      </c>
      <c r="AM7" s="4" t="e">
        <f t="shared" si="1"/>
        <v>#N/A</v>
      </c>
      <c r="AN7" s="4" t="e">
        <f t="shared" si="2"/>
        <v>#N/A</v>
      </c>
      <c r="AO7" s="4" t="e">
        <f t="shared" si="3"/>
        <v>#N/A</v>
      </c>
      <c r="AP7" s="4" t="e">
        <f t="shared" si="4"/>
        <v>#N/A</v>
      </c>
      <c r="AQ7" s="4" t="e">
        <f t="shared" si="5"/>
        <v>#N/A</v>
      </c>
      <c r="AR7" s="4" t="e">
        <f t="shared" si="6"/>
        <v>#N/A</v>
      </c>
      <c r="AS7" s="4" t="e">
        <f t="shared" si="7"/>
        <v>#N/A</v>
      </c>
      <c r="AT7" s="4" t="e">
        <f t="shared" si="8"/>
        <v>#N/A</v>
      </c>
      <c r="AU7" s="4" t="e">
        <f t="shared" si="9"/>
        <v>#N/A</v>
      </c>
      <c r="AV7" s="4" t="e">
        <f t="shared" si="10"/>
        <v>#N/A</v>
      </c>
      <c r="AW7" s="4" t="e">
        <f t="shared" si="11"/>
        <v>#N/A</v>
      </c>
      <c r="AX7" s="4" t="e">
        <f t="shared" si="12"/>
        <v>#N/A</v>
      </c>
      <c r="AY7" s="4" t="e">
        <f t="shared" si="13"/>
        <v>#N/A</v>
      </c>
      <c r="AZ7" s="4" t="e">
        <f t="shared" si="14"/>
        <v>#N/A</v>
      </c>
      <c r="BA7" s="4" t="e">
        <f t="shared" si="15"/>
        <v>#N/A</v>
      </c>
      <c r="BB7" s="4" t="e">
        <f t="shared" si="16"/>
        <v>#N/A</v>
      </c>
      <c r="BC7" s="4" t="e">
        <f t="shared" si="17"/>
        <v>#N/A</v>
      </c>
      <c r="BD7" s="4" t="e">
        <f t="shared" si="18"/>
        <v>#N/A</v>
      </c>
      <c r="BE7" s="4">
        <f t="shared" si="19"/>
        <v>0</v>
      </c>
      <c r="BF7" s="4">
        <f t="shared" si="20"/>
        <v>0</v>
      </c>
      <c r="BG7" s="4" t="e">
        <f t="shared" si="21"/>
        <v>#N/A</v>
      </c>
      <c r="BH7" s="4" t="e">
        <f t="shared" si="22"/>
        <v>#N/A</v>
      </c>
      <c r="BI7" s="4" t="e">
        <f t="shared" si="23"/>
        <v>#DIV/0!</v>
      </c>
      <c r="BJ7" s="4" t="e">
        <f t="shared" si="24"/>
        <v>#DIV/0!</v>
      </c>
      <c r="BK7" s="4" t="e">
        <f t="shared" si="25"/>
        <v>#DIV/0!</v>
      </c>
      <c r="BL7" s="4" t="e">
        <f t="shared" si="26"/>
        <v>#DIV/0!</v>
      </c>
      <c r="BM7" s="4" t="e">
        <f t="shared" si="27"/>
        <v>#DIV/0!</v>
      </c>
    </row>
    <row r="8" spans="1:65" x14ac:dyDescent="0.25">
      <c r="A8" s="2"/>
      <c r="B8" s="5"/>
      <c r="C8" s="2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28"/>
        <v>0</v>
      </c>
      <c r="X8" s="9">
        <f t="shared" si="29"/>
        <v>0</v>
      </c>
      <c r="Y8" s="9" t="str">
        <f t="shared" si="30"/>
        <v>0</v>
      </c>
      <c r="Z8" s="6" t="str">
        <f t="shared" si="31"/>
        <v>0</v>
      </c>
      <c r="AA8" s="9" t="e">
        <f t="shared" si="32"/>
        <v>#DIV/0!</v>
      </c>
      <c r="AB8" s="6" t="e">
        <f t="shared" si="33"/>
        <v>#DIV/0!</v>
      </c>
      <c r="AC8" s="6" t="e">
        <f t="shared" si="34"/>
        <v>#DIV/0!</v>
      </c>
      <c r="AD8" s="9" t="e">
        <f t="shared" si="35"/>
        <v>#DIV/0!</v>
      </c>
      <c r="AE8" s="4" t="e">
        <f>100*(AA8/TOTAL_BASIC!$C$81)</f>
        <v>#DIV/0!</v>
      </c>
      <c r="AF8" s="4" t="e">
        <f>100*AC8/TOTAL_BASIC!$C$82</f>
        <v>#DIV/0!</v>
      </c>
      <c r="AG8" s="4" t="e">
        <f>100*N8/TOTAL_BASIC!$C$87</f>
        <v>#DIV/0!</v>
      </c>
      <c r="AH8" s="4" t="e">
        <f>100*AD8/TOTAL_BASIC!$C$86</f>
        <v>#DIV/0!</v>
      </c>
      <c r="AI8" s="3" t="e">
        <f t="shared" si="36"/>
        <v>#DIV/0!</v>
      </c>
      <c r="AL8" s="4" t="e">
        <f t="shared" si="0"/>
        <v>#N/A</v>
      </c>
      <c r="AM8" s="4" t="e">
        <f t="shared" si="1"/>
        <v>#N/A</v>
      </c>
      <c r="AN8" s="4" t="e">
        <f t="shared" si="2"/>
        <v>#N/A</v>
      </c>
      <c r="AO8" s="4" t="e">
        <f t="shared" si="3"/>
        <v>#N/A</v>
      </c>
      <c r="AP8" s="4" t="e">
        <f t="shared" si="4"/>
        <v>#N/A</v>
      </c>
      <c r="AQ8" s="4" t="e">
        <f t="shared" si="5"/>
        <v>#N/A</v>
      </c>
      <c r="AR8" s="4" t="e">
        <f t="shared" si="6"/>
        <v>#N/A</v>
      </c>
      <c r="AS8" s="4" t="e">
        <f t="shared" si="7"/>
        <v>#N/A</v>
      </c>
      <c r="AT8" s="4" t="e">
        <f t="shared" si="8"/>
        <v>#N/A</v>
      </c>
      <c r="AU8" s="4" t="e">
        <f t="shared" si="9"/>
        <v>#N/A</v>
      </c>
      <c r="AV8" s="4" t="e">
        <f t="shared" si="10"/>
        <v>#N/A</v>
      </c>
      <c r="AW8" s="4" t="e">
        <f t="shared" si="11"/>
        <v>#N/A</v>
      </c>
      <c r="AX8" s="4" t="e">
        <f t="shared" si="12"/>
        <v>#N/A</v>
      </c>
      <c r="AY8" s="4" t="e">
        <f t="shared" si="13"/>
        <v>#N/A</v>
      </c>
      <c r="AZ8" s="4" t="e">
        <f t="shared" si="14"/>
        <v>#N/A</v>
      </c>
      <c r="BA8" s="4" t="e">
        <f t="shared" si="15"/>
        <v>#N/A</v>
      </c>
      <c r="BB8" s="4" t="e">
        <f t="shared" si="16"/>
        <v>#N/A</v>
      </c>
      <c r="BC8" s="4" t="e">
        <f t="shared" si="17"/>
        <v>#N/A</v>
      </c>
      <c r="BD8" s="4" t="e">
        <f t="shared" si="18"/>
        <v>#N/A</v>
      </c>
      <c r="BE8" s="4">
        <f t="shared" si="19"/>
        <v>0</v>
      </c>
      <c r="BF8" s="4">
        <f t="shared" si="20"/>
        <v>0</v>
      </c>
      <c r="BG8" s="4" t="e">
        <f t="shared" si="21"/>
        <v>#N/A</v>
      </c>
      <c r="BH8" s="4" t="e">
        <f t="shared" si="22"/>
        <v>#N/A</v>
      </c>
      <c r="BI8" s="4" t="e">
        <f t="shared" si="23"/>
        <v>#DIV/0!</v>
      </c>
      <c r="BJ8" s="4" t="e">
        <f t="shared" si="24"/>
        <v>#DIV/0!</v>
      </c>
      <c r="BK8" s="4" t="e">
        <f t="shared" si="25"/>
        <v>#DIV/0!</v>
      </c>
      <c r="BL8" s="4" t="e">
        <f t="shared" si="26"/>
        <v>#DIV/0!</v>
      </c>
      <c r="BM8" s="4" t="e">
        <f t="shared" si="27"/>
        <v>#DIV/0!</v>
      </c>
    </row>
    <row r="9" spans="1:65" x14ac:dyDescent="0.25">
      <c r="A9" s="2"/>
      <c r="B9" s="5"/>
      <c r="C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>
        <f t="shared" si="28"/>
        <v>0</v>
      </c>
      <c r="X9" s="9">
        <f t="shared" si="29"/>
        <v>0</v>
      </c>
      <c r="Y9" s="9" t="str">
        <f t="shared" si="30"/>
        <v>0</v>
      </c>
      <c r="Z9" s="6" t="str">
        <f t="shared" si="31"/>
        <v>0</v>
      </c>
      <c r="AA9" s="9" t="e">
        <f t="shared" si="32"/>
        <v>#DIV/0!</v>
      </c>
      <c r="AB9" s="6" t="e">
        <f t="shared" si="33"/>
        <v>#DIV/0!</v>
      </c>
      <c r="AC9" s="6" t="e">
        <f t="shared" si="34"/>
        <v>#DIV/0!</v>
      </c>
      <c r="AD9" s="9" t="e">
        <f t="shared" si="35"/>
        <v>#DIV/0!</v>
      </c>
      <c r="AE9" s="4" t="e">
        <f>100*(AA9/TOTAL_BASIC!$C$81)</f>
        <v>#DIV/0!</v>
      </c>
      <c r="AF9" s="4" t="e">
        <f>100*AC9/TOTAL_BASIC!$C$82</f>
        <v>#DIV/0!</v>
      </c>
      <c r="AG9" s="4" t="e">
        <f>100*N9/TOTAL_BASIC!$C$87</f>
        <v>#DIV/0!</v>
      </c>
      <c r="AH9" s="4" t="e">
        <f>100*AD9/TOTAL_BASIC!$C$86</f>
        <v>#DIV/0!</v>
      </c>
      <c r="AI9" s="3" t="e">
        <f t="shared" si="36"/>
        <v>#DIV/0!</v>
      </c>
      <c r="AL9" s="4" t="e">
        <f t="shared" si="0"/>
        <v>#N/A</v>
      </c>
      <c r="AM9" s="4" t="e">
        <f t="shared" si="1"/>
        <v>#N/A</v>
      </c>
      <c r="AN9" s="4" t="e">
        <f t="shared" si="2"/>
        <v>#N/A</v>
      </c>
      <c r="AO9" s="4" t="e">
        <f t="shared" si="3"/>
        <v>#N/A</v>
      </c>
      <c r="AP9" s="4" t="e">
        <f t="shared" si="4"/>
        <v>#N/A</v>
      </c>
      <c r="AQ9" s="4" t="e">
        <f t="shared" si="5"/>
        <v>#N/A</v>
      </c>
      <c r="AR9" s="4" t="e">
        <f t="shared" si="6"/>
        <v>#N/A</v>
      </c>
      <c r="AS9" s="4" t="e">
        <f t="shared" si="7"/>
        <v>#N/A</v>
      </c>
      <c r="AT9" s="4" t="e">
        <f t="shared" si="8"/>
        <v>#N/A</v>
      </c>
      <c r="AU9" s="4" t="e">
        <f t="shared" si="9"/>
        <v>#N/A</v>
      </c>
      <c r="AV9" s="4" t="e">
        <f t="shared" si="10"/>
        <v>#N/A</v>
      </c>
      <c r="AW9" s="4" t="e">
        <f t="shared" si="11"/>
        <v>#N/A</v>
      </c>
      <c r="AX9" s="4" t="e">
        <f t="shared" si="12"/>
        <v>#N/A</v>
      </c>
      <c r="AY9" s="4" t="e">
        <f t="shared" si="13"/>
        <v>#N/A</v>
      </c>
      <c r="AZ9" s="4" t="e">
        <f t="shared" si="14"/>
        <v>#N/A</v>
      </c>
      <c r="BA9" s="4" t="e">
        <f t="shared" si="15"/>
        <v>#N/A</v>
      </c>
      <c r="BB9" s="4" t="e">
        <f t="shared" si="16"/>
        <v>#N/A</v>
      </c>
      <c r="BC9" s="4" t="e">
        <f t="shared" si="17"/>
        <v>#N/A</v>
      </c>
      <c r="BD9" s="4" t="e">
        <f t="shared" si="18"/>
        <v>#N/A</v>
      </c>
      <c r="BE9" s="4">
        <f t="shared" si="19"/>
        <v>0</v>
      </c>
      <c r="BF9" s="4">
        <f t="shared" si="20"/>
        <v>0</v>
      </c>
      <c r="BG9" s="4" t="e">
        <f t="shared" si="21"/>
        <v>#N/A</v>
      </c>
      <c r="BH9" s="4" t="e">
        <f t="shared" si="22"/>
        <v>#N/A</v>
      </c>
      <c r="BI9" s="4" t="e">
        <f t="shared" si="23"/>
        <v>#DIV/0!</v>
      </c>
      <c r="BJ9" s="4" t="e">
        <f t="shared" si="24"/>
        <v>#DIV/0!</v>
      </c>
      <c r="BK9" s="4" t="e">
        <f t="shared" si="25"/>
        <v>#DIV/0!</v>
      </c>
      <c r="BL9" s="4" t="e">
        <f t="shared" si="26"/>
        <v>#DIV/0!</v>
      </c>
      <c r="BM9" s="4" t="e">
        <f t="shared" si="27"/>
        <v>#DIV/0!</v>
      </c>
    </row>
    <row r="10" spans="1:65" x14ac:dyDescent="0.25">
      <c r="A10" s="2"/>
      <c r="B10" s="5"/>
      <c r="C10" s="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28"/>
        <v>0</v>
      </c>
      <c r="X10" s="9">
        <f t="shared" si="29"/>
        <v>0</v>
      </c>
      <c r="Y10" s="9" t="str">
        <f t="shared" si="30"/>
        <v>0</v>
      </c>
      <c r="Z10" s="6" t="str">
        <f t="shared" si="31"/>
        <v>0</v>
      </c>
      <c r="AA10" s="9" t="e">
        <f t="shared" si="32"/>
        <v>#DIV/0!</v>
      </c>
      <c r="AB10" s="6" t="e">
        <f t="shared" si="33"/>
        <v>#DIV/0!</v>
      </c>
      <c r="AC10" s="6" t="e">
        <f t="shared" si="34"/>
        <v>#DIV/0!</v>
      </c>
      <c r="AD10" s="9" t="e">
        <f t="shared" si="35"/>
        <v>#DIV/0!</v>
      </c>
      <c r="AE10" s="4" t="e">
        <f>100*(AA10/TOTAL_BASIC!$C$81)</f>
        <v>#DIV/0!</v>
      </c>
      <c r="AF10" s="4" t="e">
        <f>100*AC10/TOTAL_BASIC!$C$82</f>
        <v>#DIV/0!</v>
      </c>
      <c r="AG10" s="4" t="e">
        <f>100*N10/TOTAL_BASIC!$C$87</f>
        <v>#DIV/0!</v>
      </c>
      <c r="AH10" s="4" t="e">
        <f>100*AD10/TOTAL_BASIC!$C$86</f>
        <v>#DIV/0!</v>
      </c>
      <c r="AI10" s="3" t="e">
        <f t="shared" si="36"/>
        <v>#DIV/0!</v>
      </c>
      <c r="AL10" s="4" t="e">
        <f t="shared" si="0"/>
        <v>#N/A</v>
      </c>
      <c r="AM10" s="4" t="e">
        <f t="shared" si="1"/>
        <v>#N/A</v>
      </c>
      <c r="AN10" s="4" t="e">
        <f t="shared" si="2"/>
        <v>#N/A</v>
      </c>
      <c r="AO10" s="4" t="e">
        <f t="shared" si="3"/>
        <v>#N/A</v>
      </c>
      <c r="AP10" s="4" t="e">
        <f t="shared" si="4"/>
        <v>#N/A</v>
      </c>
      <c r="AQ10" s="4" t="e">
        <f t="shared" si="5"/>
        <v>#N/A</v>
      </c>
      <c r="AR10" s="4" t="e">
        <f t="shared" si="6"/>
        <v>#N/A</v>
      </c>
      <c r="AS10" s="4" t="e">
        <f t="shared" si="7"/>
        <v>#N/A</v>
      </c>
      <c r="AT10" s="4" t="e">
        <f t="shared" si="8"/>
        <v>#N/A</v>
      </c>
      <c r="AU10" s="4" t="e">
        <f t="shared" si="9"/>
        <v>#N/A</v>
      </c>
      <c r="AV10" s="4" t="e">
        <f t="shared" si="10"/>
        <v>#N/A</v>
      </c>
      <c r="AW10" s="4" t="e">
        <f t="shared" si="11"/>
        <v>#N/A</v>
      </c>
      <c r="AX10" s="4" t="e">
        <f t="shared" si="12"/>
        <v>#N/A</v>
      </c>
      <c r="AY10" s="4" t="e">
        <f t="shared" si="13"/>
        <v>#N/A</v>
      </c>
      <c r="AZ10" s="4" t="e">
        <f t="shared" si="14"/>
        <v>#N/A</v>
      </c>
      <c r="BA10" s="4" t="e">
        <f t="shared" si="15"/>
        <v>#N/A</v>
      </c>
      <c r="BB10" s="4" t="e">
        <f t="shared" si="16"/>
        <v>#N/A</v>
      </c>
      <c r="BC10" s="4" t="e">
        <f t="shared" si="17"/>
        <v>#N/A</v>
      </c>
      <c r="BD10" s="4" t="e">
        <f t="shared" si="18"/>
        <v>#N/A</v>
      </c>
      <c r="BE10" s="4">
        <f t="shared" si="19"/>
        <v>0</v>
      </c>
      <c r="BF10" s="4">
        <f t="shared" si="20"/>
        <v>0</v>
      </c>
      <c r="BG10" s="4" t="e">
        <f t="shared" si="21"/>
        <v>#N/A</v>
      </c>
      <c r="BH10" s="4" t="e">
        <f t="shared" si="22"/>
        <v>#N/A</v>
      </c>
      <c r="BI10" s="4" t="e">
        <f t="shared" si="23"/>
        <v>#DIV/0!</v>
      </c>
      <c r="BJ10" s="4" t="e">
        <f t="shared" si="24"/>
        <v>#DIV/0!</v>
      </c>
      <c r="BK10" s="4" t="e">
        <f t="shared" si="25"/>
        <v>#DIV/0!</v>
      </c>
      <c r="BL10" s="4" t="e">
        <f t="shared" si="26"/>
        <v>#DIV/0!</v>
      </c>
      <c r="BM10" s="4" t="e">
        <f t="shared" si="27"/>
        <v>#DIV/0!</v>
      </c>
    </row>
    <row r="11" spans="1:65" x14ac:dyDescent="0.25">
      <c r="A11" s="2"/>
      <c r="B11" s="5"/>
      <c r="C11" s="2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>
        <f t="shared" si="28"/>
        <v>0</v>
      </c>
      <c r="X11" s="9">
        <f t="shared" si="29"/>
        <v>0</v>
      </c>
      <c r="Y11" s="9" t="str">
        <f t="shared" si="30"/>
        <v>0</v>
      </c>
      <c r="Z11" s="6" t="str">
        <f t="shared" si="31"/>
        <v>0</v>
      </c>
      <c r="AA11" s="9" t="e">
        <f t="shared" si="32"/>
        <v>#DIV/0!</v>
      </c>
      <c r="AB11" s="6" t="e">
        <f t="shared" si="33"/>
        <v>#DIV/0!</v>
      </c>
      <c r="AC11" s="6" t="e">
        <f t="shared" si="34"/>
        <v>#DIV/0!</v>
      </c>
      <c r="AD11" s="9" t="e">
        <f t="shared" si="35"/>
        <v>#DIV/0!</v>
      </c>
      <c r="AE11" s="4" t="e">
        <f>100*(AA11/TOTAL_BASIC!$C$81)</f>
        <v>#DIV/0!</v>
      </c>
      <c r="AF11" s="4" t="e">
        <f>100*AC11/TOTAL_BASIC!$C$82</f>
        <v>#DIV/0!</v>
      </c>
      <c r="AG11" s="4" t="e">
        <f>100*N11/TOTAL_BASIC!$C$87</f>
        <v>#DIV/0!</v>
      </c>
      <c r="AH11" s="4" t="e">
        <f>100*AD11/TOTAL_BASIC!$C$86</f>
        <v>#DIV/0!</v>
      </c>
      <c r="AI11" s="3" t="e">
        <f t="shared" si="36"/>
        <v>#DIV/0!</v>
      </c>
      <c r="AL11" s="4" t="e">
        <f t="shared" si="0"/>
        <v>#N/A</v>
      </c>
      <c r="AM11" s="4" t="e">
        <f t="shared" si="1"/>
        <v>#N/A</v>
      </c>
      <c r="AN11" s="4" t="e">
        <f t="shared" si="2"/>
        <v>#N/A</v>
      </c>
      <c r="AO11" s="4" t="e">
        <f t="shared" si="3"/>
        <v>#N/A</v>
      </c>
      <c r="AP11" s="4" t="e">
        <f t="shared" si="4"/>
        <v>#N/A</v>
      </c>
      <c r="AQ11" s="4" t="e">
        <f t="shared" si="5"/>
        <v>#N/A</v>
      </c>
      <c r="AR11" s="4" t="e">
        <f t="shared" si="6"/>
        <v>#N/A</v>
      </c>
      <c r="AS11" s="4" t="e">
        <f t="shared" si="7"/>
        <v>#N/A</v>
      </c>
      <c r="AT11" s="4" t="e">
        <f t="shared" si="8"/>
        <v>#N/A</v>
      </c>
      <c r="AU11" s="4" t="e">
        <f t="shared" si="9"/>
        <v>#N/A</v>
      </c>
      <c r="AV11" s="4" t="e">
        <f t="shared" si="10"/>
        <v>#N/A</v>
      </c>
      <c r="AW11" s="4" t="e">
        <f t="shared" si="11"/>
        <v>#N/A</v>
      </c>
      <c r="AX11" s="4" t="e">
        <f t="shared" si="12"/>
        <v>#N/A</v>
      </c>
      <c r="AY11" s="4" t="e">
        <f t="shared" si="13"/>
        <v>#N/A</v>
      </c>
      <c r="AZ11" s="4" t="e">
        <f t="shared" si="14"/>
        <v>#N/A</v>
      </c>
      <c r="BA11" s="4" t="e">
        <f t="shared" si="15"/>
        <v>#N/A</v>
      </c>
      <c r="BB11" s="4" t="e">
        <f t="shared" si="16"/>
        <v>#N/A</v>
      </c>
      <c r="BC11" s="4" t="e">
        <f t="shared" si="17"/>
        <v>#N/A</v>
      </c>
      <c r="BD11" s="4" t="e">
        <f t="shared" si="18"/>
        <v>#N/A</v>
      </c>
      <c r="BE11" s="4">
        <f t="shared" si="19"/>
        <v>0</v>
      </c>
      <c r="BF11" s="4">
        <f t="shared" si="20"/>
        <v>0</v>
      </c>
      <c r="BG11" s="4" t="e">
        <f t="shared" si="21"/>
        <v>#N/A</v>
      </c>
      <c r="BH11" s="4" t="e">
        <f t="shared" si="22"/>
        <v>#N/A</v>
      </c>
      <c r="BI11" s="4" t="e">
        <f t="shared" si="23"/>
        <v>#DIV/0!</v>
      </c>
      <c r="BJ11" s="4" t="e">
        <f t="shared" si="24"/>
        <v>#DIV/0!</v>
      </c>
      <c r="BK11" s="4" t="e">
        <f t="shared" si="25"/>
        <v>#DIV/0!</v>
      </c>
      <c r="BL11" s="4" t="e">
        <f t="shared" si="26"/>
        <v>#DIV/0!</v>
      </c>
      <c r="BM11" s="4" t="e">
        <f t="shared" si="27"/>
        <v>#DIV/0!</v>
      </c>
    </row>
    <row r="12" spans="1:65" x14ac:dyDescent="0.25">
      <c r="A12" s="2"/>
      <c r="B12" s="5"/>
      <c r="C12" s="2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>
        <f t="shared" si="28"/>
        <v>0</v>
      </c>
      <c r="X12" s="9">
        <f t="shared" si="29"/>
        <v>0</v>
      </c>
      <c r="Y12" s="9" t="str">
        <f t="shared" si="30"/>
        <v>0</v>
      </c>
      <c r="Z12" s="6" t="str">
        <f t="shared" si="31"/>
        <v>0</v>
      </c>
      <c r="AA12" s="9" t="e">
        <f t="shared" si="32"/>
        <v>#DIV/0!</v>
      </c>
      <c r="AB12" s="6" t="e">
        <f t="shared" si="33"/>
        <v>#DIV/0!</v>
      </c>
      <c r="AC12" s="6" t="e">
        <f t="shared" si="34"/>
        <v>#DIV/0!</v>
      </c>
      <c r="AD12" s="9" t="e">
        <f t="shared" si="35"/>
        <v>#DIV/0!</v>
      </c>
      <c r="AE12" s="4" t="e">
        <f>100*(AA12/TOTAL_BASIC!$C$81)</f>
        <v>#DIV/0!</v>
      </c>
      <c r="AF12" s="4" t="e">
        <f>100*AC12/TOTAL_BASIC!$C$82</f>
        <v>#DIV/0!</v>
      </c>
      <c r="AG12" s="4" t="e">
        <f>100*N12/TOTAL_BASIC!$C$87</f>
        <v>#DIV/0!</v>
      </c>
      <c r="AH12" s="4" t="e">
        <f>100*AD12/TOTAL_BASIC!$C$86</f>
        <v>#DIV/0!</v>
      </c>
      <c r="AI12" s="3" t="e">
        <f t="shared" si="36"/>
        <v>#DIV/0!</v>
      </c>
      <c r="AL12" s="4" t="e">
        <f t="shared" si="0"/>
        <v>#N/A</v>
      </c>
      <c r="AM12" s="4" t="e">
        <f t="shared" si="1"/>
        <v>#N/A</v>
      </c>
      <c r="AN12" s="4" t="e">
        <f t="shared" si="2"/>
        <v>#N/A</v>
      </c>
      <c r="AO12" s="4" t="e">
        <f t="shared" si="3"/>
        <v>#N/A</v>
      </c>
      <c r="AP12" s="4" t="e">
        <f t="shared" si="4"/>
        <v>#N/A</v>
      </c>
      <c r="AQ12" s="4" t="e">
        <f t="shared" si="5"/>
        <v>#N/A</v>
      </c>
      <c r="AR12" s="4" t="e">
        <f t="shared" si="6"/>
        <v>#N/A</v>
      </c>
      <c r="AS12" s="4" t="e">
        <f t="shared" si="7"/>
        <v>#N/A</v>
      </c>
      <c r="AT12" s="4" t="e">
        <f t="shared" si="8"/>
        <v>#N/A</v>
      </c>
      <c r="AU12" s="4" t="e">
        <f t="shared" si="9"/>
        <v>#N/A</v>
      </c>
      <c r="AV12" s="4" t="e">
        <f t="shared" si="10"/>
        <v>#N/A</v>
      </c>
      <c r="AW12" s="4" t="e">
        <f t="shared" si="11"/>
        <v>#N/A</v>
      </c>
      <c r="AX12" s="4" t="e">
        <f t="shared" si="12"/>
        <v>#N/A</v>
      </c>
      <c r="AY12" s="4" t="e">
        <f t="shared" si="13"/>
        <v>#N/A</v>
      </c>
      <c r="AZ12" s="4" t="e">
        <f t="shared" si="14"/>
        <v>#N/A</v>
      </c>
      <c r="BA12" s="4" t="e">
        <f t="shared" si="15"/>
        <v>#N/A</v>
      </c>
      <c r="BB12" s="4" t="e">
        <f t="shared" si="16"/>
        <v>#N/A</v>
      </c>
      <c r="BC12" s="4" t="e">
        <f t="shared" si="17"/>
        <v>#N/A</v>
      </c>
      <c r="BD12" s="4" t="e">
        <f t="shared" si="18"/>
        <v>#N/A</v>
      </c>
      <c r="BE12" s="4">
        <f t="shared" si="19"/>
        <v>0</v>
      </c>
      <c r="BF12" s="4">
        <f t="shared" si="20"/>
        <v>0</v>
      </c>
      <c r="BG12" s="4" t="e">
        <f t="shared" si="21"/>
        <v>#N/A</v>
      </c>
      <c r="BH12" s="4" t="e">
        <f t="shared" si="22"/>
        <v>#N/A</v>
      </c>
      <c r="BI12" s="4" t="e">
        <f t="shared" si="23"/>
        <v>#DIV/0!</v>
      </c>
      <c r="BJ12" s="4" t="e">
        <f t="shared" si="24"/>
        <v>#DIV/0!</v>
      </c>
      <c r="BK12" s="4" t="e">
        <f t="shared" si="25"/>
        <v>#DIV/0!</v>
      </c>
      <c r="BL12" s="4" t="e">
        <f t="shared" si="26"/>
        <v>#DIV/0!</v>
      </c>
      <c r="BM12" s="4" t="e">
        <f t="shared" si="27"/>
        <v>#DIV/0!</v>
      </c>
    </row>
    <row r="13" spans="1:65" x14ac:dyDescent="0.25">
      <c r="A13" s="2"/>
      <c r="B13" s="5"/>
      <c r="C13" s="2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>
        <f t="shared" si="28"/>
        <v>0</v>
      </c>
      <c r="X13" s="9">
        <f t="shared" si="29"/>
        <v>0</v>
      </c>
      <c r="Y13" s="9" t="str">
        <f t="shared" si="30"/>
        <v>0</v>
      </c>
      <c r="Z13" s="6" t="str">
        <f t="shared" si="31"/>
        <v>0</v>
      </c>
      <c r="AA13" s="9" t="e">
        <f t="shared" si="32"/>
        <v>#DIV/0!</v>
      </c>
      <c r="AB13" s="6" t="e">
        <f t="shared" si="33"/>
        <v>#DIV/0!</v>
      </c>
      <c r="AC13" s="6" t="e">
        <f t="shared" si="34"/>
        <v>#DIV/0!</v>
      </c>
      <c r="AD13" s="9" t="e">
        <f t="shared" si="35"/>
        <v>#DIV/0!</v>
      </c>
      <c r="AE13" s="4" t="e">
        <f>100*(AA13/TOTAL_BASIC!$C$81)</f>
        <v>#DIV/0!</v>
      </c>
      <c r="AF13" s="4" t="e">
        <f>100*AC13/TOTAL_BASIC!$C$82</f>
        <v>#DIV/0!</v>
      </c>
      <c r="AG13" s="4" t="e">
        <f>100*N13/TOTAL_BASIC!$C$87</f>
        <v>#DIV/0!</v>
      </c>
      <c r="AH13" s="4" t="e">
        <f>100*AD13/TOTAL_BASIC!$C$86</f>
        <v>#DIV/0!</v>
      </c>
      <c r="AI13" s="3" t="e">
        <f t="shared" si="36"/>
        <v>#DIV/0!</v>
      </c>
      <c r="AL13" s="4" t="e">
        <f t="shared" si="0"/>
        <v>#N/A</v>
      </c>
      <c r="AM13" s="4" t="e">
        <f t="shared" si="1"/>
        <v>#N/A</v>
      </c>
      <c r="AN13" s="4" t="e">
        <f t="shared" si="2"/>
        <v>#N/A</v>
      </c>
      <c r="AO13" s="4" t="e">
        <f t="shared" si="3"/>
        <v>#N/A</v>
      </c>
      <c r="AP13" s="4" t="e">
        <f t="shared" si="4"/>
        <v>#N/A</v>
      </c>
      <c r="AQ13" s="4" t="e">
        <f t="shared" si="5"/>
        <v>#N/A</v>
      </c>
      <c r="AR13" s="4" t="e">
        <f t="shared" si="6"/>
        <v>#N/A</v>
      </c>
      <c r="AS13" s="4" t="e">
        <f t="shared" si="7"/>
        <v>#N/A</v>
      </c>
      <c r="AT13" s="4" t="e">
        <f t="shared" si="8"/>
        <v>#N/A</v>
      </c>
      <c r="AU13" s="4" t="e">
        <f t="shared" si="9"/>
        <v>#N/A</v>
      </c>
      <c r="AV13" s="4" t="e">
        <f t="shared" si="10"/>
        <v>#N/A</v>
      </c>
      <c r="AW13" s="4" t="e">
        <f t="shared" si="11"/>
        <v>#N/A</v>
      </c>
      <c r="AX13" s="4" t="e">
        <f t="shared" si="12"/>
        <v>#N/A</v>
      </c>
      <c r="AY13" s="4" t="e">
        <f t="shared" si="13"/>
        <v>#N/A</v>
      </c>
      <c r="AZ13" s="4" t="e">
        <f t="shared" si="14"/>
        <v>#N/A</v>
      </c>
      <c r="BA13" s="4" t="e">
        <f t="shared" si="15"/>
        <v>#N/A</v>
      </c>
      <c r="BB13" s="4" t="e">
        <f t="shared" si="16"/>
        <v>#N/A</v>
      </c>
      <c r="BC13" s="4" t="e">
        <f t="shared" si="17"/>
        <v>#N/A</v>
      </c>
      <c r="BD13" s="4" t="e">
        <f t="shared" si="18"/>
        <v>#N/A</v>
      </c>
      <c r="BE13" s="4">
        <f t="shared" si="19"/>
        <v>0</v>
      </c>
      <c r="BF13" s="4">
        <f t="shared" si="20"/>
        <v>0</v>
      </c>
      <c r="BG13" s="4" t="e">
        <f t="shared" si="21"/>
        <v>#N/A</v>
      </c>
      <c r="BH13" s="4" t="e">
        <f t="shared" si="22"/>
        <v>#N/A</v>
      </c>
      <c r="BI13" s="4" t="e">
        <f t="shared" si="23"/>
        <v>#DIV/0!</v>
      </c>
      <c r="BJ13" s="4" t="e">
        <f t="shared" si="24"/>
        <v>#DIV/0!</v>
      </c>
      <c r="BK13" s="4" t="e">
        <f t="shared" si="25"/>
        <v>#DIV/0!</v>
      </c>
      <c r="BL13" s="4" t="e">
        <f t="shared" si="26"/>
        <v>#DIV/0!</v>
      </c>
      <c r="BM13" s="4" t="e">
        <f t="shared" si="27"/>
        <v>#DIV/0!</v>
      </c>
    </row>
    <row r="14" spans="1:65" x14ac:dyDescent="0.25">
      <c r="A14" s="2"/>
      <c r="B14" s="5"/>
      <c r="C14" s="2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28"/>
        <v>0</v>
      </c>
      <c r="X14" s="9">
        <f t="shared" si="29"/>
        <v>0</v>
      </c>
      <c r="Y14" s="9" t="str">
        <f t="shared" si="30"/>
        <v>0</v>
      </c>
      <c r="Z14" s="6" t="str">
        <f t="shared" si="31"/>
        <v>0</v>
      </c>
      <c r="AA14" s="9" t="e">
        <f t="shared" si="32"/>
        <v>#DIV/0!</v>
      </c>
      <c r="AB14" s="6" t="e">
        <f t="shared" si="33"/>
        <v>#DIV/0!</v>
      </c>
      <c r="AC14" s="6" t="e">
        <f t="shared" si="34"/>
        <v>#DIV/0!</v>
      </c>
      <c r="AD14" s="9" t="e">
        <f t="shared" si="35"/>
        <v>#DIV/0!</v>
      </c>
      <c r="AE14" s="4" t="e">
        <f>100*(AA14/TOTAL_BASIC!$C$81)</f>
        <v>#DIV/0!</v>
      </c>
      <c r="AF14" s="4" t="e">
        <f>100*AC14/TOTAL_BASIC!$C$82</f>
        <v>#DIV/0!</v>
      </c>
      <c r="AG14" s="4" t="e">
        <f>100*N14/TOTAL_BASIC!$C$87</f>
        <v>#DIV/0!</v>
      </c>
      <c r="AH14" s="4" t="e">
        <f>100*AD14/TOTAL_BASIC!$C$86</f>
        <v>#DIV/0!</v>
      </c>
      <c r="AI14" s="3" t="e">
        <f t="shared" si="36"/>
        <v>#DIV/0!</v>
      </c>
      <c r="AL14" s="4" t="e">
        <f t="shared" si="0"/>
        <v>#N/A</v>
      </c>
      <c r="AM14" s="4" t="e">
        <f t="shared" si="1"/>
        <v>#N/A</v>
      </c>
      <c r="AN14" s="4" t="e">
        <f t="shared" si="2"/>
        <v>#N/A</v>
      </c>
      <c r="AO14" s="4" t="e">
        <f t="shared" si="3"/>
        <v>#N/A</v>
      </c>
      <c r="AP14" s="4" t="e">
        <f t="shared" si="4"/>
        <v>#N/A</v>
      </c>
      <c r="AQ14" s="4" t="e">
        <f t="shared" si="5"/>
        <v>#N/A</v>
      </c>
      <c r="AR14" s="4" t="e">
        <f t="shared" si="6"/>
        <v>#N/A</v>
      </c>
      <c r="AS14" s="4" t="e">
        <f t="shared" si="7"/>
        <v>#N/A</v>
      </c>
      <c r="AT14" s="4" t="e">
        <f t="shared" si="8"/>
        <v>#N/A</v>
      </c>
      <c r="AU14" s="4" t="e">
        <f t="shared" si="9"/>
        <v>#N/A</v>
      </c>
      <c r="AV14" s="4" t="e">
        <f t="shared" si="10"/>
        <v>#N/A</v>
      </c>
      <c r="AW14" s="4" t="e">
        <f t="shared" si="11"/>
        <v>#N/A</v>
      </c>
      <c r="AX14" s="4" t="e">
        <f t="shared" si="12"/>
        <v>#N/A</v>
      </c>
      <c r="AY14" s="4" t="e">
        <f t="shared" si="13"/>
        <v>#N/A</v>
      </c>
      <c r="AZ14" s="4" t="e">
        <f t="shared" si="14"/>
        <v>#N/A</v>
      </c>
      <c r="BA14" s="4" t="e">
        <f t="shared" si="15"/>
        <v>#N/A</v>
      </c>
      <c r="BB14" s="4" t="e">
        <f t="shared" si="16"/>
        <v>#N/A</v>
      </c>
      <c r="BC14" s="4" t="e">
        <f t="shared" si="17"/>
        <v>#N/A</v>
      </c>
      <c r="BD14" s="4" t="e">
        <f t="shared" si="18"/>
        <v>#N/A</v>
      </c>
      <c r="BE14" s="4">
        <f t="shared" si="19"/>
        <v>0</v>
      </c>
      <c r="BF14" s="4">
        <f t="shared" si="20"/>
        <v>0</v>
      </c>
      <c r="BG14" s="4" t="e">
        <f t="shared" si="21"/>
        <v>#N/A</v>
      </c>
      <c r="BH14" s="4" t="e">
        <f t="shared" si="22"/>
        <v>#N/A</v>
      </c>
      <c r="BI14" s="4" t="e">
        <f t="shared" si="23"/>
        <v>#DIV/0!</v>
      </c>
      <c r="BJ14" s="4" t="e">
        <f t="shared" si="24"/>
        <v>#DIV/0!</v>
      </c>
      <c r="BK14" s="4" t="e">
        <f t="shared" si="25"/>
        <v>#DIV/0!</v>
      </c>
      <c r="BL14" s="4" t="e">
        <f t="shared" si="26"/>
        <v>#DIV/0!</v>
      </c>
      <c r="BM14" s="4" t="e">
        <f t="shared" si="27"/>
        <v>#DIV/0!</v>
      </c>
    </row>
    <row r="15" spans="1:65" x14ac:dyDescent="0.25">
      <c r="A15" s="2"/>
      <c r="B15" s="5"/>
      <c r="C15" s="2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>
        <f t="shared" si="28"/>
        <v>0</v>
      </c>
      <c r="X15" s="9">
        <f t="shared" si="29"/>
        <v>0</v>
      </c>
      <c r="Y15" s="9" t="str">
        <f t="shared" si="30"/>
        <v>0</v>
      </c>
      <c r="Z15" s="6" t="str">
        <f t="shared" si="31"/>
        <v>0</v>
      </c>
      <c r="AA15" s="9" t="e">
        <f t="shared" si="32"/>
        <v>#DIV/0!</v>
      </c>
      <c r="AB15" s="6" t="e">
        <f t="shared" si="33"/>
        <v>#DIV/0!</v>
      </c>
      <c r="AC15" s="6" t="e">
        <f t="shared" si="34"/>
        <v>#DIV/0!</v>
      </c>
      <c r="AD15" s="9" t="e">
        <f t="shared" si="35"/>
        <v>#DIV/0!</v>
      </c>
      <c r="AE15" s="4" t="e">
        <f>100*(AA15/TOTAL_BASIC!$C$81)</f>
        <v>#DIV/0!</v>
      </c>
      <c r="AF15" s="4" t="e">
        <f>100*AC15/TOTAL_BASIC!$C$82</f>
        <v>#DIV/0!</v>
      </c>
      <c r="AG15" s="4" t="e">
        <f>100*N15/TOTAL_BASIC!$C$87</f>
        <v>#DIV/0!</v>
      </c>
      <c r="AH15" s="4" t="e">
        <f>100*AD15/TOTAL_BASIC!$C$86</f>
        <v>#DIV/0!</v>
      </c>
      <c r="AI15" s="3" t="e">
        <f t="shared" si="36"/>
        <v>#DIV/0!</v>
      </c>
      <c r="AL15" s="4" t="e">
        <f t="shared" si="0"/>
        <v>#N/A</v>
      </c>
      <c r="AM15" s="4" t="e">
        <f t="shared" si="1"/>
        <v>#N/A</v>
      </c>
      <c r="AN15" s="4" t="e">
        <f t="shared" si="2"/>
        <v>#N/A</v>
      </c>
      <c r="AO15" s="4" t="e">
        <f t="shared" si="3"/>
        <v>#N/A</v>
      </c>
      <c r="AP15" s="4" t="e">
        <f t="shared" si="4"/>
        <v>#N/A</v>
      </c>
      <c r="AQ15" s="4" t="e">
        <f t="shared" si="5"/>
        <v>#N/A</v>
      </c>
      <c r="AR15" s="4" t="e">
        <f t="shared" si="6"/>
        <v>#N/A</v>
      </c>
      <c r="AS15" s="4" t="e">
        <f t="shared" si="7"/>
        <v>#N/A</v>
      </c>
      <c r="AT15" s="4" t="e">
        <f t="shared" si="8"/>
        <v>#N/A</v>
      </c>
      <c r="AU15" s="4" t="e">
        <f t="shared" si="9"/>
        <v>#N/A</v>
      </c>
      <c r="AV15" s="4" t="e">
        <f t="shared" si="10"/>
        <v>#N/A</v>
      </c>
      <c r="AW15" s="4" t="e">
        <f t="shared" si="11"/>
        <v>#N/A</v>
      </c>
      <c r="AX15" s="4" t="e">
        <f t="shared" si="12"/>
        <v>#N/A</v>
      </c>
      <c r="AY15" s="4" t="e">
        <f t="shared" si="13"/>
        <v>#N/A</v>
      </c>
      <c r="AZ15" s="4" t="e">
        <f t="shared" si="14"/>
        <v>#N/A</v>
      </c>
      <c r="BA15" s="4" t="e">
        <f t="shared" si="15"/>
        <v>#N/A</v>
      </c>
      <c r="BB15" s="4" t="e">
        <f t="shared" si="16"/>
        <v>#N/A</v>
      </c>
      <c r="BC15" s="4" t="e">
        <f t="shared" si="17"/>
        <v>#N/A</v>
      </c>
      <c r="BD15" s="4" t="e">
        <f t="shared" si="18"/>
        <v>#N/A</v>
      </c>
      <c r="BE15" s="4">
        <f t="shared" si="19"/>
        <v>0</v>
      </c>
      <c r="BF15" s="4">
        <f t="shared" si="20"/>
        <v>0</v>
      </c>
      <c r="BG15" s="4" t="e">
        <f t="shared" si="21"/>
        <v>#N/A</v>
      </c>
      <c r="BH15" s="4" t="e">
        <f t="shared" si="22"/>
        <v>#N/A</v>
      </c>
      <c r="BI15" s="4" t="e">
        <f t="shared" si="23"/>
        <v>#DIV/0!</v>
      </c>
      <c r="BJ15" s="4" t="e">
        <f t="shared" si="24"/>
        <v>#DIV/0!</v>
      </c>
      <c r="BK15" s="4" t="e">
        <f t="shared" si="25"/>
        <v>#DIV/0!</v>
      </c>
      <c r="BL15" s="4" t="e">
        <f t="shared" si="26"/>
        <v>#DIV/0!</v>
      </c>
      <c r="BM15" s="4" t="e">
        <f t="shared" si="27"/>
        <v>#DIV/0!</v>
      </c>
    </row>
    <row r="16" spans="1:65" x14ac:dyDescent="0.25">
      <c r="A16" s="2"/>
      <c r="B16" s="5"/>
      <c r="C16" s="2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28"/>
        <v>0</v>
      </c>
      <c r="X16" s="9">
        <f t="shared" si="29"/>
        <v>0</v>
      </c>
      <c r="Y16" s="9" t="str">
        <f t="shared" si="30"/>
        <v>0</v>
      </c>
      <c r="Z16" s="6" t="str">
        <f t="shared" si="31"/>
        <v>0</v>
      </c>
      <c r="AA16" s="9" t="e">
        <f t="shared" si="32"/>
        <v>#DIV/0!</v>
      </c>
      <c r="AB16" s="6" t="e">
        <f t="shared" si="33"/>
        <v>#DIV/0!</v>
      </c>
      <c r="AC16" s="6" t="e">
        <f t="shared" si="34"/>
        <v>#DIV/0!</v>
      </c>
      <c r="AD16" s="9" t="e">
        <f t="shared" si="35"/>
        <v>#DIV/0!</v>
      </c>
      <c r="AE16" s="4" t="e">
        <f>100*(AA16/TOTAL_BASIC!$C$81)</f>
        <v>#DIV/0!</v>
      </c>
      <c r="AF16" s="4" t="e">
        <f>100*AC16/TOTAL_BASIC!$C$82</f>
        <v>#DIV/0!</v>
      </c>
      <c r="AG16" s="4" t="e">
        <f>100*N16/TOTAL_BASIC!$C$87</f>
        <v>#DIV/0!</v>
      </c>
      <c r="AH16" s="4" t="e">
        <f>100*AD16/TOTAL_BASIC!$C$86</f>
        <v>#DIV/0!</v>
      </c>
      <c r="AI16" s="3" t="e">
        <f t="shared" si="36"/>
        <v>#DIV/0!</v>
      </c>
      <c r="AL16" s="4" t="e">
        <f t="shared" si="0"/>
        <v>#N/A</v>
      </c>
      <c r="AM16" s="4" t="e">
        <f t="shared" si="1"/>
        <v>#N/A</v>
      </c>
      <c r="AN16" s="4" t="e">
        <f t="shared" si="2"/>
        <v>#N/A</v>
      </c>
      <c r="AO16" s="4" t="e">
        <f t="shared" si="3"/>
        <v>#N/A</v>
      </c>
      <c r="AP16" s="4" t="e">
        <f t="shared" si="4"/>
        <v>#N/A</v>
      </c>
      <c r="AQ16" s="4" t="e">
        <f t="shared" si="5"/>
        <v>#N/A</v>
      </c>
      <c r="AR16" s="4" t="e">
        <f t="shared" si="6"/>
        <v>#N/A</v>
      </c>
      <c r="AS16" s="4" t="e">
        <f t="shared" si="7"/>
        <v>#N/A</v>
      </c>
      <c r="AT16" s="4" t="e">
        <f t="shared" si="8"/>
        <v>#N/A</v>
      </c>
      <c r="AU16" s="4" t="e">
        <f t="shared" si="9"/>
        <v>#N/A</v>
      </c>
      <c r="AV16" s="4" t="e">
        <f t="shared" si="10"/>
        <v>#N/A</v>
      </c>
      <c r="AW16" s="4" t="e">
        <f t="shared" si="11"/>
        <v>#N/A</v>
      </c>
      <c r="AX16" s="4" t="e">
        <f t="shared" si="12"/>
        <v>#N/A</v>
      </c>
      <c r="AY16" s="4" t="e">
        <f t="shared" si="13"/>
        <v>#N/A</v>
      </c>
      <c r="AZ16" s="4" t="e">
        <f t="shared" si="14"/>
        <v>#N/A</v>
      </c>
      <c r="BA16" s="4" t="e">
        <f t="shared" si="15"/>
        <v>#N/A</v>
      </c>
      <c r="BB16" s="4" t="e">
        <f t="shared" si="16"/>
        <v>#N/A</v>
      </c>
      <c r="BC16" s="4" t="e">
        <f t="shared" si="17"/>
        <v>#N/A</v>
      </c>
      <c r="BD16" s="4" t="e">
        <f t="shared" si="18"/>
        <v>#N/A</v>
      </c>
      <c r="BE16" s="4">
        <f t="shared" si="19"/>
        <v>0</v>
      </c>
      <c r="BF16" s="4">
        <f t="shared" si="20"/>
        <v>0</v>
      </c>
      <c r="BG16" s="4" t="e">
        <f t="shared" si="21"/>
        <v>#N/A</v>
      </c>
      <c r="BH16" s="4" t="e">
        <f t="shared" si="22"/>
        <v>#N/A</v>
      </c>
      <c r="BI16" s="4" t="e">
        <f t="shared" si="23"/>
        <v>#DIV/0!</v>
      </c>
      <c r="BJ16" s="4" t="e">
        <f t="shared" si="24"/>
        <v>#DIV/0!</v>
      </c>
      <c r="BK16" s="4" t="e">
        <f t="shared" si="25"/>
        <v>#DIV/0!</v>
      </c>
      <c r="BL16" s="4" t="e">
        <f t="shared" si="26"/>
        <v>#DIV/0!</v>
      </c>
      <c r="BM16" s="4" t="e">
        <f t="shared" si="27"/>
        <v>#DIV/0!</v>
      </c>
    </row>
    <row r="17" spans="1:65" x14ac:dyDescent="0.25">
      <c r="A17" s="2"/>
      <c r="B17" s="5"/>
      <c r="C17" s="2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>
        <f t="shared" si="28"/>
        <v>0</v>
      </c>
      <c r="X17" s="9">
        <f t="shared" si="29"/>
        <v>0</v>
      </c>
      <c r="Y17" s="9" t="str">
        <f t="shared" si="30"/>
        <v>0</v>
      </c>
      <c r="Z17" s="6" t="str">
        <f t="shared" si="31"/>
        <v>0</v>
      </c>
      <c r="AA17" s="9" t="e">
        <f t="shared" si="32"/>
        <v>#DIV/0!</v>
      </c>
      <c r="AB17" s="6" t="e">
        <f t="shared" si="33"/>
        <v>#DIV/0!</v>
      </c>
      <c r="AC17" s="6" t="e">
        <f t="shared" si="34"/>
        <v>#DIV/0!</v>
      </c>
      <c r="AD17" s="9" t="e">
        <f t="shared" si="35"/>
        <v>#DIV/0!</v>
      </c>
      <c r="AE17" s="4" t="e">
        <f>100*(AA17/TOTAL_BASIC!$C$81)</f>
        <v>#DIV/0!</v>
      </c>
      <c r="AF17" s="4" t="e">
        <f>100*AC17/TOTAL_BASIC!$C$82</f>
        <v>#DIV/0!</v>
      </c>
      <c r="AG17" s="4" t="e">
        <f>100*N17/TOTAL_BASIC!$C$87</f>
        <v>#DIV/0!</v>
      </c>
      <c r="AH17" s="4" t="e">
        <f>100*AD17/TOTAL_BASIC!$C$86</f>
        <v>#DIV/0!</v>
      </c>
      <c r="AI17" s="3" t="e">
        <f t="shared" si="36"/>
        <v>#DIV/0!</v>
      </c>
      <c r="AL17" s="4" t="e">
        <f t="shared" si="0"/>
        <v>#N/A</v>
      </c>
      <c r="AM17" s="4" t="e">
        <f t="shared" si="1"/>
        <v>#N/A</v>
      </c>
      <c r="AN17" s="4" t="e">
        <f t="shared" si="2"/>
        <v>#N/A</v>
      </c>
      <c r="AO17" s="4" t="e">
        <f t="shared" si="3"/>
        <v>#N/A</v>
      </c>
      <c r="AP17" s="4" t="e">
        <f t="shared" si="4"/>
        <v>#N/A</v>
      </c>
      <c r="AQ17" s="4" t="e">
        <f t="shared" si="5"/>
        <v>#N/A</v>
      </c>
      <c r="AR17" s="4" t="e">
        <f t="shared" si="6"/>
        <v>#N/A</v>
      </c>
      <c r="AS17" s="4" t="e">
        <f t="shared" si="7"/>
        <v>#N/A</v>
      </c>
      <c r="AT17" s="4" t="e">
        <f t="shared" si="8"/>
        <v>#N/A</v>
      </c>
      <c r="AU17" s="4" t="e">
        <f t="shared" si="9"/>
        <v>#N/A</v>
      </c>
      <c r="AV17" s="4" t="e">
        <f t="shared" si="10"/>
        <v>#N/A</v>
      </c>
      <c r="AW17" s="4" t="e">
        <f t="shared" si="11"/>
        <v>#N/A</v>
      </c>
      <c r="AX17" s="4" t="e">
        <f t="shared" si="12"/>
        <v>#N/A</v>
      </c>
      <c r="AY17" s="4" t="e">
        <f t="shared" si="13"/>
        <v>#N/A</v>
      </c>
      <c r="AZ17" s="4" t="e">
        <f t="shared" si="14"/>
        <v>#N/A</v>
      </c>
      <c r="BA17" s="4" t="e">
        <f t="shared" si="15"/>
        <v>#N/A</v>
      </c>
      <c r="BB17" s="4" t="e">
        <f t="shared" si="16"/>
        <v>#N/A</v>
      </c>
      <c r="BC17" s="4" t="e">
        <f t="shared" si="17"/>
        <v>#N/A</v>
      </c>
      <c r="BD17" s="4" t="e">
        <f t="shared" si="18"/>
        <v>#N/A</v>
      </c>
      <c r="BE17" s="4">
        <f t="shared" si="19"/>
        <v>0</v>
      </c>
      <c r="BF17" s="4">
        <f t="shared" si="20"/>
        <v>0</v>
      </c>
      <c r="BG17" s="4" t="e">
        <f t="shared" si="21"/>
        <v>#N/A</v>
      </c>
      <c r="BH17" s="4" t="e">
        <f t="shared" si="22"/>
        <v>#N/A</v>
      </c>
      <c r="BI17" s="4" t="e">
        <f t="shared" si="23"/>
        <v>#DIV/0!</v>
      </c>
      <c r="BJ17" s="4" t="e">
        <f t="shared" si="24"/>
        <v>#DIV/0!</v>
      </c>
      <c r="BK17" s="4" t="e">
        <f t="shared" si="25"/>
        <v>#DIV/0!</v>
      </c>
      <c r="BL17" s="4" t="e">
        <f t="shared" si="26"/>
        <v>#DIV/0!</v>
      </c>
      <c r="BM17" s="4" t="e">
        <f t="shared" si="27"/>
        <v>#DIV/0!</v>
      </c>
    </row>
    <row r="18" spans="1:65" x14ac:dyDescent="0.25">
      <c r="A18" s="2"/>
      <c r="B18" s="5"/>
      <c r="C18" s="2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>
        <f t="shared" si="28"/>
        <v>0</v>
      </c>
      <c r="X18" s="9">
        <f t="shared" si="29"/>
        <v>0</v>
      </c>
      <c r="Y18" s="9" t="str">
        <f t="shared" si="30"/>
        <v>0</v>
      </c>
      <c r="Z18" s="6" t="str">
        <f t="shared" si="31"/>
        <v>0</v>
      </c>
      <c r="AA18" s="9" t="e">
        <f t="shared" si="32"/>
        <v>#DIV/0!</v>
      </c>
      <c r="AB18" s="6" t="e">
        <f t="shared" si="33"/>
        <v>#DIV/0!</v>
      </c>
      <c r="AC18" s="6" t="e">
        <f t="shared" si="34"/>
        <v>#DIV/0!</v>
      </c>
      <c r="AD18" s="9" t="e">
        <f t="shared" si="35"/>
        <v>#DIV/0!</v>
      </c>
      <c r="AE18" s="4" t="e">
        <f>100*(AA18/TOTAL_BASIC!$C$81)</f>
        <v>#DIV/0!</v>
      </c>
      <c r="AF18" s="4" t="e">
        <f>100*AC18/TOTAL_BASIC!$C$82</f>
        <v>#DIV/0!</v>
      </c>
      <c r="AG18" s="4" t="e">
        <f>100*N18/TOTAL_BASIC!$C$87</f>
        <v>#DIV/0!</v>
      </c>
      <c r="AH18" s="4" t="e">
        <f>100*AD18/TOTAL_BASIC!$C$86</f>
        <v>#DIV/0!</v>
      </c>
      <c r="AI18" s="3" t="e">
        <f t="shared" si="36"/>
        <v>#DIV/0!</v>
      </c>
      <c r="AL18" s="4" t="e">
        <f t="shared" ref="AL18:AZ18" si="37">(PERCENTRANK(D$3:D$78,D18))*100</f>
        <v>#N/A</v>
      </c>
      <c r="AM18" s="4" t="e">
        <f t="shared" si="37"/>
        <v>#N/A</v>
      </c>
      <c r="AN18" s="4" t="e">
        <f t="shared" si="37"/>
        <v>#N/A</v>
      </c>
      <c r="AO18" s="4" t="e">
        <f t="shared" si="37"/>
        <v>#N/A</v>
      </c>
      <c r="AP18" s="4" t="e">
        <f t="shared" si="37"/>
        <v>#N/A</v>
      </c>
      <c r="AQ18" s="4" t="e">
        <f t="shared" si="37"/>
        <v>#N/A</v>
      </c>
      <c r="AR18" s="4" t="e">
        <f t="shared" si="37"/>
        <v>#N/A</v>
      </c>
      <c r="AS18" s="4" t="e">
        <f t="shared" si="37"/>
        <v>#N/A</v>
      </c>
      <c r="AT18" s="4" t="e">
        <f t="shared" si="37"/>
        <v>#N/A</v>
      </c>
      <c r="AU18" s="4" t="e">
        <f t="shared" si="37"/>
        <v>#N/A</v>
      </c>
      <c r="AV18" s="4" t="e">
        <f t="shared" si="37"/>
        <v>#N/A</v>
      </c>
      <c r="AW18" s="4" t="e">
        <f t="shared" si="37"/>
        <v>#N/A</v>
      </c>
      <c r="AX18" s="4" t="e">
        <f t="shared" si="37"/>
        <v>#N/A</v>
      </c>
      <c r="AY18" s="4" t="e">
        <f t="shared" si="37"/>
        <v>#N/A</v>
      </c>
      <c r="AZ18" s="4" t="e">
        <f t="shared" si="37"/>
        <v>#N/A</v>
      </c>
      <c r="BA18" s="4" t="e">
        <f t="shared" ref="BA18:BA49" si="38">(PERCENTRANK(S$3:S$78,S18))*100</f>
        <v>#N/A</v>
      </c>
      <c r="BB18" s="4" t="e">
        <f t="shared" ref="BB18:BB49" si="39">(PERCENTRANK(T$3:T$78,T18))*100</f>
        <v>#N/A</v>
      </c>
      <c r="BC18" s="4" t="e">
        <f t="shared" si="17"/>
        <v>#N/A</v>
      </c>
      <c r="BD18" s="4" t="e">
        <f t="shared" si="18"/>
        <v>#N/A</v>
      </c>
      <c r="BE18" s="4">
        <f t="shared" si="19"/>
        <v>0</v>
      </c>
      <c r="BF18" s="4">
        <f t="shared" si="20"/>
        <v>0</v>
      </c>
      <c r="BG18" s="4" t="e">
        <f t="shared" si="21"/>
        <v>#N/A</v>
      </c>
      <c r="BH18" s="4" t="e">
        <f t="shared" si="22"/>
        <v>#N/A</v>
      </c>
      <c r="BI18" s="4" t="e">
        <f t="shared" si="23"/>
        <v>#DIV/0!</v>
      </c>
      <c r="BJ18" s="4" t="e">
        <f t="shared" si="24"/>
        <v>#DIV/0!</v>
      </c>
      <c r="BK18" s="4" t="e">
        <f t="shared" si="25"/>
        <v>#DIV/0!</v>
      </c>
      <c r="BL18" s="4" t="e">
        <f t="shared" si="26"/>
        <v>#DIV/0!</v>
      </c>
      <c r="BM18" s="4" t="e">
        <f t="shared" si="27"/>
        <v>#DIV/0!</v>
      </c>
    </row>
    <row r="19" spans="1:65" x14ac:dyDescent="0.25">
      <c r="A19" s="2"/>
      <c r="B19" s="5"/>
      <c r="C19" s="2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>
        <f t="shared" si="28"/>
        <v>0</v>
      </c>
      <c r="X19" s="9">
        <f t="shared" si="29"/>
        <v>0</v>
      </c>
      <c r="Y19" s="9" t="str">
        <f t="shared" si="30"/>
        <v>0</v>
      </c>
      <c r="Z19" s="6" t="str">
        <f t="shared" si="31"/>
        <v>0</v>
      </c>
      <c r="AA19" s="9" t="e">
        <f t="shared" si="32"/>
        <v>#DIV/0!</v>
      </c>
      <c r="AB19" s="6" t="e">
        <f t="shared" si="33"/>
        <v>#DIV/0!</v>
      </c>
      <c r="AC19" s="6" t="e">
        <f t="shared" si="34"/>
        <v>#DIV/0!</v>
      </c>
      <c r="AD19" s="9" t="e">
        <f t="shared" si="35"/>
        <v>#DIV/0!</v>
      </c>
      <c r="AE19" s="4" t="e">
        <f>100*(AA19/TOTAL_BASIC!$C$81)</f>
        <v>#DIV/0!</v>
      </c>
      <c r="AF19" s="4" t="e">
        <f>100*AC19/TOTAL_BASIC!$C$82</f>
        <v>#DIV/0!</v>
      </c>
      <c r="AG19" s="4" t="e">
        <f>100*N19/TOTAL_BASIC!$C$87</f>
        <v>#DIV/0!</v>
      </c>
      <c r="AH19" s="4" t="e">
        <f>100*AD19/TOTAL_BASIC!$C$86</f>
        <v>#DIV/0!</v>
      </c>
      <c r="AI19" s="3" t="e">
        <f t="shared" si="36"/>
        <v>#DIV/0!</v>
      </c>
      <c r="AL19" s="4" t="e">
        <f t="shared" ref="AL19:AL41" si="40">(PERCENTRANK(D$3:D$78,D19))*100</f>
        <v>#N/A</v>
      </c>
      <c r="AM19" s="4" t="e">
        <f t="shared" ref="AM19:AM41" si="41">(PERCENTRANK(E$3:E$78,E19))*100</f>
        <v>#N/A</v>
      </c>
      <c r="AN19" s="4" t="e">
        <f t="shared" ref="AN19:AN41" si="42">(PERCENTRANK(F$3:F$78,F19))*100</f>
        <v>#N/A</v>
      </c>
      <c r="AO19" s="4" t="e">
        <f t="shared" ref="AO19:AO41" si="43">(PERCENTRANK(G$3:G$78,G19))*100</f>
        <v>#N/A</v>
      </c>
      <c r="AP19" s="4" t="e">
        <f t="shared" ref="AP19:AP41" si="44">(PERCENTRANK(H$3:H$78,H19))*100</f>
        <v>#N/A</v>
      </c>
      <c r="AQ19" s="4" t="e">
        <f t="shared" ref="AQ19:AQ41" si="45">(PERCENTRANK(I$3:I$78,I19))*100</f>
        <v>#N/A</v>
      </c>
      <c r="AR19" s="4" t="e">
        <f t="shared" ref="AR19:AR41" si="46">(PERCENTRANK(J$3:J$78,J19))*100</f>
        <v>#N/A</v>
      </c>
      <c r="AS19" s="4" t="e">
        <f t="shared" ref="AS19:AS41" si="47">(PERCENTRANK(K$3:K$78,K19))*100</f>
        <v>#N/A</v>
      </c>
      <c r="AT19" s="4" t="e">
        <f t="shared" ref="AT19:AZ49" si="48">(PERCENTRANK(L$3:L$78,L19))*100</f>
        <v>#N/A</v>
      </c>
      <c r="AU19" s="4" t="e">
        <f t="shared" si="48"/>
        <v>#N/A</v>
      </c>
      <c r="AV19" s="4" t="e">
        <f t="shared" si="48"/>
        <v>#N/A</v>
      </c>
      <c r="AW19" s="4" t="e">
        <f t="shared" si="48"/>
        <v>#N/A</v>
      </c>
      <c r="AX19" s="4" t="e">
        <f t="shared" si="48"/>
        <v>#N/A</v>
      </c>
      <c r="AY19" s="4" t="e">
        <f t="shared" si="48"/>
        <v>#N/A</v>
      </c>
      <c r="AZ19" s="4" t="e">
        <f t="shared" si="48"/>
        <v>#N/A</v>
      </c>
      <c r="BA19" s="4" t="e">
        <f t="shared" si="38"/>
        <v>#N/A</v>
      </c>
      <c r="BB19" s="4" t="e">
        <f t="shared" si="39"/>
        <v>#N/A</v>
      </c>
      <c r="BC19" s="4" t="e">
        <f t="shared" si="17"/>
        <v>#N/A</v>
      </c>
      <c r="BD19" s="4" t="e">
        <f t="shared" si="18"/>
        <v>#N/A</v>
      </c>
      <c r="BE19" s="4">
        <f t="shared" si="19"/>
        <v>0</v>
      </c>
      <c r="BF19" s="4">
        <f t="shared" si="20"/>
        <v>0</v>
      </c>
      <c r="BG19" s="4" t="e">
        <f t="shared" si="21"/>
        <v>#N/A</v>
      </c>
      <c r="BH19" s="4" t="e">
        <f t="shared" si="22"/>
        <v>#N/A</v>
      </c>
      <c r="BI19" s="4" t="e">
        <f t="shared" si="23"/>
        <v>#DIV/0!</v>
      </c>
      <c r="BJ19" s="4" t="e">
        <f t="shared" si="24"/>
        <v>#DIV/0!</v>
      </c>
      <c r="BK19" s="4" t="e">
        <f t="shared" si="25"/>
        <v>#DIV/0!</v>
      </c>
      <c r="BL19" s="4" t="e">
        <f t="shared" si="26"/>
        <v>#DIV/0!</v>
      </c>
      <c r="BM19" s="4" t="e">
        <f t="shared" si="27"/>
        <v>#DIV/0!</v>
      </c>
    </row>
    <row r="20" spans="1:65" x14ac:dyDescent="0.25">
      <c r="A20" s="2"/>
      <c r="B20" s="5"/>
      <c r="C20" s="2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si="28"/>
        <v>0</v>
      </c>
      <c r="X20" s="9">
        <f t="shared" si="29"/>
        <v>0</v>
      </c>
      <c r="Y20" s="9" t="str">
        <f t="shared" si="30"/>
        <v>0</v>
      </c>
      <c r="Z20" s="6" t="str">
        <f t="shared" si="31"/>
        <v>0</v>
      </c>
      <c r="AA20" s="9" t="e">
        <f t="shared" si="32"/>
        <v>#DIV/0!</v>
      </c>
      <c r="AB20" s="6" t="e">
        <f t="shared" si="33"/>
        <v>#DIV/0!</v>
      </c>
      <c r="AC20" s="6" t="e">
        <f t="shared" si="34"/>
        <v>#DIV/0!</v>
      </c>
      <c r="AD20" s="9" t="e">
        <f t="shared" si="35"/>
        <v>#DIV/0!</v>
      </c>
      <c r="AE20" s="4" t="e">
        <f>100*(AA20/TOTAL_BASIC!$C$81)</f>
        <v>#DIV/0!</v>
      </c>
      <c r="AF20" s="4" t="e">
        <f>100*AC20/TOTAL_BASIC!$C$82</f>
        <v>#DIV/0!</v>
      </c>
      <c r="AG20" s="4" t="e">
        <f>100*N20/TOTAL_BASIC!$C$87</f>
        <v>#DIV/0!</v>
      </c>
      <c r="AH20" s="4" t="e">
        <f>100*AD20/TOTAL_BASIC!$C$86</f>
        <v>#DIV/0!</v>
      </c>
      <c r="AI20" s="3" t="e">
        <f t="shared" si="36"/>
        <v>#DIV/0!</v>
      </c>
      <c r="AL20" s="4" t="e">
        <f t="shared" si="40"/>
        <v>#N/A</v>
      </c>
      <c r="AM20" s="4" t="e">
        <f t="shared" si="41"/>
        <v>#N/A</v>
      </c>
      <c r="AN20" s="4" t="e">
        <f t="shared" si="42"/>
        <v>#N/A</v>
      </c>
      <c r="AO20" s="4" t="e">
        <f t="shared" si="43"/>
        <v>#N/A</v>
      </c>
      <c r="AP20" s="4" t="e">
        <f t="shared" si="44"/>
        <v>#N/A</v>
      </c>
      <c r="AQ20" s="4" t="e">
        <f t="shared" si="45"/>
        <v>#N/A</v>
      </c>
      <c r="AR20" s="4" t="e">
        <f t="shared" si="46"/>
        <v>#N/A</v>
      </c>
      <c r="AS20" s="4" t="e">
        <f t="shared" si="47"/>
        <v>#N/A</v>
      </c>
      <c r="AT20" s="4" t="e">
        <f t="shared" si="48"/>
        <v>#N/A</v>
      </c>
      <c r="AU20" s="4" t="e">
        <f t="shared" si="48"/>
        <v>#N/A</v>
      </c>
      <c r="AV20" s="4" t="e">
        <f t="shared" si="48"/>
        <v>#N/A</v>
      </c>
      <c r="AW20" s="4" t="e">
        <f t="shared" si="48"/>
        <v>#N/A</v>
      </c>
      <c r="AX20" s="4" t="e">
        <f t="shared" si="48"/>
        <v>#N/A</v>
      </c>
      <c r="AY20" s="4" t="e">
        <f t="shared" si="48"/>
        <v>#N/A</v>
      </c>
      <c r="AZ20" s="4" t="e">
        <f t="shared" si="48"/>
        <v>#N/A</v>
      </c>
      <c r="BA20" s="4" t="e">
        <f t="shared" si="38"/>
        <v>#N/A</v>
      </c>
      <c r="BB20" s="4" t="e">
        <f t="shared" si="39"/>
        <v>#N/A</v>
      </c>
      <c r="BC20" s="4" t="e">
        <f t="shared" si="17"/>
        <v>#N/A</v>
      </c>
      <c r="BD20" s="4" t="e">
        <f t="shared" si="18"/>
        <v>#N/A</v>
      </c>
      <c r="BE20" s="4">
        <f t="shared" si="19"/>
        <v>0</v>
      </c>
      <c r="BF20" s="4">
        <f t="shared" si="20"/>
        <v>0</v>
      </c>
      <c r="BG20" s="4" t="e">
        <f t="shared" si="21"/>
        <v>#N/A</v>
      </c>
      <c r="BH20" s="4" t="e">
        <f t="shared" si="22"/>
        <v>#N/A</v>
      </c>
      <c r="BI20" s="4" t="e">
        <f t="shared" si="23"/>
        <v>#DIV/0!</v>
      </c>
      <c r="BJ20" s="4" t="e">
        <f t="shared" si="24"/>
        <v>#DIV/0!</v>
      </c>
      <c r="BK20" s="4" t="e">
        <f t="shared" si="25"/>
        <v>#DIV/0!</v>
      </c>
      <c r="BL20" s="4" t="e">
        <f t="shared" si="26"/>
        <v>#DIV/0!</v>
      </c>
      <c r="BM20" s="4" t="e">
        <f t="shared" si="27"/>
        <v>#DIV/0!</v>
      </c>
    </row>
    <row r="21" spans="1:65" x14ac:dyDescent="0.25">
      <c r="A21" s="2"/>
      <c r="B21" s="5"/>
      <c r="C21" s="2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>
        <f t="shared" si="28"/>
        <v>0</v>
      </c>
      <c r="X21" s="9">
        <f t="shared" si="29"/>
        <v>0</v>
      </c>
      <c r="Y21" s="9" t="str">
        <f t="shared" si="30"/>
        <v>0</v>
      </c>
      <c r="Z21" s="6" t="str">
        <f t="shared" si="31"/>
        <v>0</v>
      </c>
      <c r="AA21" s="9" t="e">
        <f t="shared" si="32"/>
        <v>#DIV/0!</v>
      </c>
      <c r="AB21" s="6" t="e">
        <f t="shared" si="33"/>
        <v>#DIV/0!</v>
      </c>
      <c r="AC21" s="6" t="e">
        <f t="shared" si="34"/>
        <v>#DIV/0!</v>
      </c>
      <c r="AD21" s="9" t="e">
        <f t="shared" si="35"/>
        <v>#DIV/0!</v>
      </c>
      <c r="AE21" s="4" t="e">
        <f>100*(AA21/TOTAL_BASIC!$C$81)</f>
        <v>#DIV/0!</v>
      </c>
      <c r="AF21" s="4" t="e">
        <f>100*AC21/TOTAL_BASIC!$C$82</f>
        <v>#DIV/0!</v>
      </c>
      <c r="AG21" s="4" t="e">
        <f>100*N21/TOTAL_BASIC!$C$87</f>
        <v>#DIV/0!</v>
      </c>
      <c r="AH21" s="4" t="e">
        <f>100*AD21/TOTAL_BASIC!$C$86</f>
        <v>#DIV/0!</v>
      </c>
      <c r="AI21" s="3" t="e">
        <f t="shared" si="36"/>
        <v>#DIV/0!</v>
      </c>
      <c r="AL21" s="4" t="e">
        <f t="shared" si="40"/>
        <v>#N/A</v>
      </c>
      <c r="AM21" s="4" t="e">
        <f t="shared" si="41"/>
        <v>#N/A</v>
      </c>
      <c r="AN21" s="4" t="e">
        <f t="shared" si="42"/>
        <v>#N/A</v>
      </c>
      <c r="AO21" s="4" t="e">
        <f t="shared" si="43"/>
        <v>#N/A</v>
      </c>
      <c r="AP21" s="4" t="e">
        <f t="shared" si="44"/>
        <v>#N/A</v>
      </c>
      <c r="AQ21" s="4" t="e">
        <f t="shared" si="45"/>
        <v>#N/A</v>
      </c>
      <c r="AR21" s="4" t="e">
        <f t="shared" si="46"/>
        <v>#N/A</v>
      </c>
      <c r="AS21" s="4" t="e">
        <f t="shared" si="47"/>
        <v>#N/A</v>
      </c>
      <c r="AT21" s="4" t="e">
        <f t="shared" si="48"/>
        <v>#N/A</v>
      </c>
      <c r="AU21" s="4" t="e">
        <f t="shared" si="48"/>
        <v>#N/A</v>
      </c>
      <c r="AV21" s="4" t="e">
        <f t="shared" si="48"/>
        <v>#N/A</v>
      </c>
      <c r="AW21" s="4" t="e">
        <f t="shared" si="48"/>
        <v>#N/A</v>
      </c>
      <c r="AX21" s="4" t="e">
        <f t="shared" si="48"/>
        <v>#N/A</v>
      </c>
      <c r="AY21" s="4" t="e">
        <f t="shared" si="48"/>
        <v>#N/A</v>
      </c>
      <c r="AZ21" s="4" t="e">
        <f t="shared" si="48"/>
        <v>#N/A</v>
      </c>
      <c r="BA21" s="4" t="e">
        <f t="shared" si="38"/>
        <v>#N/A</v>
      </c>
      <c r="BB21" s="4" t="e">
        <f t="shared" si="39"/>
        <v>#N/A</v>
      </c>
      <c r="BC21" s="4" t="e">
        <f t="shared" si="17"/>
        <v>#N/A</v>
      </c>
      <c r="BD21" s="4" t="e">
        <f t="shared" si="18"/>
        <v>#N/A</v>
      </c>
      <c r="BE21" s="4">
        <f t="shared" si="19"/>
        <v>0</v>
      </c>
      <c r="BF21" s="4">
        <f t="shared" si="20"/>
        <v>0</v>
      </c>
      <c r="BG21" s="4" t="e">
        <f t="shared" si="21"/>
        <v>#N/A</v>
      </c>
      <c r="BH21" s="4" t="e">
        <f t="shared" si="22"/>
        <v>#N/A</v>
      </c>
      <c r="BI21" s="4" t="e">
        <f t="shared" si="23"/>
        <v>#DIV/0!</v>
      </c>
      <c r="BJ21" s="4" t="e">
        <f t="shared" si="24"/>
        <v>#DIV/0!</v>
      </c>
      <c r="BK21" s="4" t="e">
        <f t="shared" si="25"/>
        <v>#DIV/0!</v>
      </c>
      <c r="BL21" s="4" t="e">
        <f t="shared" si="26"/>
        <v>#DIV/0!</v>
      </c>
      <c r="BM21" s="4" t="e">
        <f t="shared" si="27"/>
        <v>#DIV/0!</v>
      </c>
    </row>
    <row r="22" spans="1:65" x14ac:dyDescent="0.25">
      <c r="A22" s="2"/>
      <c r="B22" s="5"/>
      <c r="C22" s="2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>
        <f t="shared" si="28"/>
        <v>0</v>
      </c>
      <c r="X22" s="9">
        <f t="shared" si="29"/>
        <v>0</v>
      </c>
      <c r="Y22" s="9" t="str">
        <f t="shared" si="30"/>
        <v>0</v>
      </c>
      <c r="Z22" s="6" t="str">
        <f t="shared" si="31"/>
        <v>0</v>
      </c>
      <c r="AA22" s="9" t="e">
        <f t="shared" si="32"/>
        <v>#DIV/0!</v>
      </c>
      <c r="AB22" s="6" t="e">
        <f t="shared" si="33"/>
        <v>#DIV/0!</v>
      </c>
      <c r="AC22" s="6" t="e">
        <f t="shared" si="34"/>
        <v>#DIV/0!</v>
      </c>
      <c r="AD22" s="9" t="e">
        <f t="shared" si="35"/>
        <v>#DIV/0!</v>
      </c>
      <c r="AE22" s="4" t="e">
        <f>100*(AA22/TOTAL_BASIC!$C$81)</f>
        <v>#DIV/0!</v>
      </c>
      <c r="AF22" s="4" t="e">
        <f>100*AC22/TOTAL_BASIC!$C$82</f>
        <v>#DIV/0!</v>
      </c>
      <c r="AG22" s="4" t="e">
        <f>100*N22/TOTAL_BASIC!$C$87</f>
        <v>#DIV/0!</v>
      </c>
      <c r="AH22" s="4" t="e">
        <f>100*AD22/TOTAL_BASIC!$C$86</f>
        <v>#DIV/0!</v>
      </c>
      <c r="AI22" s="3" t="e">
        <f t="shared" si="36"/>
        <v>#DIV/0!</v>
      </c>
      <c r="AL22" s="4" t="e">
        <f t="shared" si="40"/>
        <v>#N/A</v>
      </c>
      <c r="AM22" s="4" t="e">
        <f t="shared" si="41"/>
        <v>#N/A</v>
      </c>
      <c r="AN22" s="4" t="e">
        <f t="shared" si="42"/>
        <v>#N/A</v>
      </c>
      <c r="AO22" s="4" t="e">
        <f t="shared" si="43"/>
        <v>#N/A</v>
      </c>
      <c r="AP22" s="4" t="e">
        <f t="shared" si="44"/>
        <v>#N/A</v>
      </c>
      <c r="AQ22" s="4" t="e">
        <f t="shared" si="45"/>
        <v>#N/A</v>
      </c>
      <c r="AR22" s="4" t="e">
        <f t="shared" si="46"/>
        <v>#N/A</v>
      </c>
      <c r="AS22" s="4" t="e">
        <f t="shared" si="47"/>
        <v>#N/A</v>
      </c>
      <c r="AT22" s="4" t="e">
        <f t="shared" si="48"/>
        <v>#N/A</v>
      </c>
      <c r="AU22" s="4" t="e">
        <f t="shared" si="48"/>
        <v>#N/A</v>
      </c>
      <c r="AV22" s="4" t="e">
        <f t="shared" si="48"/>
        <v>#N/A</v>
      </c>
      <c r="AW22" s="4" t="e">
        <f t="shared" si="48"/>
        <v>#N/A</v>
      </c>
      <c r="AX22" s="4" t="e">
        <f t="shared" si="48"/>
        <v>#N/A</v>
      </c>
      <c r="AY22" s="4" t="e">
        <f t="shared" si="48"/>
        <v>#N/A</v>
      </c>
      <c r="AZ22" s="4" t="e">
        <f t="shared" si="48"/>
        <v>#N/A</v>
      </c>
      <c r="BA22" s="4" t="e">
        <f t="shared" si="38"/>
        <v>#N/A</v>
      </c>
      <c r="BB22" s="4" t="e">
        <f t="shared" si="39"/>
        <v>#N/A</v>
      </c>
      <c r="BC22" s="4" t="e">
        <f t="shared" si="17"/>
        <v>#N/A</v>
      </c>
      <c r="BD22" s="4" t="e">
        <f t="shared" si="18"/>
        <v>#N/A</v>
      </c>
      <c r="BE22" s="4">
        <f t="shared" si="19"/>
        <v>0</v>
      </c>
      <c r="BF22" s="4">
        <f t="shared" si="20"/>
        <v>0</v>
      </c>
      <c r="BG22" s="4" t="e">
        <f t="shared" si="21"/>
        <v>#N/A</v>
      </c>
      <c r="BH22" s="4" t="e">
        <f t="shared" si="22"/>
        <v>#N/A</v>
      </c>
      <c r="BI22" s="4" t="e">
        <f t="shared" si="23"/>
        <v>#DIV/0!</v>
      </c>
      <c r="BJ22" s="4" t="e">
        <f t="shared" si="24"/>
        <v>#DIV/0!</v>
      </c>
      <c r="BK22" s="4" t="e">
        <f t="shared" si="25"/>
        <v>#DIV/0!</v>
      </c>
      <c r="BL22" s="4" t="e">
        <f t="shared" si="26"/>
        <v>#DIV/0!</v>
      </c>
      <c r="BM22" s="4" t="e">
        <f t="shared" si="27"/>
        <v>#DIV/0!</v>
      </c>
    </row>
    <row r="23" spans="1:65" x14ac:dyDescent="0.25">
      <c r="A23" s="2"/>
      <c r="B23" s="5"/>
      <c r="C23" s="2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>
        <f t="shared" si="28"/>
        <v>0</v>
      </c>
      <c r="X23" s="9">
        <f t="shared" si="29"/>
        <v>0</v>
      </c>
      <c r="Y23" s="9" t="str">
        <f t="shared" si="30"/>
        <v>0</v>
      </c>
      <c r="Z23" s="6" t="str">
        <f t="shared" si="31"/>
        <v>0</v>
      </c>
      <c r="AA23" s="9" t="e">
        <f t="shared" si="32"/>
        <v>#DIV/0!</v>
      </c>
      <c r="AB23" s="6" t="e">
        <f t="shared" si="33"/>
        <v>#DIV/0!</v>
      </c>
      <c r="AC23" s="6" t="e">
        <f t="shared" si="34"/>
        <v>#DIV/0!</v>
      </c>
      <c r="AD23" s="9" t="e">
        <f t="shared" si="35"/>
        <v>#DIV/0!</v>
      </c>
      <c r="AE23" s="4" t="e">
        <f>100*(AA23/TOTAL_BASIC!$C$81)</f>
        <v>#DIV/0!</v>
      </c>
      <c r="AF23" s="4" t="e">
        <f>100*AC23/TOTAL_BASIC!$C$82</f>
        <v>#DIV/0!</v>
      </c>
      <c r="AG23" s="4" t="e">
        <f>100*N23/TOTAL_BASIC!$C$87</f>
        <v>#DIV/0!</v>
      </c>
      <c r="AH23" s="4" t="e">
        <f>100*AD23/TOTAL_BASIC!$C$86</f>
        <v>#DIV/0!</v>
      </c>
      <c r="AI23" s="3" t="e">
        <f t="shared" si="36"/>
        <v>#DIV/0!</v>
      </c>
      <c r="AL23" s="4" t="e">
        <f t="shared" si="40"/>
        <v>#N/A</v>
      </c>
      <c r="AM23" s="4" t="e">
        <f t="shared" si="41"/>
        <v>#N/A</v>
      </c>
      <c r="AN23" s="4" t="e">
        <f t="shared" si="42"/>
        <v>#N/A</v>
      </c>
      <c r="AO23" s="4" t="e">
        <f t="shared" si="43"/>
        <v>#N/A</v>
      </c>
      <c r="AP23" s="4" t="e">
        <f t="shared" si="44"/>
        <v>#N/A</v>
      </c>
      <c r="AQ23" s="4" t="e">
        <f t="shared" si="45"/>
        <v>#N/A</v>
      </c>
      <c r="AR23" s="4" t="e">
        <f t="shared" si="46"/>
        <v>#N/A</v>
      </c>
      <c r="AS23" s="4" t="e">
        <f t="shared" si="47"/>
        <v>#N/A</v>
      </c>
      <c r="AT23" s="4" t="e">
        <f t="shared" si="48"/>
        <v>#N/A</v>
      </c>
      <c r="AU23" s="4" t="e">
        <f t="shared" si="48"/>
        <v>#N/A</v>
      </c>
      <c r="AV23" s="4" t="e">
        <f t="shared" si="48"/>
        <v>#N/A</v>
      </c>
      <c r="AW23" s="4" t="e">
        <f t="shared" si="48"/>
        <v>#N/A</v>
      </c>
      <c r="AX23" s="4" t="e">
        <f t="shared" si="48"/>
        <v>#N/A</v>
      </c>
      <c r="AY23" s="4" t="e">
        <f t="shared" si="48"/>
        <v>#N/A</v>
      </c>
      <c r="AZ23" s="4" t="e">
        <f t="shared" si="48"/>
        <v>#N/A</v>
      </c>
      <c r="BA23" s="4" t="e">
        <f t="shared" si="38"/>
        <v>#N/A</v>
      </c>
      <c r="BB23" s="4" t="e">
        <f t="shared" si="39"/>
        <v>#N/A</v>
      </c>
      <c r="BC23" s="4" t="e">
        <f t="shared" si="17"/>
        <v>#N/A</v>
      </c>
      <c r="BD23" s="4" t="e">
        <f t="shared" si="18"/>
        <v>#N/A</v>
      </c>
      <c r="BE23" s="4">
        <f t="shared" si="19"/>
        <v>0</v>
      </c>
      <c r="BF23" s="4">
        <f t="shared" si="20"/>
        <v>0</v>
      </c>
      <c r="BG23" s="4" t="e">
        <f t="shared" si="21"/>
        <v>#N/A</v>
      </c>
      <c r="BH23" s="4" t="e">
        <f t="shared" si="22"/>
        <v>#N/A</v>
      </c>
      <c r="BI23" s="4" t="e">
        <f t="shared" si="23"/>
        <v>#DIV/0!</v>
      </c>
      <c r="BJ23" s="4" t="e">
        <f t="shared" si="24"/>
        <v>#DIV/0!</v>
      </c>
      <c r="BK23" s="4" t="e">
        <f t="shared" si="25"/>
        <v>#DIV/0!</v>
      </c>
      <c r="BL23" s="4" t="e">
        <f t="shared" si="26"/>
        <v>#DIV/0!</v>
      </c>
      <c r="BM23" s="4" t="e">
        <f t="shared" si="27"/>
        <v>#DIV/0!</v>
      </c>
    </row>
    <row r="24" spans="1:65" x14ac:dyDescent="0.25">
      <c r="A24" s="2"/>
      <c r="B24" s="5"/>
      <c r="C24" s="2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>
        <f t="shared" si="28"/>
        <v>0</v>
      </c>
      <c r="X24" s="9">
        <f t="shared" si="29"/>
        <v>0</v>
      </c>
      <c r="Y24" s="9" t="str">
        <f t="shared" si="30"/>
        <v>0</v>
      </c>
      <c r="Z24" s="6" t="str">
        <f t="shared" si="31"/>
        <v>0</v>
      </c>
      <c r="AA24" s="9" t="e">
        <f t="shared" si="32"/>
        <v>#DIV/0!</v>
      </c>
      <c r="AB24" s="6" t="e">
        <f t="shared" si="33"/>
        <v>#DIV/0!</v>
      </c>
      <c r="AC24" s="6" t="e">
        <f t="shared" si="34"/>
        <v>#DIV/0!</v>
      </c>
      <c r="AD24" s="9" t="e">
        <f t="shared" si="35"/>
        <v>#DIV/0!</v>
      </c>
      <c r="AE24" s="4" t="e">
        <f>100*(AA24/TOTAL_BASIC!$C$81)</f>
        <v>#DIV/0!</v>
      </c>
      <c r="AF24" s="4" t="e">
        <f>100*AC24/TOTAL_BASIC!$C$82</f>
        <v>#DIV/0!</v>
      </c>
      <c r="AG24" s="4" t="e">
        <f>100*N24/TOTAL_BASIC!$C$87</f>
        <v>#DIV/0!</v>
      </c>
      <c r="AH24" s="4" t="e">
        <f>100*AD24/TOTAL_BASIC!$C$86</f>
        <v>#DIV/0!</v>
      </c>
      <c r="AI24" s="3" t="e">
        <f t="shared" si="36"/>
        <v>#DIV/0!</v>
      </c>
      <c r="AL24" s="4" t="e">
        <f t="shared" si="40"/>
        <v>#N/A</v>
      </c>
      <c r="AM24" s="4" t="e">
        <f t="shared" si="41"/>
        <v>#N/A</v>
      </c>
      <c r="AN24" s="4" t="e">
        <f t="shared" si="42"/>
        <v>#N/A</v>
      </c>
      <c r="AO24" s="4" t="e">
        <f t="shared" si="43"/>
        <v>#N/A</v>
      </c>
      <c r="AP24" s="4" t="e">
        <f t="shared" si="44"/>
        <v>#N/A</v>
      </c>
      <c r="AQ24" s="4" t="e">
        <f t="shared" si="45"/>
        <v>#N/A</v>
      </c>
      <c r="AR24" s="4" t="e">
        <f t="shared" si="46"/>
        <v>#N/A</v>
      </c>
      <c r="AS24" s="4" t="e">
        <f t="shared" si="47"/>
        <v>#N/A</v>
      </c>
      <c r="AT24" s="4" t="e">
        <f t="shared" si="48"/>
        <v>#N/A</v>
      </c>
      <c r="AU24" s="4" t="e">
        <f t="shared" si="48"/>
        <v>#N/A</v>
      </c>
      <c r="AV24" s="4" t="e">
        <f t="shared" si="48"/>
        <v>#N/A</v>
      </c>
      <c r="AW24" s="4" t="e">
        <f t="shared" si="48"/>
        <v>#N/A</v>
      </c>
      <c r="AX24" s="4" t="e">
        <f t="shared" si="48"/>
        <v>#N/A</v>
      </c>
      <c r="AY24" s="4" t="e">
        <f t="shared" si="48"/>
        <v>#N/A</v>
      </c>
      <c r="AZ24" s="4" t="e">
        <f t="shared" si="48"/>
        <v>#N/A</v>
      </c>
      <c r="BA24" s="4" t="e">
        <f t="shared" si="38"/>
        <v>#N/A</v>
      </c>
      <c r="BB24" s="4" t="e">
        <f t="shared" si="39"/>
        <v>#N/A</v>
      </c>
      <c r="BC24" s="4" t="e">
        <f t="shared" si="17"/>
        <v>#N/A</v>
      </c>
      <c r="BD24" s="4" t="e">
        <f t="shared" si="18"/>
        <v>#N/A</v>
      </c>
      <c r="BE24" s="4">
        <f t="shared" si="19"/>
        <v>0</v>
      </c>
      <c r="BF24" s="4">
        <f t="shared" si="20"/>
        <v>0</v>
      </c>
      <c r="BG24" s="4" t="e">
        <f t="shared" si="21"/>
        <v>#N/A</v>
      </c>
      <c r="BH24" s="4" t="e">
        <f t="shared" si="22"/>
        <v>#N/A</v>
      </c>
      <c r="BI24" s="4" t="e">
        <f t="shared" si="23"/>
        <v>#DIV/0!</v>
      </c>
      <c r="BJ24" s="4" t="e">
        <f t="shared" si="24"/>
        <v>#DIV/0!</v>
      </c>
      <c r="BK24" s="4" t="e">
        <f t="shared" si="25"/>
        <v>#DIV/0!</v>
      </c>
      <c r="BL24" s="4" t="e">
        <f t="shared" si="26"/>
        <v>#DIV/0!</v>
      </c>
      <c r="BM24" s="4" t="e">
        <f t="shared" si="27"/>
        <v>#DIV/0!</v>
      </c>
    </row>
    <row r="25" spans="1:65" x14ac:dyDescent="0.25">
      <c r="A25" s="2"/>
      <c r="B25" s="5"/>
      <c r="C25" s="2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>
        <f t="shared" si="28"/>
        <v>0</v>
      </c>
      <c r="X25" s="9">
        <f t="shared" si="29"/>
        <v>0</v>
      </c>
      <c r="Y25" s="9" t="str">
        <f t="shared" si="30"/>
        <v>0</v>
      </c>
      <c r="Z25" s="6" t="str">
        <f t="shared" si="31"/>
        <v>0</v>
      </c>
      <c r="AA25" s="9" t="e">
        <f t="shared" si="32"/>
        <v>#DIV/0!</v>
      </c>
      <c r="AB25" s="6" t="e">
        <f t="shared" si="33"/>
        <v>#DIV/0!</v>
      </c>
      <c r="AC25" s="6" t="e">
        <f t="shared" si="34"/>
        <v>#DIV/0!</v>
      </c>
      <c r="AD25" s="9" t="e">
        <f t="shared" si="35"/>
        <v>#DIV/0!</v>
      </c>
      <c r="AE25" s="4" t="e">
        <f>100*(AA25/TOTAL_BASIC!$C$81)</f>
        <v>#DIV/0!</v>
      </c>
      <c r="AF25" s="4" t="e">
        <f>100*AC25/TOTAL_BASIC!$C$82</f>
        <v>#DIV/0!</v>
      </c>
      <c r="AG25" s="4" t="e">
        <f>100*N25/TOTAL_BASIC!$C$87</f>
        <v>#DIV/0!</v>
      </c>
      <c r="AH25" s="4" t="e">
        <f>100*AD25/TOTAL_BASIC!$C$86</f>
        <v>#DIV/0!</v>
      </c>
      <c r="AI25" s="3" t="e">
        <f t="shared" si="36"/>
        <v>#DIV/0!</v>
      </c>
      <c r="AL25" s="4" t="e">
        <f t="shared" si="40"/>
        <v>#N/A</v>
      </c>
      <c r="AM25" s="4" t="e">
        <f t="shared" si="41"/>
        <v>#N/A</v>
      </c>
      <c r="AN25" s="4" t="e">
        <f t="shared" si="42"/>
        <v>#N/A</v>
      </c>
      <c r="AO25" s="4" t="e">
        <f t="shared" si="43"/>
        <v>#N/A</v>
      </c>
      <c r="AP25" s="4" t="e">
        <f t="shared" si="44"/>
        <v>#N/A</v>
      </c>
      <c r="AQ25" s="4" t="e">
        <f t="shared" si="45"/>
        <v>#N/A</v>
      </c>
      <c r="AR25" s="4" t="e">
        <f t="shared" si="46"/>
        <v>#N/A</v>
      </c>
      <c r="AS25" s="4" t="e">
        <f t="shared" si="47"/>
        <v>#N/A</v>
      </c>
      <c r="AT25" s="4" t="e">
        <f t="shared" si="48"/>
        <v>#N/A</v>
      </c>
      <c r="AU25" s="4" t="e">
        <f t="shared" si="48"/>
        <v>#N/A</v>
      </c>
      <c r="AV25" s="4" t="e">
        <f t="shared" si="48"/>
        <v>#N/A</v>
      </c>
      <c r="AW25" s="4" t="e">
        <f t="shared" si="48"/>
        <v>#N/A</v>
      </c>
      <c r="AX25" s="4" t="e">
        <f t="shared" si="48"/>
        <v>#N/A</v>
      </c>
      <c r="AY25" s="4" t="e">
        <f t="shared" si="48"/>
        <v>#N/A</v>
      </c>
      <c r="AZ25" s="4" t="e">
        <f t="shared" si="48"/>
        <v>#N/A</v>
      </c>
      <c r="BA25" s="4" t="e">
        <f t="shared" si="38"/>
        <v>#N/A</v>
      </c>
      <c r="BB25" s="4" t="e">
        <f t="shared" si="39"/>
        <v>#N/A</v>
      </c>
      <c r="BC25" s="4" t="e">
        <f t="shared" si="17"/>
        <v>#N/A</v>
      </c>
      <c r="BD25" s="4" t="e">
        <f t="shared" si="18"/>
        <v>#N/A</v>
      </c>
      <c r="BE25" s="4">
        <f t="shared" si="19"/>
        <v>0</v>
      </c>
      <c r="BF25" s="4">
        <f t="shared" si="20"/>
        <v>0</v>
      </c>
      <c r="BG25" s="4" t="e">
        <f t="shared" si="21"/>
        <v>#N/A</v>
      </c>
      <c r="BH25" s="4" t="e">
        <f t="shared" si="22"/>
        <v>#N/A</v>
      </c>
      <c r="BI25" s="4" t="e">
        <f t="shared" si="23"/>
        <v>#DIV/0!</v>
      </c>
      <c r="BJ25" s="4" t="e">
        <f t="shared" si="24"/>
        <v>#DIV/0!</v>
      </c>
      <c r="BK25" s="4" t="e">
        <f t="shared" si="25"/>
        <v>#DIV/0!</v>
      </c>
      <c r="BL25" s="4" t="e">
        <f t="shared" si="26"/>
        <v>#DIV/0!</v>
      </c>
      <c r="BM25" s="4" t="e">
        <f t="shared" si="27"/>
        <v>#DIV/0!</v>
      </c>
    </row>
    <row r="26" spans="1:65" x14ac:dyDescent="0.25">
      <c r="A26" s="2"/>
      <c r="B26" s="5"/>
      <c r="C26" s="2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28"/>
        <v>0</v>
      </c>
      <c r="X26" s="9">
        <f t="shared" si="29"/>
        <v>0</v>
      </c>
      <c r="Y26" s="9" t="str">
        <f t="shared" si="30"/>
        <v>0</v>
      </c>
      <c r="Z26" s="6" t="str">
        <f t="shared" si="31"/>
        <v>0</v>
      </c>
      <c r="AA26" s="9" t="e">
        <f t="shared" si="32"/>
        <v>#DIV/0!</v>
      </c>
      <c r="AB26" s="6" t="e">
        <f t="shared" si="33"/>
        <v>#DIV/0!</v>
      </c>
      <c r="AC26" s="6" t="e">
        <f t="shared" si="34"/>
        <v>#DIV/0!</v>
      </c>
      <c r="AD26" s="9" t="e">
        <f t="shared" si="35"/>
        <v>#DIV/0!</v>
      </c>
      <c r="AE26" s="4" t="e">
        <f>100*(AA26/TOTAL_BASIC!$C$81)</f>
        <v>#DIV/0!</v>
      </c>
      <c r="AF26" s="4" t="e">
        <f>100*AC26/TOTAL_BASIC!$C$82</f>
        <v>#DIV/0!</v>
      </c>
      <c r="AG26" s="4" t="e">
        <f>100*N26/TOTAL_BASIC!$C$87</f>
        <v>#DIV/0!</v>
      </c>
      <c r="AH26" s="4" t="e">
        <f>100*AD26/TOTAL_BASIC!$C$86</f>
        <v>#DIV/0!</v>
      </c>
      <c r="AI26" s="3" t="e">
        <f t="shared" si="36"/>
        <v>#DIV/0!</v>
      </c>
      <c r="AL26" s="4" t="e">
        <f t="shared" si="40"/>
        <v>#N/A</v>
      </c>
      <c r="AM26" s="4" t="e">
        <f t="shared" si="41"/>
        <v>#N/A</v>
      </c>
      <c r="AN26" s="4" t="e">
        <f t="shared" si="42"/>
        <v>#N/A</v>
      </c>
      <c r="AO26" s="4" t="e">
        <f t="shared" si="43"/>
        <v>#N/A</v>
      </c>
      <c r="AP26" s="4" t="e">
        <f t="shared" si="44"/>
        <v>#N/A</v>
      </c>
      <c r="AQ26" s="4" t="e">
        <f t="shared" si="45"/>
        <v>#N/A</v>
      </c>
      <c r="AR26" s="4" t="e">
        <f t="shared" si="46"/>
        <v>#N/A</v>
      </c>
      <c r="AS26" s="4" t="e">
        <f t="shared" si="47"/>
        <v>#N/A</v>
      </c>
      <c r="AT26" s="4" t="e">
        <f t="shared" si="48"/>
        <v>#N/A</v>
      </c>
      <c r="AU26" s="4" t="e">
        <f t="shared" si="48"/>
        <v>#N/A</v>
      </c>
      <c r="AV26" s="4" t="e">
        <f t="shared" si="48"/>
        <v>#N/A</v>
      </c>
      <c r="AW26" s="4" t="e">
        <f t="shared" si="48"/>
        <v>#N/A</v>
      </c>
      <c r="AX26" s="4" t="e">
        <f t="shared" si="48"/>
        <v>#N/A</v>
      </c>
      <c r="AY26" s="4" t="e">
        <f t="shared" si="48"/>
        <v>#N/A</v>
      </c>
      <c r="AZ26" s="4" t="e">
        <f t="shared" si="48"/>
        <v>#N/A</v>
      </c>
      <c r="BA26" s="4" t="e">
        <f t="shared" si="38"/>
        <v>#N/A</v>
      </c>
      <c r="BB26" s="4" t="e">
        <f t="shared" si="39"/>
        <v>#N/A</v>
      </c>
      <c r="BC26" s="4" t="e">
        <f t="shared" si="17"/>
        <v>#N/A</v>
      </c>
      <c r="BD26" s="4" t="e">
        <f t="shared" si="18"/>
        <v>#N/A</v>
      </c>
      <c r="BE26" s="4">
        <f t="shared" si="19"/>
        <v>0</v>
      </c>
      <c r="BF26" s="4">
        <f t="shared" si="20"/>
        <v>0</v>
      </c>
      <c r="BG26" s="4" t="e">
        <f t="shared" si="21"/>
        <v>#N/A</v>
      </c>
      <c r="BH26" s="4" t="e">
        <f t="shared" si="22"/>
        <v>#N/A</v>
      </c>
      <c r="BI26" s="4" t="e">
        <f t="shared" si="23"/>
        <v>#DIV/0!</v>
      </c>
      <c r="BJ26" s="4" t="e">
        <f t="shared" si="24"/>
        <v>#DIV/0!</v>
      </c>
      <c r="BK26" s="4" t="e">
        <f t="shared" si="25"/>
        <v>#DIV/0!</v>
      </c>
      <c r="BL26" s="4" t="e">
        <f t="shared" si="26"/>
        <v>#DIV/0!</v>
      </c>
      <c r="BM26" s="4" t="e">
        <f t="shared" si="27"/>
        <v>#DIV/0!</v>
      </c>
    </row>
    <row r="27" spans="1:65" x14ac:dyDescent="0.25">
      <c r="A27" s="2"/>
      <c r="B27" s="5"/>
      <c r="C27" s="2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>
        <f t="shared" si="28"/>
        <v>0</v>
      </c>
      <c r="X27" s="9">
        <f t="shared" si="29"/>
        <v>0</v>
      </c>
      <c r="Y27" s="9" t="str">
        <f t="shared" si="30"/>
        <v>0</v>
      </c>
      <c r="Z27" s="6" t="str">
        <f t="shared" si="31"/>
        <v>0</v>
      </c>
      <c r="AA27" s="9" t="e">
        <f t="shared" si="32"/>
        <v>#DIV/0!</v>
      </c>
      <c r="AB27" s="6" t="e">
        <f t="shared" si="33"/>
        <v>#DIV/0!</v>
      </c>
      <c r="AC27" s="6" t="e">
        <f t="shared" si="34"/>
        <v>#DIV/0!</v>
      </c>
      <c r="AD27" s="9" t="e">
        <f t="shared" si="35"/>
        <v>#DIV/0!</v>
      </c>
      <c r="AE27" s="4" t="e">
        <f>100*(AA27/TOTAL_BASIC!$C$81)</f>
        <v>#DIV/0!</v>
      </c>
      <c r="AF27" s="4" t="e">
        <f>100*AC27/TOTAL_BASIC!$C$82</f>
        <v>#DIV/0!</v>
      </c>
      <c r="AG27" s="4" t="e">
        <f>100*N27/TOTAL_BASIC!$C$87</f>
        <v>#DIV/0!</v>
      </c>
      <c r="AH27" s="4" t="e">
        <f>100*AD27/TOTAL_BASIC!$C$86</f>
        <v>#DIV/0!</v>
      </c>
      <c r="AI27" s="3" t="e">
        <f t="shared" si="36"/>
        <v>#DIV/0!</v>
      </c>
      <c r="AL27" s="4" t="e">
        <f t="shared" si="40"/>
        <v>#N/A</v>
      </c>
      <c r="AM27" s="4" t="e">
        <f t="shared" si="41"/>
        <v>#N/A</v>
      </c>
      <c r="AN27" s="4" t="e">
        <f t="shared" si="42"/>
        <v>#N/A</v>
      </c>
      <c r="AO27" s="4" t="e">
        <f t="shared" si="43"/>
        <v>#N/A</v>
      </c>
      <c r="AP27" s="4" t="e">
        <f t="shared" si="44"/>
        <v>#N/A</v>
      </c>
      <c r="AQ27" s="4" t="e">
        <f t="shared" si="45"/>
        <v>#N/A</v>
      </c>
      <c r="AR27" s="4" t="e">
        <f t="shared" si="46"/>
        <v>#N/A</v>
      </c>
      <c r="AS27" s="4" t="e">
        <f t="shared" si="47"/>
        <v>#N/A</v>
      </c>
      <c r="AT27" s="4" t="e">
        <f t="shared" si="48"/>
        <v>#N/A</v>
      </c>
      <c r="AU27" s="4" t="e">
        <f t="shared" si="48"/>
        <v>#N/A</v>
      </c>
      <c r="AV27" s="4" t="e">
        <f t="shared" si="48"/>
        <v>#N/A</v>
      </c>
      <c r="AW27" s="4" t="e">
        <f t="shared" si="48"/>
        <v>#N/A</v>
      </c>
      <c r="AX27" s="4" t="e">
        <f t="shared" si="48"/>
        <v>#N/A</v>
      </c>
      <c r="AY27" s="4" t="e">
        <f t="shared" si="48"/>
        <v>#N/A</v>
      </c>
      <c r="AZ27" s="4" t="e">
        <f t="shared" si="48"/>
        <v>#N/A</v>
      </c>
      <c r="BA27" s="4" t="e">
        <f t="shared" si="38"/>
        <v>#N/A</v>
      </c>
      <c r="BB27" s="4" t="e">
        <f t="shared" si="39"/>
        <v>#N/A</v>
      </c>
      <c r="BC27" s="4" t="e">
        <f t="shared" si="17"/>
        <v>#N/A</v>
      </c>
      <c r="BD27" s="4" t="e">
        <f t="shared" si="18"/>
        <v>#N/A</v>
      </c>
      <c r="BE27" s="4">
        <f t="shared" si="19"/>
        <v>0</v>
      </c>
      <c r="BF27" s="4">
        <f t="shared" si="20"/>
        <v>0</v>
      </c>
      <c r="BG27" s="4" t="e">
        <f t="shared" si="21"/>
        <v>#N/A</v>
      </c>
      <c r="BH27" s="4" t="e">
        <f t="shared" si="22"/>
        <v>#N/A</v>
      </c>
      <c r="BI27" s="4" t="e">
        <f t="shared" si="23"/>
        <v>#DIV/0!</v>
      </c>
      <c r="BJ27" s="4" t="e">
        <f t="shared" si="24"/>
        <v>#DIV/0!</v>
      </c>
      <c r="BK27" s="4" t="e">
        <f t="shared" si="25"/>
        <v>#DIV/0!</v>
      </c>
      <c r="BL27" s="4" t="e">
        <f t="shared" si="26"/>
        <v>#DIV/0!</v>
      </c>
      <c r="BM27" s="4" t="e">
        <f t="shared" si="27"/>
        <v>#DIV/0!</v>
      </c>
    </row>
    <row r="28" spans="1:65" x14ac:dyDescent="0.25">
      <c r="A28" s="2"/>
      <c r="B28" s="5"/>
      <c r="C28" s="2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28"/>
        <v>0</v>
      </c>
      <c r="X28" s="9">
        <f t="shared" si="29"/>
        <v>0</v>
      </c>
      <c r="Y28" s="9" t="str">
        <f t="shared" si="30"/>
        <v>0</v>
      </c>
      <c r="Z28" s="6" t="str">
        <f t="shared" si="31"/>
        <v>0</v>
      </c>
      <c r="AA28" s="9" t="e">
        <f t="shared" si="32"/>
        <v>#DIV/0!</v>
      </c>
      <c r="AB28" s="6" t="e">
        <f t="shared" si="33"/>
        <v>#DIV/0!</v>
      </c>
      <c r="AC28" s="6" t="e">
        <f t="shared" si="34"/>
        <v>#DIV/0!</v>
      </c>
      <c r="AD28" s="9" t="e">
        <f t="shared" si="35"/>
        <v>#DIV/0!</v>
      </c>
      <c r="AE28" s="4" t="e">
        <f>100*(AA28/TOTAL_BASIC!$C$81)</f>
        <v>#DIV/0!</v>
      </c>
      <c r="AF28" s="4" t="e">
        <f>100*AC28/TOTAL_BASIC!$C$82</f>
        <v>#DIV/0!</v>
      </c>
      <c r="AG28" s="4" t="e">
        <f>100*N28/TOTAL_BASIC!$C$87</f>
        <v>#DIV/0!</v>
      </c>
      <c r="AH28" s="4" t="e">
        <f>100*AD28/TOTAL_BASIC!$C$86</f>
        <v>#DIV/0!</v>
      </c>
      <c r="AI28" s="3" t="e">
        <f t="shared" si="36"/>
        <v>#DIV/0!</v>
      </c>
      <c r="AL28" s="4" t="e">
        <f t="shared" si="40"/>
        <v>#N/A</v>
      </c>
      <c r="AM28" s="4" t="e">
        <f t="shared" si="41"/>
        <v>#N/A</v>
      </c>
      <c r="AN28" s="4" t="e">
        <f t="shared" si="42"/>
        <v>#N/A</v>
      </c>
      <c r="AO28" s="4" t="e">
        <f t="shared" si="43"/>
        <v>#N/A</v>
      </c>
      <c r="AP28" s="4" t="e">
        <f t="shared" si="44"/>
        <v>#N/A</v>
      </c>
      <c r="AQ28" s="4" t="e">
        <f t="shared" si="45"/>
        <v>#N/A</v>
      </c>
      <c r="AR28" s="4" t="e">
        <f t="shared" si="46"/>
        <v>#N/A</v>
      </c>
      <c r="AS28" s="4" t="e">
        <f t="shared" si="47"/>
        <v>#N/A</v>
      </c>
      <c r="AT28" s="4" t="e">
        <f t="shared" si="48"/>
        <v>#N/A</v>
      </c>
      <c r="AU28" s="4" t="e">
        <f t="shared" si="48"/>
        <v>#N/A</v>
      </c>
      <c r="AV28" s="4" t="e">
        <f t="shared" si="48"/>
        <v>#N/A</v>
      </c>
      <c r="AW28" s="4" t="e">
        <f t="shared" si="48"/>
        <v>#N/A</v>
      </c>
      <c r="AX28" s="4" t="e">
        <f t="shared" si="48"/>
        <v>#N/A</v>
      </c>
      <c r="AY28" s="4" t="e">
        <f t="shared" si="48"/>
        <v>#N/A</v>
      </c>
      <c r="AZ28" s="4" t="e">
        <f t="shared" si="48"/>
        <v>#N/A</v>
      </c>
      <c r="BA28" s="4" t="e">
        <f t="shared" si="38"/>
        <v>#N/A</v>
      </c>
      <c r="BB28" s="4" t="e">
        <f t="shared" si="39"/>
        <v>#N/A</v>
      </c>
      <c r="BC28" s="4" t="e">
        <f t="shared" si="17"/>
        <v>#N/A</v>
      </c>
      <c r="BD28" s="4" t="e">
        <f t="shared" si="18"/>
        <v>#N/A</v>
      </c>
      <c r="BE28" s="4">
        <f t="shared" si="19"/>
        <v>0</v>
      </c>
      <c r="BF28" s="4">
        <f t="shared" si="20"/>
        <v>0</v>
      </c>
      <c r="BG28" s="4" t="e">
        <f t="shared" si="21"/>
        <v>#N/A</v>
      </c>
      <c r="BH28" s="4" t="e">
        <f t="shared" si="22"/>
        <v>#N/A</v>
      </c>
      <c r="BI28" s="4" t="e">
        <f t="shared" si="23"/>
        <v>#DIV/0!</v>
      </c>
      <c r="BJ28" s="4" t="e">
        <f t="shared" si="24"/>
        <v>#DIV/0!</v>
      </c>
      <c r="BK28" s="4" t="e">
        <f t="shared" si="25"/>
        <v>#DIV/0!</v>
      </c>
      <c r="BL28" s="4" t="e">
        <f t="shared" si="26"/>
        <v>#DIV/0!</v>
      </c>
      <c r="BM28" s="4" t="e">
        <f t="shared" si="27"/>
        <v>#DIV/0!</v>
      </c>
    </row>
    <row r="29" spans="1:65" x14ac:dyDescent="0.25">
      <c r="A29" s="2"/>
      <c r="B29" s="5"/>
      <c r="C29" s="2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>
        <f t="shared" si="28"/>
        <v>0</v>
      </c>
      <c r="X29" s="9">
        <f t="shared" si="29"/>
        <v>0</v>
      </c>
      <c r="Y29" s="9" t="str">
        <f t="shared" si="30"/>
        <v>0</v>
      </c>
      <c r="Z29" s="6" t="str">
        <f t="shared" si="31"/>
        <v>0</v>
      </c>
      <c r="AA29" s="9" t="e">
        <f t="shared" si="32"/>
        <v>#DIV/0!</v>
      </c>
      <c r="AB29" s="6" t="e">
        <f t="shared" si="33"/>
        <v>#DIV/0!</v>
      </c>
      <c r="AC29" s="6" t="e">
        <f t="shared" si="34"/>
        <v>#DIV/0!</v>
      </c>
      <c r="AD29" s="9" t="e">
        <f t="shared" si="35"/>
        <v>#DIV/0!</v>
      </c>
      <c r="AE29" s="4" t="e">
        <f>100*(AA29/TOTAL_BASIC!$C$81)</f>
        <v>#DIV/0!</v>
      </c>
      <c r="AF29" s="4" t="e">
        <f>100*AC29/TOTAL_BASIC!$C$82</f>
        <v>#DIV/0!</v>
      </c>
      <c r="AG29" s="4" t="e">
        <f>100*N29/TOTAL_BASIC!$C$87</f>
        <v>#DIV/0!</v>
      </c>
      <c r="AH29" s="4" t="e">
        <f>100*AD29/TOTAL_BASIC!$C$86</f>
        <v>#DIV/0!</v>
      </c>
      <c r="AI29" s="3" t="e">
        <f t="shared" si="36"/>
        <v>#DIV/0!</v>
      </c>
      <c r="AL29" s="4" t="e">
        <f t="shared" si="40"/>
        <v>#N/A</v>
      </c>
      <c r="AM29" s="4" t="e">
        <f t="shared" si="41"/>
        <v>#N/A</v>
      </c>
      <c r="AN29" s="4" t="e">
        <f t="shared" si="42"/>
        <v>#N/A</v>
      </c>
      <c r="AO29" s="4" t="e">
        <f t="shared" si="43"/>
        <v>#N/A</v>
      </c>
      <c r="AP29" s="4" t="e">
        <f t="shared" si="44"/>
        <v>#N/A</v>
      </c>
      <c r="AQ29" s="4" t="e">
        <f t="shared" si="45"/>
        <v>#N/A</v>
      </c>
      <c r="AR29" s="4" t="e">
        <f t="shared" si="46"/>
        <v>#N/A</v>
      </c>
      <c r="AS29" s="4" t="e">
        <f t="shared" si="47"/>
        <v>#N/A</v>
      </c>
      <c r="AT29" s="4" t="e">
        <f t="shared" si="48"/>
        <v>#N/A</v>
      </c>
      <c r="AU29" s="4" t="e">
        <f t="shared" si="48"/>
        <v>#N/A</v>
      </c>
      <c r="AV29" s="4" t="e">
        <f t="shared" si="48"/>
        <v>#N/A</v>
      </c>
      <c r="AW29" s="4" t="e">
        <f t="shared" si="48"/>
        <v>#N/A</v>
      </c>
      <c r="AX29" s="4" t="e">
        <f t="shared" si="48"/>
        <v>#N/A</v>
      </c>
      <c r="AY29" s="4" t="e">
        <f t="shared" si="48"/>
        <v>#N/A</v>
      </c>
      <c r="AZ29" s="4" t="e">
        <f t="shared" si="48"/>
        <v>#N/A</v>
      </c>
      <c r="BA29" s="4" t="e">
        <f t="shared" si="38"/>
        <v>#N/A</v>
      </c>
      <c r="BB29" s="4" t="e">
        <f t="shared" si="39"/>
        <v>#N/A</v>
      </c>
      <c r="BC29" s="4" t="e">
        <f t="shared" si="17"/>
        <v>#N/A</v>
      </c>
      <c r="BD29" s="4" t="e">
        <f t="shared" si="18"/>
        <v>#N/A</v>
      </c>
      <c r="BE29" s="4">
        <f t="shared" ref="BE29:BE49" si="49">(PERCENTRANK(W$3:W$78,W29))*100</f>
        <v>0</v>
      </c>
      <c r="BF29" s="4">
        <f t="shared" ref="BF29:BF49" si="50">(PERCENTRANK(X$3:X$78,X29))*100</f>
        <v>0</v>
      </c>
      <c r="BG29" s="4" t="e">
        <f t="shared" ref="BG29:BG49" si="51">(PERCENTRANK(Y$3:Y$78,Y29))*100</f>
        <v>#N/A</v>
      </c>
      <c r="BH29" s="4" t="e">
        <f t="shared" ref="BH29:BH49" si="52">(PERCENTRANK(Z$3:Z$78,Z29))*100</f>
        <v>#N/A</v>
      </c>
      <c r="BI29" s="4" t="e">
        <f t="shared" ref="BI29:BI49" si="53">(PERCENTRANK(AA$3:AA$78,AA29))*100</f>
        <v>#DIV/0!</v>
      </c>
      <c r="BJ29" s="4" t="e">
        <f t="shared" ref="BJ29:BJ49" si="54">(PERCENTRANK(AB$3:AB$78,AB29))*100</f>
        <v>#DIV/0!</v>
      </c>
      <c r="BK29" s="4" t="e">
        <f t="shared" ref="BK29:BK49" si="55">(PERCENTRANK(AC$3:AC$78,AC29))*100</f>
        <v>#DIV/0!</v>
      </c>
      <c r="BL29" s="4" t="e">
        <f t="shared" ref="BL29:BL49" si="56">(PERCENTRANK(AD$3:AD$78,AD29))*100</f>
        <v>#DIV/0!</v>
      </c>
      <c r="BM29" s="4" t="e">
        <f t="shared" si="27"/>
        <v>#DIV/0!</v>
      </c>
    </row>
    <row r="30" spans="1:65" x14ac:dyDescent="0.25">
      <c r="A30" s="2"/>
      <c r="B30" s="5"/>
      <c r="C30" s="2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f t="shared" si="28"/>
        <v>0</v>
      </c>
      <c r="X30" s="9">
        <f t="shared" si="29"/>
        <v>0</v>
      </c>
      <c r="Y30" s="9" t="str">
        <f t="shared" si="30"/>
        <v>0</v>
      </c>
      <c r="Z30" s="6" t="str">
        <f t="shared" si="31"/>
        <v>0</v>
      </c>
      <c r="AA30" s="9" t="e">
        <f t="shared" si="32"/>
        <v>#DIV/0!</v>
      </c>
      <c r="AB30" s="6" t="e">
        <f t="shared" si="33"/>
        <v>#DIV/0!</v>
      </c>
      <c r="AC30" s="6" t="e">
        <f t="shared" si="34"/>
        <v>#DIV/0!</v>
      </c>
      <c r="AD30" s="9" t="e">
        <f t="shared" si="35"/>
        <v>#DIV/0!</v>
      </c>
      <c r="AE30" s="4" t="e">
        <f>100*(AA30/TOTAL_BASIC!$C$81)</f>
        <v>#DIV/0!</v>
      </c>
      <c r="AF30" s="4" t="e">
        <f>100*AC30/TOTAL_BASIC!$C$82</f>
        <v>#DIV/0!</v>
      </c>
      <c r="AG30" s="4" t="e">
        <f>100*N30/TOTAL_BASIC!$C$87</f>
        <v>#DIV/0!</v>
      </c>
      <c r="AH30" s="4" t="e">
        <f>100*AD30/TOTAL_BASIC!$C$86</f>
        <v>#DIV/0!</v>
      </c>
      <c r="AI30" s="3" t="e">
        <f t="shared" si="36"/>
        <v>#DIV/0!</v>
      </c>
      <c r="AL30" s="4" t="e">
        <f t="shared" si="40"/>
        <v>#N/A</v>
      </c>
      <c r="AM30" s="4" t="e">
        <f t="shared" si="41"/>
        <v>#N/A</v>
      </c>
      <c r="AN30" s="4" t="e">
        <f t="shared" si="42"/>
        <v>#N/A</v>
      </c>
      <c r="AO30" s="4" t="e">
        <f t="shared" si="43"/>
        <v>#N/A</v>
      </c>
      <c r="AP30" s="4" t="e">
        <f t="shared" si="44"/>
        <v>#N/A</v>
      </c>
      <c r="AQ30" s="4" t="e">
        <f t="shared" si="45"/>
        <v>#N/A</v>
      </c>
      <c r="AR30" s="4" t="e">
        <f t="shared" si="46"/>
        <v>#N/A</v>
      </c>
      <c r="AS30" s="4" t="e">
        <f t="shared" si="47"/>
        <v>#N/A</v>
      </c>
      <c r="AT30" s="4" t="e">
        <f t="shared" si="48"/>
        <v>#N/A</v>
      </c>
      <c r="AU30" s="4" t="e">
        <f t="shared" si="48"/>
        <v>#N/A</v>
      </c>
      <c r="AV30" s="4" t="e">
        <f t="shared" si="48"/>
        <v>#N/A</v>
      </c>
      <c r="AW30" s="4" t="e">
        <f t="shared" si="48"/>
        <v>#N/A</v>
      </c>
      <c r="AX30" s="4" t="e">
        <f t="shared" si="48"/>
        <v>#N/A</v>
      </c>
      <c r="AY30" s="4" t="e">
        <f t="shared" si="48"/>
        <v>#N/A</v>
      </c>
      <c r="AZ30" s="4" t="e">
        <f t="shared" si="48"/>
        <v>#N/A</v>
      </c>
      <c r="BA30" s="4" t="e">
        <f t="shared" si="38"/>
        <v>#N/A</v>
      </c>
      <c r="BB30" s="4" t="e">
        <f t="shared" si="39"/>
        <v>#N/A</v>
      </c>
      <c r="BC30" s="4" t="e">
        <f t="shared" si="17"/>
        <v>#N/A</v>
      </c>
      <c r="BD30" s="4" t="e">
        <f t="shared" si="18"/>
        <v>#N/A</v>
      </c>
      <c r="BE30" s="4">
        <f t="shared" si="49"/>
        <v>0</v>
      </c>
      <c r="BF30" s="4">
        <f t="shared" si="50"/>
        <v>0</v>
      </c>
      <c r="BG30" s="4" t="e">
        <f t="shared" si="51"/>
        <v>#N/A</v>
      </c>
      <c r="BH30" s="4" t="e">
        <f t="shared" si="52"/>
        <v>#N/A</v>
      </c>
      <c r="BI30" s="4" t="e">
        <f t="shared" si="53"/>
        <v>#DIV/0!</v>
      </c>
      <c r="BJ30" s="4" t="e">
        <f t="shared" si="54"/>
        <v>#DIV/0!</v>
      </c>
      <c r="BK30" s="4" t="e">
        <f t="shared" si="55"/>
        <v>#DIV/0!</v>
      </c>
      <c r="BL30" s="4" t="e">
        <f t="shared" si="56"/>
        <v>#DIV/0!</v>
      </c>
      <c r="BM30" s="4" t="e">
        <f t="shared" si="27"/>
        <v>#DIV/0!</v>
      </c>
    </row>
    <row r="31" spans="1:65" x14ac:dyDescent="0.25">
      <c r="A31" s="2"/>
      <c r="B31" s="5"/>
      <c r="C31" s="2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>
        <f t="shared" si="28"/>
        <v>0</v>
      </c>
      <c r="X31" s="9">
        <f t="shared" si="29"/>
        <v>0</v>
      </c>
      <c r="Y31" s="9" t="str">
        <f t="shared" si="30"/>
        <v>0</v>
      </c>
      <c r="Z31" s="6" t="str">
        <f t="shared" si="31"/>
        <v>0</v>
      </c>
      <c r="AA31" s="9" t="e">
        <f t="shared" si="32"/>
        <v>#DIV/0!</v>
      </c>
      <c r="AB31" s="6" t="e">
        <f t="shared" si="33"/>
        <v>#DIV/0!</v>
      </c>
      <c r="AC31" s="6" t="e">
        <f t="shared" si="34"/>
        <v>#DIV/0!</v>
      </c>
      <c r="AD31" s="9" t="e">
        <f t="shared" si="35"/>
        <v>#DIV/0!</v>
      </c>
      <c r="AE31" s="4" t="e">
        <f>100*(AA31/TOTAL_BASIC!$C$81)</f>
        <v>#DIV/0!</v>
      </c>
      <c r="AF31" s="4" t="e">
        <f>100*AC31/TOTAL_BASIC!$C$82</f>
        <v>#DIV/0!</v>
      </c>
      <c r="AG31" s="4" t="e">
        <f>100*N31/TOTAL_BASIC!$C$87</f>
        <v>#DIV/0!</v>
      </c>
      <c r="AH31" s="4" t="e">
        <f>100*AD31/TOTAL_BASIC!$C$86</f>
        <v>#DIV/0!</v>
      </c>
      <c r="AI31" s="3" t="e">
        <f t="shared" si="36"/>
        <v>#DIV/0!</v>
      </c>
      <c r="AL31" s="4" t="e">
        <f t="shared" si="40"/>
        <v>#N/A</v>
      </c>
      <c r="AM31" s="4" t="e">
        <f t="shared" si="41"/>
        <v>#N/A</v>
      </c>
      <c r="AN31" s="4" t="e">
        <f t="shared" si="42"/>
        <v>#N/A</v>
      </c>
      <c r="AO31" s="4" t="e">
        <f t="shared" si="43"/>
        <v>#N/A</v>
      </c>
      <c r="AP31" s="4" t="e">
        <f t="shared" si="44"/>
        <v>#N/A</v>
      </c>
      <c r="AQ31" s="4" t="e">
        <f t="shared" si="45"/>
        <v>#N/A</v>
      </c>
      <c r="AR31" s="4" t="e">
        <f t="shared" si="46"/>
        <v>#N/A</v>
      </c>
      <c r="AS31" s="4" t="e">
        <f t="shared" si="47"/>
        <v>#N/A</v>
      </c>
      <c r="AT31" s="4" t="e">
        <f t="shared" si="48"/>
        <v>#N/A</v>
      </c>
      <c r="AU31" s="4" t="e">
        <f t="shared" si="48"/>
        <v>#N/A</v>
      </c>
      <c r="AV31" s="4" t="e">
        <f t="shared" si="48"/>
        <v>#N/A</v>
      </c>
      <c r="AW31" s="4" t="e">
        <f t="shared" si="48"/>
        <v>#N/A</v>
      </c>
      <c r="AX31" s="4" t="e">
        <f t="shared" si="48"/>
        <v>#N/A</v>
      </c>
      <c r="AY31" s="4" t="e">
        <f t="shared" si="48"/>
        <v>#N/A</v>
      </c>
      <c r="AZ31" s="4" t="e">
        <f t="shared" si="48"/>
        <v>#N/A</v>
      </c>
      <c r="BA31" s="4" t="e">
        <f t="shared" si="38"/>
        <v>#N/A</v>
      </c>
      <c r="BB31" s="4" t="e">
        <f t="shared" si="39"/>
        <v>#N/A</v>
      </c>
      <c r="BC31" s="4" t="e">
        <f t="shared" si="17"/>
        <v>#N/A</v>
      </c>
      <c r="BD31" s="4" t="e">
        <f t="shared" si="18"/>
        <v>#N/A</v>
      </c>
      <c r="BE31" s="4">
        <f t="shared" si="49"/>
        <v>0</v>
      </c>
      <c r="BF31" s="4">
        <f t="shared" si="50"/>
        <v>0</v>
      </c>
      <c r="BG31" s="4" t="e">
        <f t="shared" si="51"/>
        <v>#N/A</v>
      </c>
      <c r="BH31" s="4" t="e">
        <f t="shared" si="52"/>
        <v>#N/A</v>
      </c>
      <c r="BI31" s="4" t="e">
        <f t="shared" si="53"/>
        <v>#DIV/0!</v>
      </c>
      <c r="BJ31" s="4" t="e">
        <f t="shared" si="54"/>
        <v>#DIV/0!</v>
      </c>
      <c r="BK31" s="4" t="e">
        <f t="shared" si="55"/>
        <v>#DIV/0!</v>
      </c>
      <c r="BL31" s="4" t="e">
        <f t="shared" si="56"/>
        <v>#DIV/0!</v>
      </c>
      <c r="BM31" s="4" t="e">
        <f t="shared" si="27"/>
        <v>#DIV/0!</v>
      </c>
    </row>
    <row r="32" spans="1:65" x14ac:dyDescent="0.25">
      <c r="A32" s="2"/>
      <c r="B32" s="5"/>
      <c r="C32" s="2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8"/>
        <v>0</v>
      </c>
      <c r="X32" s="9">
        <f t="shared" si="29"/>
        <v>0</v>
      </c>
      <c r="Y32" s="9" t="str">
        <f t="shared" si="30"/>
        <v>0</v>
      </c>
      <c r="Z32" s="6" t="str">
        <f t="shared" si="31"/>
        <v>0</v>
      </c>
      <c r="AA32" s="9" t="e">
        <f t="shared" si="32"/>
        <v>#DIV/0!</v>
      </c>
      <c r="AB32" s="6" t="e">
        <f t="shared" si="33"/>
        <v>#DIV/0!</v>
      </c>
      <c r="AC32" s="6" t="e">
        <f t="shared" si="34"/>
        <v>#DIV/0!</v>
      </c>
      <c r="AD32" s="9" t="e">
        <f t="shared" si="35"/>
        <v>#DIV/0!</v>
      </c>
      <c r="AE32" s="4" t="e">
        <f>100*(AA32/TOTAL_BASIC!$C$81)</f>
        <v>#DIV/0!</v>
      </c>
      <c r="AF32" s="4" t="e">
        <f>100*AC32/TOTAL_BASIC!$C$82</f>
        <v>#DIV/0!</v>
      </c>
      <c r="AG32" s="4" t="e">
        <f>100*N32/TOTAL_BASIC!$C$87</f>
        <v>#DIV/0!</v>
      </c>
      <c r="AH32" s="4" t="e">
        <f>100*AD32/TOTAL_BASIC!$C$86</f>
        <v>#DIV/0!</v>
      </c>
      <c r="AI32" s="3" t="e">
        <f t="shared" si="36"/>
        <v>#DIV/0!</v>
      </c>
      <c r="AL32" s="4" t="e">
        <f t="shared" si="40"/>
        <v>#N/A</v>
      </c>
      <c r="AM32" s="4" t="e">
        <f t="shared" si="41"/>
        <v>#N/A</v>
      </c>
      <c r="AN32" s="4" t="e">
        <f t="shared" si="42"/>
        <v>#N/A</v>
      </c>
      <c r="AO32" s="4" t="e">
        <f t="shared" si="43"/>
        <v>#N/A</v>
      </c>
      <c r="AP32" s="4" t="e">
        <f t="shared" si="44"/>
        <v>#N/A</v>
      </c>
      <c r="AQ32" s="4" t="e">
        <f t="shared" si="45"/>
        <v>#N/A</v>
      </c>
      <c r="AR32" s="4" t="e">
        <f t="shared" si="46"/>
        <v>#N/A</v>
      </c>
      <c r="AS32" s="4" t="e">
        <f t="shared" si="47"/>
        <v>#N/A</v>
      </c>
      <c r="AT32" s="4" t="e">
        <f t="shared" si="48"/>
        <v>#N/A</v>
      </c>
      <c r="AU32" s="4" t="e">
        <f t="shared" si="48"/>
        <v>#N/A</v>
      </c>
      <c r="AV32" s="4" t="e">
        <f t="shared" si="48"/>
        <v>#N/A</v>
      </c>
      <c r="AW32" s="4" t="e">
        <f t="shared" si="48"/>
        <v>#N/A</v>
      </c>
      <c r="AX32" s="4" t="e">
        <f t="shared" si="48"/>
        <v>#N/A</v>
      </c>
      <c r="AY32" s="4" t="e">
        <f t="shared" si="48"/>
        <v>#N/A</v>
      </c>
      <c r="AZ32" s="4" t="e">
        <f t="shared" si="48"/>
        <v>#N/A</v>
      </c>
      <c r="BA32" s="4" t="e">
        <f t="shared" si="38"/>
        <v>#N/A</v>
      </c>
      <c r="BB32" s="4" t="e">
        <f t="shared" si="39"/>
        <v>#N/A</v>
      </c>
      <c r="BC32" s="4" t="e">
        <f t="shared" si="17"/>
        <v>#N/A</v>
      </c>
      <c r="BD32" s="4" t="e">
        <f t="shared" si="18"/>
        <v>#N/A</v>
      </c>
      <c r="BE32" s="4">
        <f t="shared" si="49"/>
        <v>0</v>
      </c>
      <c r="BF32" s="4">
        <f t="shared" si="50"/>
        <v>0</v>
      </c>
      <c r="BG32" s="4" t="e">
        <f t="shared" si="51"/>
        <v>#N/A</v>
      </c>
      <c r="BH32" s="4" t="e">
        <f t="shared" si="52"/>
        <v>#N/A</v>
      </c>
      <c r="BI32" s="4" t="e">
        <f t="shared" si="53"/>
        <v>#DIV/0!</v>
      </c>
      <c r="BJ32" s="4" t="e">
        <f t="shared" si="54"/>
        <v>#DIV/0!</v>
      </c>
      <c r="BK32" s="4" t="e">
        <f t="shared" si="55"/>
        <v>#DIV/0!</v>
      </c>
      <c r="BL32" s="4" t="e">
        <f t="shared" si="56"/>
        <v>#DIV/0!</v>
      </c>
      <c r="BM32" s="4" t="e">
        <f t="shared" si="27"/>
        <v>#DIV/0!</v>
      </c>
    </row>
    <row r="33" spans="1:65" x14ac:dyDescent="0.25">
      <c r="A33" s="2"/>
      <c r="B33" s="5"/>
      <c r="C33" s="2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>
        <f t="shared" si="28"/>
        <v>0</v>
      </c>
      <c r="X33" s="9">
        <f t="shared" si="29"/>
        <v>0</v>
      </c>
      <c r="Y33" s="9" t="str">
        <f t="shared" si="30"/>
        <v>0</v>
      </c>
      <c r="Z33" s="6" t="str">
        <f t="shared" si="31"/>
        <v>0</v>
      </c>
      <c r="AA33" s="9" t="e">
        <f t="shared" si="32"/>
        <v>#DIV/0!</v>
      </c>
      <c r="AB33" s="6" t="e">
        <f t="shared" si="33"/>
        <v>#DIV/0!</v>
      </c>
      <c r="AC33" s="6" t="e">
        <f t="shared" si="34"/>
        <v>#DIV/0!</v>
      </c>
      <c r="AD33" s="9" t="e">
        <f t="shared" si="35"/>
        <v>#DIV/0!</v>
      </c>
      <c r="AE33" s="4" t="e">
        <f>100*(AA33/TOTAL_BASIC!$C$81)</f>
        <v>#DIV/0!</v>
      </c>
      <c r="AF33" s="4" t="e">
        <f>100*AC33/TOTAL_BASIC!$C$82</f>
        <v>#DIV/0!</v>
      </c>
      <c r="AG33" s="4" t="e">
        <f>100*N33/TOTAL_BASIC!$C$87</f>
        <v>#DIV/0!</v>
      </c>
      <c r="AH33" s="4" t="e">
        <f>100*AD33/TOTAL_BASIC!$C$86</f>
        <v>#DIV/0!</v>
      </c>
      <c r="AI33" s="3" t="e">
        <f t="shared" si="36"/>
        <v>#DIV/0!</v>
      </c>
      <c r="AL33" s="4" t="e">
        <f t="shared" si="40"/>
        <v>#N/A</v>
      </c>
      <c r="AM33" s="4" t="e">
        <f t="shared" si="41"/>
        <v>#N/A</v>
      </c>
      <c r="AN33" s="4" t="e">
        <f t="shared" si="42"/>
        <v>#N/A</v>
      </c>
      <c r="AO33" s="4" t="e">
        <f t="shared" si="43"/>
        <v>#N/A</v>
      </c>
      <c r="AP33" s="4" t="e">
        <f t="shared" si="44"/>
        <v>#N/A</v>
      </c>
      <c r="AQ33" s="4" t="e">
        <f t="shared" si="45"/>
        <v>#N/A</v>
      </c>
      <c r="AR33" s="4" t="e">
        <f t="shared" si="46"/>
        <v>#N/A</v>
      </c>
      <c r="AS33" s="4" t="e">
        <f t="shared" si="47"/>
        <v>#N/A</v>
      </c>
      <c r="AT33" s="4" t="e">
        <f t="shared" si="48"/>
        <v>#N/A</v>
      </c>
      <c r="AU33" s="4" t="e">
        <f t="shared" si="48"/>
        <v>#N/A</v>
      </c>
      <c r="AV33" s="4" t="e">
        <f t="shared" si="48"/>
        <v>#N/A</v>
      </c>
      <c r="AW33" s="4" t="e">
        <f t="shared" si="48"/>
        <v>#N/A</v>
      </c>
      <c r="AX33" s="4" t="e">
        <f t="shared" si="48"/>
        <v>#N/A</v>
      </c>
      <c r="AY33" s="4" t="e">
        <f t="shared" si="48"/>
        <v>#N/A</v>
      </c>
      <c r="AZ33" s="4" t="e">
        <f t="shared" si="48"/>
        <v>#N/A</v>
      </c>
      <c r="BA33" s="4" t="e">
        <f t="shared" si="38"/>
        <v>#N/A</v>
      </c>
      <c r="BB33" s="4" t="e">
        <f t="shared" si="39"/>
        <v>#N/A</v>
      </c>
      <c r="BC33" s="4" t="e">
        <f t="shared" si="17"/>
        <v>#N/A</v>
      </c>
      <c r="BD33" s="4" t="e">
        <f t="shared" si="18"/>
        <v>#N/A</v>
      </c>
      <c r="BE33" s="4">
        <f t="shared" si="49"/>
        <v>0</v>
      </c>
      <c r="BF33" s="4">
        <f t="shared" si="50"/>
        <v>0</v>
      </c>
      <c r="BG33" s="4" t="e">
        <f t="shared" si="51"/>
        <v>#N/A</v>
      </c>
      <c r="BH33" s="4" t="e">
        <f t="shared" si="52"/>
        <v>#N/A</v>
      </c>
      <c r="BI33" s="4" t="e">
        <f t="shared" si="53"/>
        <v>#DIV/0!</v>
      </c>
      <c r="BJ33" s="4" t="e">
        <f t="shared" si="54"/>
        <v>#DIV/0!</v>
      </c>
      <c r="BK33" s="4" t="e">
        <f t="shared" si="55"/>
        <v>#DIV/0!</v>
      </c>
      <c r="BL33" s="4" t="e">
        <f t="shared" si="56"/>
        <v>#DIV/0!</v>
      </c>
      <c r="BM33" s="4" t="e">
        <f t="shared" si="27"/>
        <v>#DIV/0!</v>
      </c>
    </row>
    <row r="34" spans="1:65" x14ac:dyDescent="0.25">
      <c r="A34" s="2"/>
      <c r="B34" s="5"/>
      <c r="C34" s="2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28"/>
        <v>0</v>
      </c>
      <c r="X34" s="9">
        <f t="shared" si="29"/>
        <v>0</v>
      </c>
      <c r="Y34" s="9" t="str">
        <f t="shared" si="30"/>
        <v>0</v>
      </c>
      <c r="Z34" s="6" t="str">
        <f t="shared" si="31"/>
        <v>0</v>
      </c>
      <c r="AA34" s="9" t="e">
        <f t="shared" si="32"/>
        <v>#DIV/0!</v>
      </c>
      <c r="AB34" s="6" t="e">
        <f t="shared" si="33"/>
        <v>#DIV/0!</v>
      </c>
      <c r="AC34" s="6" t="e">
        <f t="shared" si="34"/>
        <v>#DIV/0!</v>
      </c>
      <c r="AD34" s="9" t="e">
        <f t="shared" si="35"/>
        <v>#DIV/0!</v>
      </c>
      <c r="AE34" s="4" t="e">
        <f>100*(AA34/TOTAL_BASIC!$C$81)</f>
        <v>#DIV/0!</v>
      </c>
      <c r="AF34" s="4" t="e">
        <f>100*AC34/TOTAL_BASIC!$C$82</f>
        <v>#DIV/0!</v>
      </c>
      <c r="AG34" s="4" t="e">
        <f>100*N34/TOTAL_BASIC!$C$87</f>
        <v>#DIV/0!</v>
      </c>
      <c r="AH34" s="4" t="e">
        <f>100*AD34/TOTAL_BASIC!$C$86</f>
        <v>#DIV/0!</v>
      </c>
      <c r="AI34" s="3" t="e">
        <f t="shared" si="36"/>
        <v>#DIV/0!</v>
      </c>
      <c r="AL34" s="4" t="e">
        <f t="shared" si="40"/>
        <v>#N/A</v>
      </c>
      <c r="AM34" s="4" t="e">
        <f t="shared" si="41"/>
        <v>#N/A</v>
      </c>
      <c r="AN34" s="4" t="e">
        <f t="shared" si="42"/>
        <v>#N/A</v>
      </c>
      <c r="AO34" s="4" t="e">
        <f t="shared" si="43"/>
        <v>#N/A</v>
      </c>
      <c r="AP34" s="4" t="e">
        <f t="shared" si="44"/>
        <v>#N/A</v>
      </c>
      <c r="AQ34" s="4" t="e">
        <f t="shared" si="45"/>
        <v>#N/A</v>
      </c>
      <c r="AR34" s="4" t="e">
        <f t="shared" si="46"/>
        <v>#N/A</v>
      </c>
      <c r="AS34" s="4" t="e">
        <f t="shared" si="47"/>
        <v>#N/A</v>
      </c>
      <c r="AT34" s="4" t="e">
        <f t="shared" si="48"/>
        <v>#N/A</v>
      </c>
      <c r="AU34" s="4" t="e">
        <f t="shared" si="48"/>
        <v>#N/A</v>
      </c>
      <c r="AV34" s="4" t="e">
        <f t="shared" si="48"/>
        <v>#N/A</v>
      </c>
      <c r="AW34" s="4" t="e">
        <f t="shared" si="48"/>
        <v>#N/A</v>
      </c>
      <c r="AX34" s="4" t="e">
        <f t="shared" si="48"/>
        <v>#N/A</v>
      </c>
      <c r="AY34" s="4" t="e">
        <f t="shared" si="48"/>
        <v>#N/A</v>
      </c>
      <c r="AZ34" s="4" t="e">
        <f t="shared" si="48"/>
        <v>#N/A</v>
      </c>
      <c r="BA34" s="4" t="e">
        <f t="shared" si="38"/>
        <v>#N/A</v>
      </c>
      <c r="BB34" s="4" t="e">
        <f t="shared" si="39"/>
        <v>#N/A</v>
      </c>
      <c r="BC34" s="4" t="e">
        <f t="shared" si="17"/>
        <v>#N/A</v>
      </c>
      <c r="BD34" s="4" t="e">
        <f t="shared" si="18"/>
        <v>#N/A</v>
      </c>
      <c r="BE34" s="4">
        <f t="shared" si="49"/>
        <v>0</v>
      </c>
      <c r="BF34" s="4">
        <f t="shared" si="50"/>
        <v>0</v>
      </c>
      <c r="BG34" s="4" t="e">
        <f t="shared" si="51"/>
        <v>#N/A</v>
      </c>
      <c r="BH34" s="4" t="e">
        <f t="shared" si="52"/>
        <v>#N/A</v>
      </c>
      <c r="BI34" s="4" t="e">
        <f t="shared" si="53"/>
        <v>#DIV/0!</v>
      </c>
      <c r="BJ34" s="4" t="e">
        <f t="shared" si="54"/>
        <v>#DIV/0!</v>
      </c>
      <c r="BK34" s="4" t="e">
        <f t="shared" si="55"/>
        <v>#DIV/0!</v>
      </c>
      <c r="BL34" s="4" t="e">
        <f t="shared" si="56"/>
        <v>#DIV/0!</v>
      </c>
      <c r="BM34" s="4" t="e">
        <f t="shared" si="27"/>
        <v>#DIV/0!</v>
      </c>
    </row>
    <row r="35" spans="1:65" x14ac:dyDescent="0.25">
      <c r="A35" s="2"/>
      <c r="B35" s="5"/>
      <c r="C35" s="2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>
        <f t="shared" si="28"/>
        <v>0</v>
      </c>
      <c r="X35" s="9">
        <f t="shared" si="29"/>
        <v>0</v>
      </c>
      <c r="Y35" s="9" t="str">
        <f t="shared" si="30"/>
        <v>0</v>
      </c>
      <c r="Z35" s="6" t="str">
        <f t="shared" si="31"/>
        <v>0</v>
      </c>
      <c r="AA35" s="9" t="e">
        <f t="shared" si="32"/>
        <v>#DIV/0!</v>
      </c>
      <c r="AB35" s="6" t="e">
        <f t="shared" si="33"/>
        <v>#DIV/0!</v>
      </c>
      <c r="AC35" s="6" t="e">
        <f t="shared" si="34"/>
        <v>#DIV/0!</v>
      </c>
      <c r="AD35" s="9" t="e">
        <f t="shared" si="35"/>
        <v>#DIV/0!</v>
      </c>
      <c r="AE35" s="4" t="e">
        <f>100*(AA35/TOTAL_BASIC!$C$81)</f>
        <v>#DIV/0!</v>
      </c>
      <c r="AF35" s="4" t="e">
        <f>100*AC35/TOTAL_BASIC!$C$82</f>
        <v>#DIV/0!</v>
      </c>
      <c r="AG35" s="4" t="e">
        <f>100*N35/TOTAL_BASIC!$C$87</f>
        <v>#DIV/0!</v>
      </c>
      <c r="AH35" s="4" t="e">
        <f>100*AD35/TOTAL_BASIC!$C$86</f>
        <v>#DIV/0!</v>
      </c>
      <c r="AI35" s="3" t="e">
        <f t="shared" si="36"/>
        <v>#DIV/0!</v>
      </c>
      <c r="AL35" s="4" t="e">
        <f t="shared" si="40"/>
        <v>#N/A</v>
      </c>
      <c r="AM35" s="4" t="e">
        <f t="shared" si="41"/>
        <v>#N/A</v>
      </c>
      <c r="AN35" s="4" t="e">
        <f t="shared" si="42"/>
        <v>#N/A</v>
      </c>
      <c r="AO35" s="4" t="e">
        <f t="shared" si="43"/>
        <v>#N/A</v>
      </c>
      <c r="AP35" s="4" t="e">
        <f t="shared" si="44"/>
        <v>#N/A</v>
      </c>
      <c r="AQ35" s="4" t="e">
        <f t="shared" si="45"/>
        <v>#N/A</v>
      </c>
      <c r="AR35" s="4" t="e">
        <f t="shared" si="46"/>
        <v>#N/A</v>
      </c>
      <c r="AS35" s="4" t="e">
        <f t="shared" si="47"/>
        <v>#N/A</v>
      </c>
      <c r="AT35" s="4" t="e">
        <f t="shared" si="48"/>
        <v>#N/A</v>
      </c>
      <c r="AU35" s="4" t="e">
        <f t="shared" si="48"/>
        <v>#N/A</v>
      </c>
      <c r="AV35" s="4" t="e">
        <f t="shared" si="48"/>
        <v>#N/A</v>
      </c>
      <c r="AW35" s="4" t="e">
        <f t="shared" si="48"/>
        <v>#N/A</v>
      </c>
      <c r="AX35" s="4" t="e">
        <f t="shared" si="48"/>
        <v>#N/A</v>
      </c>
      <c r="AY35" s="4" t="e">
        <f t="shared" si="48"/>
        <v>#N/A</v>
      </c>
      <c r="AZ35" s="4" t="e">
        <f t="shared" si="48"/>
        <v>#N/A</v>
      </c>
      <c r="BA35" s="4" t="e">
        <f t="shared" si="38"/>
        <v>#N/A</v>
      </c>
      <c r="BB35" s="4" t="e">
        <f t="shared" si="39"/>
        <v>#N/A</v>
      </c>
      <c r="BC35" s="4" t="e">
        <f t="shared" si="17"/>
        <v>#N/A</v>
      </c>
      <c r="BD35" s="4" t="e">
        <f t="shared" si="18"/>
        <v>#N/A</v>
      </c>
      <c r="BE35" s="4">
        <f t="shared" si="49"/>
        <v>0</v>
      </c>
      <c r="BF35" s="4">
        <f t="shared" si="50"/>
        <v>0</v>
      </c>
      <c r="BG35" s="4" t="e">
        <f t="shared" si="51"/>
        <v>#N/A</v>
      </c>
      <c r="BH35" s="4" t="e">
        <f t="shared" si="52"/>
        <v>#N/A</v>
      </c>
      <c r="BI35" s="4" t="e">
        <f t="shared" si="53"/>
        <v>#DIV/0!</v>
      </c>
      <c r="BJ35" s="4" t="e">
        <f t="shared" si="54"/>
        <v>#DIV/0!</v>
      </c>
      <c r="BK35" s="4" t="e">
        <f t="shared" si="55"/>
        <v>#DIV/0!</v>
      </c>
      <c r="BL35" s="4" t="e">
        <f t="shared" si="56"/>
        <v>#DIV/0!</v>
      </c>
      <c r="BM35" s="4" t="e">
        <f t="shared" si="27"/>
        <v>#DIV/0!</v>
      </c>
    </row>
    <row r="36" spans="1:65" x14ac:dyDescent="0.25">
      <c r="A36" s="2"/>
      <c r="B36" s="5"/>
      <c r="C36" s="2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>
        <f t="shared" si="28"/>
        <v>0</v>
      </c>
      <c r="X36" s="9">
        <f t="shared" si="29"/>
        <v>0</v>
      </c>
      <c r="Y36" s="9" t="str">
        <f t="shared" si="30"/>
        <v>0</v>
      </c>
      <c r="Z36" s="6" t="str">
        <f t="shared" si="31"/>
        <v>0</v>
      </c>
      <c r="AA36" s="9" t="e">
        <f t="shared" si="32"/>
        <v>#DIV/0!</v>
      </c>
      <c r="AB36" s="6" t="e">
        <f t="shared" si="33"/>
        <v>#DIV/0!</v>
      </c>
      <c r="AC36" s="6" t="e">
        <f t="shared" si="34"/>
        <v>#DIV/0!</v>
      </c>
      <c r="AD36" s="9" t="e">
        <f t="shared" si="35"/>
        <v>#DIV/0!</v>
      </c>
      <c r="AE36" s="4" t="e">
        <f>100*(AA36/TOTAL_BASIC!$C$81)</f>
        <v>#DIV/0!</v>
      </c>
      <c r="AF36" s="4" t="e">
        <f>100*AC36/TOTAL_BASIC!$C$82</f>
        <v>#DIV/0!</v>
      </c>
      <c r="AG36" s="4" t="e">
        <f>100*N36/TOTAL_BASIC!$C$87</f>
        <v>#DIV/0!</v>
      </c>
      <c r="AH36" s="4" t="e">
        <f>100*AD36/TOTAL_BASIC!$C$86</f>
        <v>#DIV/0!</v>
      </c>
      <c r="AI36" s="3" t="e">
        <f t="shared" si="36"/>
        <v>#DIV/0!</v>
      </c>
      <c r="AL36" s="4" t="e">
        <f t="shared" si="40"/>
        <v>#N/A</v>
      </c>
      <c r="AM36" s="4" t="e">
        <f t="shared" si="41"/>
        <v>#N/A</v>
      </c>
      <c r="AN36" s="4" t="e">
        <f t="shared" si="42"/>
        <v>#N/A</v>
      </c>
      <c r="AO36" s="4" t="e">
        <f t="shared" si="43"/>
        <v>#N/A</v>
      </c>
      <c r="AP36" s="4" t="e">
        <f t="shared" si="44"/>
        <v>#N/A</v>
      </c>
      <c r="AQ36" s="4" t="e">
        <f t="shared" si="45"/>
        <v>#N/A</v>
      </c>
      <c r="AR36" s="4" t="e">
        <f t="shared" si="46"/>
        <v>#N/A</v>
      </c>
      <c r="AS36" s="4" t="e">
        <f t="shared" si="47"/>
        <v>#N/A</v>
      </c>
      <c r="AT36" s="4" t="e">
        <f t="shared" si="48"/>
        <v>#N/A</v>
      </c>
      <c r="AU36" s="4" t="e">
        <f t="shared" si="48"/>
        <v>#N/A</v>
      </c>
      <c r="AV36" s="4" t="e">
        <f t="shared" si="48"/>
        <v>#N/A</v>
      </c>
      <c r="AW36" s="4" t="e">
        <f t="shared" si="48"/>
        <v>#N/A</v>
      </c>
      <c r="AX36" s="4" t="e">
        <f t="shared" si="48"/>
        <v>#N/A</v>
      </c>
      <c r="AY36" s="4" t="e">
        <f t="shared" si="48"/>
        <v>#N/A</v>
      </c>
      <c r="AZ36" s="4" t="e">
        <f t="shared" si="48"/>
        <v>#N/A</v>
      </c>
      <c r="BA36" s="4" t="e">
        <f t="shared" si="38"/>
        <v>#N/A</v>
      </c>
      <c r="BB36" s="4" t="e">
        <f t="shared" si="39"/>
        <v>#N/A</v>
      </c>
      <c r="BC36" s="4" t="e">
        <f t="shared" si="17"/>
        <v>#N/A</v>
      </c>
      <c r="BD36" s="4" t="e">
        <f t="shared" si="18"/>
        <v>#N/A</v>
      </c>
      <c r="BE36" s="4">
        <f t="shared" si="49"/>
        <v>0</v>
      </c>
      <c r="BF36" s="4">
        <f t="shared" si="50"/>
        <v>0</v>
      </c>
      <c r="BG36" s="4" t="e">
        <f t="shared" si="51"/>
        <v>#N/A</v>
      </c>
      <c r="BH36" s="4" t="e">
        <f t="shared" si="52"/>
        <v>#N/A</v>
      </c>
      <c r="BI36" s="4" t="e">
        <f t="shared" si="53"/>
        <v>#DIV/0!</v>
      </c>
      <c r="BJ36" s="4" t="e">
        <f t="shared" si="54"/>
        <v>#DIV/0!</v>
      </c>
      <c r="BK36" s="4" t="e">
        <f t="shared" si="55"/>
        <v>#DIV/0!</v>
      </c>
      <c r="BL36" s="4" t="e">
        <f t="shared" si="56"/>
        <v>#DIV/0!</v>
      </c>
      <c r="BM36" s="4" t="e">
        <f t="shared" si="27"/>
        <v>#DIV/0!</v>
      </c>
    </row>
    <row r="37" spans="1:65" x14ac:dyDescent="0.25">
      <c r="A37" s="2"/>
      <c r="B37" s="5"/>
      <c r="C37" s="2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>
        <f t="shared" si="28"/>
        <v>0</v>
      </c>
      <c r="X37" s="9">
        <f t="shared" si="29"/>
        <v>0</v>
      </c>
      <c r="Y37" s="9" t="str">
        <f t="shared" si="30"/>
        <v>0</v>
      </c>
      <c r="Z37" s="6" t="str">
        <f t="shared" si="31"/>
        <v>0</v>
      </c>
      <c r="AA37" s="9" t="e">
        <f t="shared" si="32"/>
        <v>#DIV/0!</v>
      </c>
      <c r="AB37" s="6" t="e">
        <f t="shared" si="33"/>
        <v>#DIV/0!</v>
      </c>
      <c r="AC37" s="6" t="e">
        <f t="shared" si="34"/>
        <v>#DIV/0!</v>
      </c>
      <c r="AD37" s="9" t="e">
        <f t="shared" si="35"/>
        <v>#DIV/0!</v>
      </c>
      <c r="AE37" s="4" t="e">
        <f>100*(AA37/TOTAL_BASIC!$C$81)</f>
        <v>#DIV/0!</v>
      </c>
      <c r="AF37" s="4" t="e">
        <f>100*AC37/TOTAL_BASIC!$C$82</f>
        <v>#DIV/0!</v>
      </c>
      <c r="AG37" s="4" t="e">
        <f>100*N37/TOTAL_BASIC!$C$87</f>
        <v>#DIV/0!</v>
      </c>
      <c r="AH37" s="4" t="e">
        <f>100*AD37/TOTAL_BASIC!$C$86</f>
        <v>#DIV/0!</v>
      </c>
      <c r="AI37" s="3" t="e">
        <f t="shared" si="36"/>
        <v>#DIV/0!</v>
      </c>
      <c r="AL37" s="4" t="e">
        <f t="shared" si="40"/>
        <v>#N/A</v>
      </c>
      <c r="AM37" s="4" t="e">
        <f t="shared" si="41"/>
        <v>#N/A</v>
      </c>
      <c r="AN37" s="4" t="e">
        <f t="shared" si="42"/>
        <v>#N/A</v>
      </c>
      <c r="AO37" s="4" t="e">
        <f t="shared" si="43"/>
        <v>#N/A</v>
      </c>
      <c r="AP37" s="4" t="e">
        <f t="shared" si="44"/>
        <v>#N/A</v>
      </c>
      <c r="AQ37" s="4" t="e">
        <f t="shared" si="45"/>
        <v>#N/A</v>
      </c>
      <c r="AR37" s="4" t="e">
        <f t="shared" si="46"/>
        <v>#N/A</v>
      </c>
      <c r="AS37" s="4" t="e">
        <f t="shared" si="47"/>
        <v>#N/A</v>
      </c>
      <c r="AT37" s="4" t="e">
        <f t="shared" si="48"/>
        <v>#N/A</v>
      </c>
      <c r="AU37" s="4" t="e">
        <f t="shared" si="48"/>
        <v>#N/A</v>
      </c>
      <c r="AV37" s="4" t="e">
        <f t="shared" si="48"/>
        <v>#N/A</v>
      </c>
      <c r="AW37" s="4" t="e">
        <f t="shared" si="48"/>
        <v>#N/A</v>
      </c>
      <c r="AX37" s="4" t="e">
        <f t="shared" si="48"/>
        <v>#N/A</v>
      </c>
      <c r="AY37" s="4" t="e">
        <f t="shared" si="48"/>
        <v>#N/A</v>
      </c>
      <c r="AZ37" s="4" t="e">
        <f t="shared" si="48"/>
        <v>#N/A</v>
      </c>
      <c r="BA37" s="4" t="e">
        <f t="shared" si="38"/>
        <v>#N/A</v>
      </c>
      <c r="BB37" s="4" t="e">
        <f t="shared" si="39"/>
        <v>#N/A</v>
      </c>
      <c r="BC37" s="4" t="e">
        <f t="shared" si="17"/>
        <v>#N/A</v>
      </c>
      <c r="BD37" s="4" t="e">
        <f t="shared" si="18"/>
        <v>#N/A</v>
      </c>
      <c r="BE37" s="4">
        <f t="shared" si="49"/>
        <v>0</v>
      </c>
      <c r="BF37" s="4">
        <f t="shared" si="50"/>
        <v>0</v>
      </c>
      <c r="BG37" s="4" t="e">
        <f t="shared" si="51"/>
        <v>#N/A</v>
      </c>
      <c r="BH37" s="4" t="e">
        <f t="shared" si="52"/>
        <v>#N/A</v>
      </c>
      <c r="BI37" s="4" t="e">
        <f t="shared" si="53"/>
        <v>#DIV/0!</v>
      </c>
      <c r="BJ37" s="4" t="e">
        <f t="shared" si="54"/>
        <v>#DIV/0!</v>
      </c>
      <c r="BK37" s="4" t="e">
        <f t="shared" si="55"/>
        <v>#DIV/0!</v>
      </c>
      <c r="BL37" s="4" t="e">
        <f t="shared" si="56"/>
        <v>#DIV/0!</v>
      </c>
      <c r="BM37" s="4" t="e">
        <f t="shared" si="27"/>
        <v>#DIV/0!</v>
      </c>
    </row>
    <row r="38" spans="1:65" x14ac:dyDescent="0.25">
      <c r="A38" s="2"/>
      <c r="B38" s="5"/>
      <c r="C38" s="2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>
        <f t="shared" si="28"/>
        <v>0</v>
      </c>
      <c r="X38" s="9">
        <f t="shared" si="29"/>
        <v>0</v>
      </c>
      <c r="Y38" s="9" t="str">
        <f t="shared" si="30"/>
        <v>0</v>
      </c>
      <c r="Z38" s="6" t="str">
        <f t="shared" si="31"/>
        <v>0</v>
      </c>
      <c r="AA38" s="9" t="e">
        <f t="shared" si="32"/>
        <v>#DIV/0!</v>
      </c>
      <c r="AB38" s="6" t="e">
        <f t="shared" si="33"/>
        <v>#DIV/0!</v>
      </c>
      <c r="AC38" s="6" t="e">
        <f t="shared" si="34"/>
        <v>#DIV/0!</v>
      </c>
      <c r="AD38" s="9" t="e">
        <f t="shared" si="35"/>
        <v>#DIV/0!</v>
      </c>
      <c r="AE38" s="4" t="e">
        <f>100*(AA38/TOTAL_BASIC!$C$81)</f>
        <v>#DIV/0!</v>
      </c>
      <c r="AF38" s="4" t="e">
        <f>100*AC38/TOTAL_BASIC!$C$82</f>
        <v>#DIV/0!</v>
      </c>
      <c r="AG38" s="4" t="e">
        <f>100*N38/TOTAL_BASIC!$C$87</f>
        <v>#DIV/0!</v>
      </c>
      <c r="AH38" s="4" t="e">
        <f>100*AD38/TOTAL_BASIC!$C$86</f>
        <v>#DIV/0!</v>
      </c>
      <c r="AI38" s="3" t="e">
        <f t="shared" si="36"/>
        <v>#DIV/0!</v>
      </c>
      <c r="AL38" s="4" t="e">
        <f t="shared" si="40"/>
        <v>#N/A</v>
      </c>
      <c r="AM38" s="4" t="e">
        <f t="shared" si="41"/>
        <v>#N/A</v>
      </c>
      <c r="AN38" s="4" t="e">
        <f t="shared" si="42"/>
        <v>#N/A</v>
      </c>
      <c r="AO38" s="4" t="e">
        <f t="shared" si="43"/>
        <v>#N/A</v>
      </c>
      <c r="AP38" s="4" t="e">
        <f t="shared" si="44"/>
        <v>#N/A</v>
      </c>
      <c r="AQ38" s="4" t="e">
        <f t="shared" si="45"/>
        <v>#N/A</v>
      </c>
      <c r="AR38" s="4" t="e">
        <f t="shared" si="46"/>
        <v>#N/A</v>
      </c>
      <c r="AS38" s="4" t="e">
        <f t="shared" si="47"/>
        <v>#N/A</v>
      </c>
      <c r="AT38" s="4" t="e">
        <f t="shared" si="48"/>
        <v>#N/A</v>
      </c>
      <c r="AU38" s="4" t="e">
        <f t="shared" si="48"/>
        <v>#N/A</v>
      </c>
      <c r="AV38" s="4" t="e">
        <f t="shared" si="48"/>
        <v>#N/A</v>
      </c>
      <c r="AW38" s="4" t="e">
        <f t="shared" si="48"/>
        <v>#N/A</v>
      </c>
      <c r="AX38" s="4" t="e">
        <f t="shared" si="48"/>
        <v>#N/A</v>
      </c>
      <c r="AY38" s="4" t="e">
        <f t="shared" si="48"/>
        <v>#N/A</v>
      </c>
      <c r="AZ38" s="4" t="e">
        <f t="shared" si="48"/>
        <v>#N/A</v>
      </c>
      <c r="BA38" s="4" t="e">
        <f t="shared" si="38"/>
        <v>#N/A</v>
      </c>
      <c r="BB38" s="4" t="e">
        <f t="shared" si="39"/>
        <v>#N/A</v>
      </c>
      <c r="BC38" s="4" t="e">
        <f t="shared" si="17"/>
        <v>#N/A</v>
      </c>
      <c r="BD38" s="4" t="e">
        <f t="shared" si="18"/>
        <v>#N/A</v>
      </c>
      <c r="BE38" s="4">
        <f t="shared" si="49"/>
        <v>0</v>
      </c>
      <c r="BF38" s="4">
        <f t="shared" si="50"/>
        <v>0</v>
      </c>
      <c r="BG38" s="4" t="e">
        <f t="shared" si="51"/>
        <v>#N/A</v>
      </c>
      <c r="BH38" s="4" t="e">
        <f t="shared" si="52"/>
        <v>#N/A</v>
      </c>
      <c r="BI38" s="4" t="e">
        <f t="shared" si="53"/>
        <v>#DIV/0!</v>
      </c>
      <c r="BJ38" s="4" t="e">
        <f t="shared" si="54"/>
        <v>#DIV/0!</v>
      </c>
      <c r="BK38" s="4" t="e">
        <f t="shared" si="55"/>
        <v>#DIV/0!</v>
      </c>
      <c r="BL38" s="4" t="e">
        <f t="shared" si="56"/>
        <v>#DIV/0!</v>
      </c>
      <c r="BM38" s="4" t="e">
        <f t="shared" si="27"/>
        <v>#DIV/0!</v>
      </c>
    </row>
    <row r="39" spans="1:65" x14ac:dyDescent="0.25">
      <c r="A39" s="2"/>
      <c r="B39" s="5"/>
      <c r="C39" s="2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>
        <f t="shared" si="28"/>
        <v>0</v>
      </c>
      <c r="X39" s="9">
        <f t="shared" si="29"/>
        <v>0</v>
      </c>
      <c r="Y39" s="9" t="str">
        <f t="shared" si="30"/>
        <v>0</v>
      </c>
      <c r="Z39" s="6" t="str">
        <f t="shared" si="31"/>
        <v>0</v>
      </c>
      <c r="AA39" s="9" t="e">
        <f t="shared" si="32"/>
        <v>#DIV/0!</v>
      </c>
      <c r="AB39" s="6" t="e">
        <f t="shared" si="33"/>
        <v>#DIV/0!</v>
      </c>
      <c r="AC39" s="6" t="e">
        <f t="shared" si="34"/>
        <v>#DIV/0!</v>
      </c>
      <c r="AD39" s="9" t="e">
        <f t="shared" si="35"/>
        <v>#DIV/0!</v>
      </c>
      <c r="AE39" s="4" t="e">
        <f>100*(AA39/TOTAL_BASIC!$C$81)</f>
        <v>#DIV/0!</v>
      </c>
      <c r="AF39" s="4" t="e">
        <f>100*AC39/TOTAL_BASIC!$C$82</f>
        <v>#DIV/0!</v>
      </c>
      <c r="AG39" s="4" t="e">
        <f>100*N39/TOTAL_BASIC!$C$87</f>
        <v>#DIV/0!</v>
      </c>
      <c r="AH39" s="4" t="e">
        <f>100*AD39/TOTAL_BASIC!$C$86</f>
        <v>#DIV/0!</v>
      </c>
      <c r="AI39" s="3" t="e">
        <f t="shared" si="36"/>
        <v>#DIV/0!</v>
      </c>
      <c r="AL39" s="4" t="e">
        <f t="shared" si="40"/>
        <v>#N/A</v>
      </c>
      <c r="AM39" s="4" t="e">
        <f t="shared" si="41"/>
        <v>#N/A</v>
      </c>
      <c r="AN39" s="4" t="e">
        <f t="shared" si="42"/>
        <v>#N/A</v>
      </c>
      <c r="AO39" s="4" t="e">
        <f t="shared" si="43"/>
        <v>#N/A</v>
      </c>
      <c r="AP39" s="4" t="e">
        <f t="shared" si="44"/>
        <v>#N/A</v>
      </c>
      <c r="AQ39" s="4" t="e">
        <f t="shared" si="45"/>
        <v>#N/A</v>
      </c>
      <c r="AR39" s="4" t="e">
        <f t="shared" si="46"/>
        <v>#N/A</v>
      </c>
      <c r="AS39" s="4" t="e">
        <f t="shared" si="47"/>
        <v>#N/A</v>
      </c>
      <c r="AT39" s="4" t="e">
        <f t="shared" si="48"/>
        <v>#N/A</v>
      </c>
      <c r="AU39" s="4" t="e">
        <f t="shared" si="48"/>
        <v>#N/A</v>
      </c>
      <c r="AV39" s="4" t="e">
        <f t="shared" si="48"/>
        <v>#N/A</v>
      </c>
      <c r="AW39" s="4" t="e">
        <f t="shared" si="48"/>
        <v>#N/A</v>
      </c>
      <c r="AX39" s="4" t="e">
        <f t="shared" si="48"/>
        <v>#N/A</v>
      </c>
      <c r="AY39" s="4" t="e">
        <f t="shared" si="48"/>
        <v>#N/A</v>
      </c>
      <c r="AZ39" s="4" t="e">
        <f t="shared" si="48"/>
        <v>#N/A</v>
      </c>
      <c r="BA39" s="4" t="e">
        <f t="shared" si="38"/>
        <v>#N/A</v>
      </c>
      <c r="BB39" s="4" t="e">
        <f t="shared" si="39"/>
        <v>#N/A</v>
      </c>
      <c r="BC39" s="4" t="e">
        <f t="shared" si="17"/>
        <v>#N/A</v>
      </c>
      <c r="BD39" s="4" t="e">
        <f t="shared" si="18"/>
        <v>#N/A</v>
      </c>
      <c r="BE39" s="4">
        <f t="shared" si="49"/>
        <v>0</v>
      </c>
      <c r="BF39" s="4">
        <f t="shared" si="50"/>
        <v>0</v>
      </c>
      <c r="BG39" s="4" t="e">
        <f t="shared" si="51"/>
        <v>#N/A</v>
      </c>
      <c r="BH39" s="4" t="e">
        <f t="shared" si="52"/>
        <v>#N/A</v>
      </c>
      <c r="BI39" s="4" t="e">
        <f t="shared" si="53"/>
        <v>#DIV/0!</v>
      </c>
      <c r="BJ39" s="4" t="e">
        <f t="shared" si="54"/>
        <v>#DIV/0!</v>
      </c>
      <c r="BK39" s="4" t="e">
        <f t="shared" si="55"/>
        <v>#DIV/0!</v>
      </c>
      <c r="BL39" s="4" t="e">
        <f t="shared" si="56"/>
        <v>#DIV/0!</v>
      </c>
      <c r="BM39" s="4" t="e">
        <f t="shared" si="27"/>
        <v>#DIV/0!</v>
      </c>
    </row>
    <row r="40" spans="1:65" x14ac:dyDescent="0.25">
      <c r="A40" s="2"/>
      <c r="B40" s="5"/>
      <c r="C40" s="2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>
        <f t="shared" si="28"/>
        <v>0</v>
      </c>
      <c r="X40" s="9">
        <f t="shared" si="29"/>
        <v>0</v>
      </c>
      <c r="Y40" s="9" t="str">
        <f t="shared" si="30"/>
        <v>0</v>
      </c>
      <c r="Z40" s="6" t="str">
        <f t="shared" si="31"/>
        <v>0</v>
      </c>
      <c r="AA40" s="9" t="e">
        <f t="shared" si="32"/>
        <v>#DIV/0!</v>
      </c>
      <c r="AB40" s="6" t="e">
        <f t="shared" si="33"/>
        <v>#DIV/0!</v>
      </c>
      <c r="AC40" s="6" t="e">
        <f t="shared" si="34"/>
        <v>#DIV/0!</v>
      </c>
      <c r="AD40" s="9" t="e">
        <f t="shared" si="35"/>
        <v>#DIV/0!</v>
      </c>
      <c r="AE40" s="4" t="e">
        <f>100*(AA40/TOTAL_BASIC!$C$81)</f>
        <v>#DIV/0!</v>
      </c>
      <c r="AF40" s="4" t="e">
        <f>100*AC40/TOTAL_BASIC!$C$82</f>
        <v>#DIV/0!</v>
      </c>
      <c r="AG40" s="4" t="e">
        <f>100*N40/TOTAL_BASIC!$C$87</f>
        <v>#DIV/0!</v>
      </c>
      <c r="AH40" s="4" t="e">
        <f>100*AD40/TOTAL_BASIC!$C$86</f>
        <v>#DIV/0!</v>
      </c>
      <c r="AI40" s="3" t="e">
        <f t="shared" si="36"/>
        <v>#DIV/0!</v>
      </c>
      <c r="AL40" s="4" t="e">
        <f t="shared" si="40"/>
        <v>#N/A</v>
      </c>
      <c r="AM40" s="4" t="e">
        <f t="shared" si="41"/>
        <v>#N/A</v>
      </c>
      <c r="AN40" s="4" t="e">
        <f t="shared" si="42"/>
        <v>#N/A</v>
      </c>
      <c r="AO40" s="4" t="e">
        <f t="shared" si="43"/>
        <v>#N/A</v>
      </c>
      <c r="AP40" s="4" t="e">
        <f t="shared" si="44"/>
        <v>#N/A</v>
      </c>
      <c r="AQ40" s="4" t="e">
        <f t="shared" si="45"/>
        <v>#N/A</v>
      </c>
      <c r="AR40" s="4" t="e">
        <f t="shared" si="46"/>
        <v>#N/A</v>
      </c>
      <c r="AS40" s="4" t="e">
        <f t="shared" si="47"/>
        <v>#N/A</v>
      </c>
      <c r="AT40" s="4" t="e">
        <f t="shared" si="48"/>
        <v>#N/A</v>
      </c>
      <c r="AU40" s="4" t="e">
        <f t="shared" si="48"/>
        <v>#N/A</v>
      </c>
      <c r="AV40" s="4" t="e">
        <f t="shared" si="48"/>
        <v>#N/A</v>
      </c>
      <c r="AW40" s="4" t="e">
        <f t="shared" si="48"/>
        <v>#N/A</v>
      </c>
      <c r="AX40" s="4" t="e">
        <f t="shared" si="48"/>
        <v>#N/A</v>
      </c>
      <c r="AY40" s="4" t="e">
        <f t="shared" si="48"/>
        <v>#N/A</v>
      </c>
      <c r="AZ40" s="4" t="e">
        <f t="shared" si="48"/>
        <v>#N/A</v>
      </c>
      <c r="BA40" s="4" t="e">
        <f t="shared" si="38"/>
        <v>#N/A</v>
      </c>
      <c r="BB40" s="4" t="e">
        <f t="shared" si="39"/>
        <v>#N/A</v>
      </c>
      <c r="BC40" s="4" t="e">
        <f t="shared" si="17"/>
        <v>#N/A</v>
      </c>
      <c r="BD40" s="4" t="e">
        <f t="shared" si="18"/>
        <v>#N/A</v>
      </c>
      <c r="BE40" s="4">
        <f t="shared" si="49"/>
        <v>0</v>
      </c>
      <c r="BF40" s="4">
        <f t="shared" si="50"/>
        <v>0</v>
      </c>
      <c r="BG40" s="4" t="e">
        <f t="shared" si="51"/>
        <v>#N/A</v>
      </c>
      <c r="BH40" s="4" t="e">
        <f t="shared" si="52"/>
        <v>#N/A</v>
      </c>
      <c r="BI40" s="4" t="e">
        <f t="shared" si="53"/>
        <v>#DIV/0!</v>
      </c>
      <c r="BJ40" s="4" t="e">
        <f t="shared" si="54"/>
        <v>#DIV/0!</v>
      </c>
      <c r="BK40" s="4" t="e">
        <f t="shared" si="55"/>
        <v>#DIV/0!</v>
      </c>
      <c r="BL40" s="4" t="e">
        <f t="shared" si="56"/>
        <v>#DIV/0!</v>
      </c>
      <c r="BM40" s="4" t="e">
        <f t="shared" si="27"/>
        <v>#DIV/0!</v>
      </c>
    </row>
    <row r="41" spans="1:65" x14ac:dyDescent="0.25">
      <c r="A41" s="2"/>
      <c r="B41" s="5"/>
      <c r="C41" s="2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>
        <f t="shared" si="28"/>
        <v>0</v>
      </c>
      <c r="X41" s="9">
        <f t="shared" si="29"/>
        <v>0</v>
      </c>
      <c r="Y41" s="9" t="str">
        <f t="shared" si="30"/>
        <v>0</v>
      </c>
      <c r="Z41" s="6" t="str">
        <f t="shared" si="31"/>
        <v>0</v>
      </c>
      <c r="AA41" s="9" t="e">
        <f t="shared" si="32"/>
        <v>#DIV/0!</v>
      </c>
      <c r="AB41" s="6" t="e">
        <f t="shared" si="33"/>
        <v>#DIV/0!</v>
      </c>
      <c r="AC41" s="6" t="e">
        <f t="shared" si="34"/>
        <v>#DIV/0!</v>
      </c>
      <c r="AD41" s="9" t="e">
        <f t="shared" si="35"/>
        <v>#DIV/0!</v>
      </c>
      <c r="AE41" s="4" t="e">
        <f>100*(AA41/TOTAL_BASIC!$C$81)</f>
        <v>#DIV/0!</v>
      </c>
      <c r="AF41" s="4" t="e">
        <f>100*AC41/TOTAL_BASIC!$C$82</f>
        <v>#DIV/0!</v>
      </c>
      <c r="AG41" s="4" t="e">
        <f>100*N41/TOTAL_BASIC!$C$87</f>
        <v>#DIV/0!</v>
      </c>
      <c r="AH41" s="4" t="e">
        <f>100*AD41/TOTAL_BASIC!$C$86</f>
        <v>#DIV/0!</v>
      </c>
      <c r="AI41" s="3" t="e">
        <f t="shared" si="36"/>
        <v>#DIV/0!</v>
      </c>
      <c r="AL41" s="4" t="e">
        <f t="shared" si="40"/>
        <v>#N/A</v>
      </c>
      <c r="AM41" s="4" t="e">
        <f t="shared" si="41"/>
        <v>#N/A</v>
      </c>
      <c r="AN41" s="4" t="e">
        <f t="shared" si="42"/>
        <v>#N/A</v>
      </c>
      <c r="AO41" s="4" t="e">
        <f t="shared" si="43"/>
        <v>#N/A</v>
      </c>
      <c r="AP41" s="4" t="e">
        <f t="shared" si="44"/>
        <v>#N/A</v>
      </c>
      <c r="AQ41" s="4" t="e">
        <f t="shared" si="45"/>
        <v>#N/A</v>
      </c>
      <c r="AR41" s="4" t="e">
        <f t="shared" si="46"/>
        <v>#N/A</v>
      </c>
      <c r="AS41" s="4" t="e">
        <f t="shared" si="47"/>
        <v>#N/A</v>
      </c>
      <c r="AT41" s="4" t="e">
        <f t="shared" si="48"/>
        <v>#N/A</v>
      </c>
      <c r="AU41" s="4" t="e">
        <f t="shared" si="48"/>
        <v>#N/A</v>
      </c>
      <c r="AV41" s="4" t="e">
        <f t="shared" si="48"/>
        <v>#N/A</v>
      </c>
      <c r="AW41" s="4" t="e">
        <f t="shared" si="48"/>
        <v>#N/A</v>
      </c>
      <c r="AX41" s="4" t="e">
        <f t="shared" si="48"/>
        <v>#N/A</v>
      </c>
      <c r="AY41" s="4" t="e">
        <f t="shared" si="48"/>
        <v>#N/A</v>
      </c>
      <c r="AZ41" s="4" t="e">
        <f t="shared" si="48"/>
        <v>#N/A</v>
      </c>
      <c r="BA41" s="4" t="e">
        <f t="shared" si="38"/>
        <v>#N/A</v>
      </c>
      <c r="BB41" s="4" t="e">
        <f t="shared" si="39"/>
        <v>#N/A</v>
      </c>
      <c r="BC41" s="4" t="e">
        <f t="shared" si="17"/>
        <v>#N/A</v>
      </c>
      <c r="BD41" s="4" t="e">
        <f t="shared" si="18"/>
        <v>#N/A</v>
      </c>
      <c r="BE41" s="4">
        <f t="shared" si="49"/>
        <v>0</v>
      </c>
      <c r="BF41" s="4">
        <f t="shared" si="50"/>
        <v>0</v>
      </c>
      <c r="BG41" s="4" t="e">
        <f t="shared" si="51"/>
        <v>#N/A</v>
      </c>
      <c r="BH41" s="4" t="e">
        <f t="shared" si="52"/>
        <v>#N/A</v>
      </c>
      <c r="BI41" s="4" t="e">
        <f t="shared" si="53"/>
        <v>#DIV/0!</v>
      </c>
      <c r="BJ41" s="4" t="e">
        <f t="shared" si="54"/>
        <v>#DIV/0!</v>
      </c>
      <c r="BK41" s="4" t="e">
        <f t="shared" si="55"/>
        <v>#DIV/0!</v>
      </c>
      <c r="BL41" s="4" t="e">
        <f t="shared" si="56"/>
        <v>#DIV/0!</v>
      </c>
      <c r="BM41" s="4" t="e">
        <f t="shared" si="27"/>
        <v>#DIV/0!</v>
      </c>
    </row>
    <row r="42" spans="1:65" x14ac:dyDescent="0.25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f t="shared" si="28"/>
        <v>0</v>
      </c>
      <c r="X42" s="9">
        <f t="shared" si="29"/>
        <v>0</v>
      </c>
      <c r="Y42" s="9" t="str">
        <f t="shared" si="30"/>
        <v>0</v>
      </c>
      <c r="Z42" s="6" t="str">
        <f t="shared" si="31"/>
        <v>0</v>
      </c>
      <c r="AA42" s="9" t="e">
        <f t="shared" si="32"/>
        <v>#DIV/0!</v>
      </c>
      <c r="AB42" s="6" t="e">
        <f t="shared" si="33"/>
        <v>#DIV/0!</v>
      </c>
      <c r="AC42" s="6" t="e">
        <f t="shared" si="34"/>
        <v>#DIV/0!</v>
      </c>
      <c r="AD42" s="9" t="e">
        <f t="shared" si="35"/>
        <v>#DIV/0!</v>
      </c>
      <c r="AE42" s="4" t="e">
        <f>100*(AA42/TOTAL_BASIC!$C$81)</f>
        <v>#DIV/0!</v>
      </c>
      <c r="AF42" s="4" t="e">
        <f>100*AC42/TOTAL_BASIC!$C$82</f>
        <v>#DIV/0!</v>
      </c>
      <c r="AG42" s="4" t="e">
        <f>100*N42/TOTAL_BASIC!$C$87</f>
        <v>#DIV/0!</v>
      </c>
      <c r="AH42" s="4" t="e">
        <f>100*AD42/TOTAL_BASIC!$C$86</f>
        <v>#DIV/0!</v>
      </c>
      <c r="AI42" s="3" t="e">
        <f t="shared" si="36"/>
        <v>#DIV/0!</v>
      </c>
      <c r="AL42" s="4" t="e">
        <f t="shared" ref="AL42:AR49" si="57">(PERCENTRANK(D$3:D$78,D42))*100</f>
        <v>#N/A</v>
      </c>
      <c r="AM42" s="4" t="e">
        <f t="shared" si="57"/>
        <v>#N/A</v>
      </c>
      <c r="AN42" s="4" t="e">
        <f t="shared" si="57"/>
        <v>#N/A</v>
      </c>
      <c r="AO42" s="4" t="e">
        <f t="shared" si="57"/>
        <v>#N/A</v>
      </c>
      <c r="AP42" s="4" t="e">
        <f t="shared" si="57"/>
        <v>#N/A</v>
      </c>
      <c r="AQ42" s="4" t="e">
        <f t="shared" si="57"/>
        <v>#N/A</v>
      </c>
      <c r="AR42" s="4" t="e">
        <f t="shared" si="57"/>
        <v>#N/A</v>
      </c>
      <c r="AS42" s="4" t="e">
        <f t="shared" ref="AS42:AS49" si="58">(PERCENTRANK(K$3:K$78,K42))*100</f>
        <v>#N/A</v>
      </c>
      <c r="AT42" s="4" t="e">
        <f t="shared" si="48"/>
        <v>#N/A</v>
      </c>
      <c r="AU42" s="4" t="e">
        <f t="shared" si="48"/>
        <v>#N/A</v>
      </c>
      <c r="AV42" s="4" t="e">
        <f t="shared" si="48"/>
        <v>#N/A</v>
      </c>
      <c r="AW42" s="4" t="e">
        <f t="shared" si="48"/>
        <v>#N/A</v>
      </c>
      <c r="AX42" s="4" t="e">
        <f t="shared" si="48"/>
        <v>#N/A</v>
      </c>
      <c r="AY42" s="4" t="e">
        <f t="shared" si="48"/>
        <v>#N/A</v>
      </c>
      <c r="AZ42" s="4" t="e">
        <f t="shared" si="48"/>
        <v>#N/A</v>
      </c>
      <c r="BA42" s="4" t="e">
        <f t="shared" si="38"/>
        <v>#N/A</v>
      </c>
      <c r="BB42" s="4" t="e">
        <f t="shared" si="39"/>
        <v>#N/A</v>
      </c>
      <c r="BC42" s="4" t="e">
        <f t="shared" si="17"/>
        <v>#N/A</v>
      </c>
      <c r="BD42" s="4" t="e">
        <f t="shared" si="18"/>
        <v>#N/A</v>
      </c>
      <c r="BE42" s="4">
        <f t="shared" si="49"/>
        <v>0</v>
      </c>
      <c r="BF42" s="4">
        <f t="shared" si="50"/>
        <v>0</v>
      </c>
      <c r="BG42" s="4" t="e">
        <f t="shared" si="51"/>
        <v>#N/A</v>
      </c>
      <c r="BH42" s="4" t="e">
        <f t="shared" si="52"/>
        <v>#N/A</v>
      </c>
      <c r="BI42" s="4" t="e">
        <f t="shared" si="53"/>
        <v>#DIV/0!</v>
      </c>
      <c r="BJ42" s="4" t="e">
        <f t="shared" si="54"/>
        <v>#DIV/0!</v>
      </c>
      <c r="BK42" s="4" t="e">
        <f t="shared" si="55"/>
        <v>#DIV/0!</v>
      </c>
      <c r="BL42" s="4" t="e">
        <f t="shared" si="56"/>
        <v>#DIV/0!</v>
      </c>
      <c r="BM42" s="4" t="e">
        <f t="shared" si="27"/>
        <v>#DIV/0!</v>
      </c>
    </row>
    <row r="43" spans="1:65" x14ac:dyDescent="0.25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>
        <f t="shared" si="28"/>
        <v>0</v>
      </c>
      <c r="X43" s="9">
        <f t="shared" si="29"/>
        <v>0</v>
      </c>
      <c r="Y43" s="9" t="str">
        <f t="shared" si="30"/>
        <v>0</v>
      </c>
      <c r="Z43" s="6" t="str">
        <f t="shared" si="31"/>
        <v>0</v>
      </c>
      <c r="AA43" s="9" t="e">
        <f t="shared" si="32"/>
        <v>#DIV/0!</v>
      </c>
      <c r="AB43" s="6" t="e">
        <f t="shared" si="33"/>
        <v>#DIV/0!</v>
      </c>
      <c r="AC43" s="6" t="e">
        <f t="shared" si="34"/>
        <v>#DIV/0!</v>
      </c>
      <c r="AD43" s="9" t="e">
        <f t="shared" si="35"/>
        <v>#DIV/0!</v>
      </c>
      <c r="AE43" s="4" t="e">
        <f>100*(AA43/TOTAL_BASIC!$C$81)</f>
        <v>#DIV/0!</v>
      </c>
      <c r="AF43" s="4" t="e">
        <f>100*AC43/TOTAL_BASIC!$C$82</f>
        <v>#DIV/0!</v>
      </c>
      <c r="AG43" s="4" t="e">
        <f>100*N43/TOTAL_BASIC!$C$87</f>
        <v>#DIV/0!</v>
      </c>
      <c r="AH43" s="4" t="e">
        <f>100*AD43/TOTAL_BASIC!$C$86</f>
        <v>#DIV/0!</v>
      </c>
      <c r="AI43" s="3" t="e">
        <f t="shared" si="36"/>
        <v>#DIV/0!</v>
      </c>
      <c r="AL43" s="4" t="e">
        <f t="shared" si="57"/>
        <v>#N/A</v>
      </c>
      <c r="AM43" s="4" t="e">
        <f t="shared" si="57"/>
        <v>#N/A</v>
      </c>
      <c r="AN43" s="4" t="e">
        <f t="shared" si="57"/>
        <v>#N/A</v>
      </c>
      <c r="AO43" s="4" t="e">
        <f t="shared" si="57"/>
        <v>#N/A</v>
      </c>
      <c r="AP43" s="4" t="e">
        <f t="shared" si="57"/>
        <v>#N/A</v>
      </c>
      <c r="AQ43" s="4" t="e">
        <f t="shared" si="57"/>
        <v>#N/A</v>
      </c>
      <c r="AR43" s="4" t="e">
        <f t="shared" si="57"/>
        <v>#N/A</v>
      </c>
      <c r="AS43" s="4" t="e">
        <f t="shared" si="58"/>
        <v>#N/A</v>
      </c>
      <c r="AT43" s="4" t="e">
        <f t="shared" si="48"/>
        <v>#N/A</v>
      </c>
      <c r="AU43" s="4" t="e">
        <f t="shared" si="48"/>
        <v>#N/A</v>
      </c>
      <c r="AV43" s="4" t="e">
        <f t="shared" si="48"/>
        <v>#N/A</v>
      </c>
      <c r="AW43" s="4" t="e">
        <f t="shared" si="48"/>
        <v>#N/A</v>
      </c>
      <c r="AX43" s="4" t="e">
        <f t="shared" si="48"/>
        <v>#N/A</v>
      </c>
      <c r="AY43" s="4" t="e">
        <f t="shared" si="48"/>
        <v>#N/A</v>
      </c>
      <c r="AZ43" s="4" t="e">
        <f t="shared" si="48"/>
        <v>#N/A</v>
      </c>
      <c r="BA43" s="4" t="e">
        <f t="shared" si="38"/>
        <v>#N/A</v>
      </c>
      <c r="BB43" s="4" t="e">
        <f t="shared" si="39"/>
        <v>#N/A</v>
      </c>
      <c r="BC43" s="4" t="e">
        <f t="shared" si="17"/>
        <v>#N/A</v>
      </c>
      <c r="BD43" s="4" t="e">
        <f t="shared" si="18"/>
        <v>#N/A</v>
      </c>
      <c r="BE43" s="4">
        <f t="shared" si="49"/>
        <v>0</v>
      </c>
      <c r="BF43" s="4">
        <f t="shared" si="50"/>
        <v>0</v>
      </c>
      <c r="BG43" s="4" t="e">
        <f t="shared" si="51"/>
        <v>#N/A</v>
      </c>
      <c r="BH43" s="4" t="e">
        <f t="shared" si="52"/>
        <v>#N/A</v>
      </c>
      <c r="BI43" s="4" t="e">
        <f t="shared" si="53"/>
        <v>#DIV/0!</v>
      </c>
      <c r="BJ43" s="4" t="e">
        <f t="shared" si="54"/>
        <v>#DIV/0!</v>
      </c>
      <c r="BK43" s="4" t="e">
        <f t="shared" si="55"/>
        <v>#DIV/0!</v>
      </c>
      <c r="BL43" s="4" t="e">
        <f t="shared" si="56"/>
        <v>#DIV/0!</v>
      </c>
      <c r="BM43" s="4" t="e">
        <f t="shared" si="27"/>
        <v>#DIV/0!</v>
      </c>
    </row>
    <row r="44" spans="1:65" x14ac:dyDescent="0.25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>
        <f t="shared" si="28"/>
        <v>0</v>
      </c>
      <c r="X44" s="9">
        <f t="shared" si="29"/>
        <v>0</v>
      </c>
      <c r="Y44" s="9" t="str">
        <f t="shared" si="30"/>
        <v>0</v>
      </c>
      <c r="Z44" s="6" t="str">
        <f t="shared" si="31"/>
        <v>0</v>
      </c>
      <c r="AA44" s="9" t="e">
        <f t="shared" si="32"/>
        <v>#DIV/0!</v>
      </c>
      <c r="AB44" s="6" t="e">
        <f t="shared" si="33"/>
        <v>#DIV/0!</v>
      </c>
      <c r="AC44" s="6" t="e">
        <f t="shared" si="34"/>
        <v>#DIV/0!</v>
      </c>
      <c r="AD44" s="9" t="e">
        <f t="shared" si="35"/>
        <v>#DIV/0!</v>
      </c>
      <c r="AE44" s="4" t="e">
        <f>100*(AA44/TOTAL_BASIC!$C$81)</f>
        <v>#DIV/0!</v>
      </c>
      <c r="AF44" s="4" t="e">
        <f>100*AC44/TOTAL_BASIC!$C$82</f>
        <v>#DIV/0!</v>
      </c>
      <c r="AG44" s="4" t="e">
        <f>100*N44/TOTAL_BASIC!$C$87</f>
        <v>#DIV/0!</v>
      </c>
      <c r="AH44" s="4" t="e">
        <f>100*AD44/TOTAL_BASIC!$C$86</f>
        <v>#DIV/0!</v>
      </c>
      <c r="AI44" s="3" t="e">
        <f t="shared" si="36"/>
        <v>#DIV/0!</v>
      </c>
      <c r="AL44" s="4" t="e">
        <f t="shared" si="57"/>
        <v>#N/A</v>
      </c>
      <c r="AM44" s="4" t="e">
        <f t="shared" si="57"/>
        <v>#N/A</v>
      </c>
      <c r="AN44" s="4" t="e">
        <f t="shared" si="57"/>
        <v>#N/A</v>
      </c>
      <c r="AO44" s="4" t="e">
        <f t="shared" si="57"/>
        <v>#N/A</v>
      </c>
      <c r="AP44" s="4" t="e">
        <f t="shared" si="57"/>
        <v>#N/A</v>
      </c>
      <c r="AQ44" s="4" t="e">
        <f t="shared" si="57"/>
        <v>#N/A</v>
      </c>
      <c r="AR44" s="4" t="e">
        <f t="shared" si="57"/>
        <v>#N/A</v>
      </c>
      <c r="AS44" s="4" t="e">
        <f t="shared" si="58"/>
        <v>#N/A</v>
      </c>
      <c r="AT44" s="4" t="e">
        <f t="shared" si="48"/>
        <v>#N/A</v>
      </c>
      <c r="AU44" s="4" t="e">
        <f t="shared" si="48"/>
        <v>#N/A</v>
      </c>
      <c r="AV44" s="4" t="e">
        <f t="shared" si="48"/>
        <v>#N/A</v>
      </c>
      <c r="AW44" s="4" t="e">
        <f t="shared" si="48"/>
        <v>#N/A</v>
      </c>
      <c r="AX44" s="4" t="e">
        <f t="shared" si="48"/>
        <v>#N/A</v>
      </c>
      <c r="AY44" s="4" t="e">
        <f t="shared" si="48"/>
        <v>#N/A</v>
      </c>
      <c r="AZ44" s="4" t="e">
        <f t="shared" si="48"/>
        <v>#N/A</v>
      </c>
      <c r="BA44" s="4" t="e">
        <f t="shared" si="38"/>
        <v>#N/A</v>
      </c>
      <c r="BB44" s="4" t="e">
        <f t="shared" si="39"/>
        <v>#N/A</v>
      </c>
      <c r="BC44" s="4" t="e">
        <f t="shared" si="17"/>
        <v>#N/A</v>
      </c>
      <c r="BD44" s="4" t="e">
        <f t="shared" si="18"/>
        <v>#N/A</v>
      </c>
      <c r="BE44" s="4">
        <f t="shared" si="49"/>
        <v>0</v>
      </c>
      <c r="BF44" s="4">
        <f t="shared" si="50"/>
        <v>0</v>
      </c>
      <c r="BG44" s="4" t="e">
        <f t="shared" si="51"/>
        <v>#N/A</v>
      </c>
      <c r="BH44" s="4" t="e">
        <f t="shared" si="52"/>
        <v>#N/A</v>
      </c>
      <c r="BI44" s="4" t="e">
        <f t="shared" si="53"/>
        <v>#DIV/0!</v>
      </c>
      <c r="BJ44" s="4" t="e">
        <f t="shared" si="54"/>
        <v>#DIV/0!</v>
      </c>
      <c r="BK44" s="4" t="e">
        <f t="shared" si="55"/>
        <v>#DIV/0!</v>
      </c>
      <c r="BL44" s="4" t="e">
        <f t="shared" si="56"/>
        <v>#DIV/0!</v>
      </c>
      <c r="BM44" s="4" t="e">
        <f t="shared" si="27"/>
        <v>#DIV/0!</v>
      </c>
    </row>
    <row r="45" spans="1:65" x14ac:dyDescent="0.25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>
        <f t="shared" si="28"/>
        <v>0</v>
      </c>
      <c r="X45" s="9">
        <f t="shared" si="29"/>
        <v>0</v>
      </c>
      <c r="Y45" s="9" t="str">
        <f t="shared" si="30"/>
        <v>0</v>
      </c>
      <c r="Z45" s="6" t="str">
        <f t="shared" si="31"/>
        <v>0</v>
      </c>
      <c r="AA45" s="9" t="e">
        <f t="shared" si="32"/>
        <v>#DIV/0!</v>
      </c>
      <c r="AB45" s="6" t="e">
        <f t="shared" si="33"/>
        <v>#DIV/0!</v>
      </c>
      <c r="AC45" s="6" t="e">
        <f t="shared" si="34"/>
        <v>#DIV/0!</v>
      </c>
      <c r="AD45" s="9" t="e">
        <f t="shared" si="35"/>
        <v>#DIV/0!</v>
      </c>
      <c r="AE45" s="4" t="e">
        <f>100*(AA45/TOTAL_BASIC!$C$81)</f>
        <v>#DIV/0!</v>
      </c>
      <c r="AF45" s="4" t="e">
        <f>100*AC45/TOTAL_BASIC!$C$82</f>
        <v>#DIV/0!</v>
      </c>
      <c r="AG45" s="4" t="e">
        <f>100*N45/TOTAL_BASIC!$C$87</f>
        <v>#DIV/0!</v>
      </c>
      <c r="AH45" s="4" t="e">
        <f>100*AD45/TOTAL_BASIC!$C$86</f>
        <v>#DIV/0!</v>
      </c>
      <c r="AI45" s="3" t="e">
        <f t="shared" si="36"/>
        <v>#DIV/0!</v>
      </c>
      <c r="AL45" s="4" t="e">
        <f t="shared" si="57"/>
        <v>#N/A</v>
      </c>
      <c r="AM45" s="4" t="e">
        <f t="shared" si="57"/>
        <v>#N/A</v>
      </c>
      <c r="AN45" s="4" t="e">
        <f t="shared" si="57"/>
        <v>#N/A</v>
      </c>
      <c r="AO45" s="4" t="e">
        <f t="shared" si="57"/>
        <v>#N/A</v>
      </c>
      <c r="AP45" s="4" t="e">
        <f t="shared" si="57"/>
        <v>#N/A</v>
      </c>
      <c r="AQ45" s="4" t="e">
        <f t="shared" si="57"/>
        <v>#N/A</v>
      </c>
      <c r="AR45" s="4" t="e">
        <f t="shared" si="57"/>
        <v>#N/A</v>
      </c>
      <c r="AS45" s="4" t="e">
        <f t="shared" si="58"/>
        <v>#N/A</v>
      </c>
      <c r="AT45" s="4" t="e">
        <f t="shared" si="48"/>
        <v>#N/A</v>
      </c>
      <c r="AU45" s="4" t="e">
        <f t="shared" si="48"/>
        <v>#N/A</v>
      </c>
      <c r="AV45" s="4" t="e">
        <f t="shared" si="48"/>
        <v>#N/A</v>
      </c>
      <c r="AW45" s="4" t="e">
        <f t="shared" si="48"/>
        <v>#N/A</v>
      </c>
      <c r="AX45" s="4" t="e">
        <f t="shared" si="48"/>
        <v>#N/A</v>
      </c>
      <c r="AY45" s="4" t="e">
        <f t="shared" si="48"/>
        <v>#N/A</v>
      </c>
      <c r="AZ45" s="4" t="e">
        <f t="shared" si="48"/>
        <v>#N/A</v>
      </c>
      <c r="BA45" s="4" t="e">
        <f t="shared" si="38"/>
        <v>#N/A</v>
      </c>
      <c r="BB45" s="4" t="e">
        <f t="shared" si="39"/>
        <v>#N/A</v>
      </c>
      <c r="BC45" s="4" t="e">
        <f t="shared" si="17"/>
        <v>#N/A</v>
      </c>
      <c r="BD45" s="4" t="e">
        <f t="shared" si="18"/>
        <v>#N/A</v>
      </c>
      <c r="BE45" s="4">
        <f t="shared" si="49"/>
        <v>0</v>
      </c>
      <c r="BF45" s="4">
        <f t="shared" si="50"/>
        <v>0</v>
      </c>
      <c r="BG45" s="4" t="e">
        <f t="shared" si="51"/>
        <v>#N/A</v>
      </c>
      <c r="BH45" s="4" t="e">
        <f t="shared" si="52"/>
        <v>#N/A</v>
      </c>
      <c r="BI45" s="4" t="e">
        <f t="shared" si="53"/>
        <v>#DIV/0!</v>
      </c>
      <c r="BJ45" s="4" t="e">
        <f t="shared" si="54"/>
        <v>#DIV/0!</v>
      </c>
      <c r="BK45" s="4" t="e">
        <f t="shared" si="55"/>
        <v>#DIV/0!</v>
      </c>
      <c r="BL45" s="4" t="e">
        <f t="shared" si="56"/>
        <v>#DIV/0!</v>
      </c>
      <c r="BM45" s="4" t="e">
        <f t="shared" si="27"/>
        <v>#DIV/0!</v>
      </c>
    </row>
    <row r="46" spans="1:65" x14ac:dyDescent="0.25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>
        <f t="shared" si="28"/>
        <v>0</v>
      </c>
      <c r="X46" s="9">
        <f t="shared" si="29"/>
        <v>0</v>
      </c>
      <c r="Y46" s="9" t="str">
        <f t="shared" si="30"/>
        <v>0</v>
      </c>
      <c r="Z46" s="6" t="str">
        <f t="shared" si="31"/>
        <v>0</v>
      </c>
      <c r="AA46" s="9" t="e">
        <f t="shared" si="32"/>
        <v>#DIV/0!</v>
      </c>
      <c r="AB46" s="6" t="e">
        <f t="shared" si="33"/>
        <v>#DIV/0!</v>
      </c>
      <c r="AC46" s="6" t="e">
        <f t="shared" si="34"/>
        <v>#DIV/0!</v>
      </c>
      <c r="AD46" s="9" t="e">
        <f t="shared" si="35"/>
        <v>#DIV/0!</v>
      </c>
      <c r="AE46" s="4" t="e">
        <f>100*(AA46/TOTAL_BASIC!$C$81)</f>
        <v>#DIV/0!</v>
      </c>
      <c r="AF46" s="4" t="e">
        <f>100*AC46/TOTAL_BASIC!$C$82</f>
        <v>#DIV/0!</v>
      </c>
      <c r="AG46" s="4" t="e">
        <f>100*N46/TOTAL_BASIC!$C$87</f>
        <v>#DIV/0!</v>
      </c>
      <c r="AH46" s="4" t="e">
        <f>100*AD46/TOTAL_BASIC!$C$86</f>
        <v>#DIV/0!</v>
      </c>
      <c r="AI46" s="3" t="e">
        <f t="shared" si="36"/>
        <v>#DIV/0!</v>
      </c>
      <c r="AL46" s="4" t="e">
        <f t="shared" si="57"/>
        <v>#N/A</v>
      </c>
      <c r="AM46" s="4" t="e">
        <f t="shared" si="57"/>
        <v>#N/A</v>
      </c>
      <c r="AN46" s="4" t="e">
        <f t="shared" si="57"/>
        <v>#N/A</v>
      </c>
      <c r="AO46" s="4" t="e">
        <f t="shared" si="57"/>
        <v>#N/A</v>
      </c>
      <c r="AP46" s="4" t="e">
        <f t="shared" si="57"/>
        <v>#N/A</v>
      </c>
      <c r="AQ46" s="4" t="e">
        <f t="shared" si="57"/>
        <v>#N/A</v>
      </c>
      <c r="AR46" s="4" t="e">
        <f t="shared" si="57"/>
        <v>#N/A</v>
      </c>
      <c r="AS46" s="4" t="e">
        <f t="shared" si="58"/>
        <v>#N/A</v>
      </c>
      <c r="AT46" s="4" t="e">
        <f t="shared" si="48"/>
        <v>#N/A</v>
      </c>
      <c r="AU46" s="4" t="e">
        <f t="shared" si="48"/>
        <v>#N/A</v>
      </c>
      <c r="AV46" s="4" t="e">
        <f t="shared" si="48"/>
        <v>#N/A</v>
      </c>
      <c r="AW46" s="4" t="e">
        <f t="shared" si="48"/>
        <v>#N/A</v>
      </c>
      <c r="AX46" s="4" t="e">
        <f t="shared" si="48"/>
        <v>#N/A</v>
      </c>
      <c r="AY46" s="4" t="e">
        <f t="shared" si="48"/>
        <v>#N/A</v>
      </c>
      <c r="AZ46" s="4" t="e">
        <f t="shared" si="48"/>
        <v>#N/A</v>
      </c>
      <c r="BA46" s="4" t="e">
        <f t="shared" si="38"/>
        <v>#N/A</v>
      </c>
      <c r="BB46" s="4" t="e">
        <f t="shared" si="39"/>
        <v>#N/A</v>
      </c>
      <c r="BC46" s="4" t="e">
        <f t="shared" si="17"/>
        <v>#N/A</v>
      </c>
      <c r="BD46" s="4" t="e">
        <f t="shared" si="18"/>
        <v>#N/A</v>
      </c>
      <c r="BE46" s="4">
        <f t="shared" si="49"/>
        <v>0</v>
      </c>
      <c r="BF46" s="4">
        <f t="shared" si="50"/>
        <v>0</v>
      </c>
      <c r="BG46" s="4" t="e">
        <f t="shared" si="51"/>
        <v>#N/A</v>
      </c>
      <c r="BH46" s="4" t="e">
        <f t="shared" si="52"/>
        <v>#N/A</v>
      </c>
      <c r="BI46" s="4" t="e">
        <f t="shared" si="53"/>
        <v>#DIV/0!</v>
      </c>
      <c r="BJ46" s="4" t="e">
        <f t="shared" si="54"/>
        <v>#DIV/0!</v>
      </c>
      <c r="BK46" s="4" t="e">
        <f t="shared" si="55"/>
        <v>#DIV/0!</v>
      </c>
      <c r="BL46" s="4" t="e">
        <f t="shared" si="56"/>
        <v>#DIV/0!</v>
      </c>
      <c r="BM46" s="4" t="e">
        <f t="shared" si="27"/>
        <v>#DIV/0!</v>
      </c>
    </row>
    <row r="47" spans="1:65" x14ac:dyDescent="0.25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>
        <f t="shared" si="28"/>
        <v>0</v>
      </c>
      <c r="X47" s="9">
        <f t="shared" si="29"/>
        <v>0</v>
      </c>
      <c r="Y47" s="9" t="str">
        <f t="shared" si="30"/>
        <v>0</v>
      </c>
      <c r="Z47" s="6" t="str">
        <f t="shared" si="31"/>
        <v>0</v>
      </c>
      <c r="AA47" s="9" t="e">
        <f t="shared" si="32"/>
        <v>#DIV/0!</v>
      </c>
      <c r="AB47" s="6" t="e">
        <f t="shared" si="33"/>
        <v>#DIV/0!</v>
      </c>
      <c r="AC47" s="6" t="e">
        <f t="shared" si="34"/>
        <v>#DIV/0!</v>
      </c>
      <c r="AD47" s="9" t="e">
        <f t="shared" si="35"/>
        <v>#DIV/0!</v>
      </c>
      <c r="AE47" s="4" t="e">
        <f>100*(AA47/TOTAL_BASIC!$C$81)</f>
        <v>#DIV/0!</v>
      </c>
      <c r="AF47" s="4" t="e">
        <f>100*AC47/TOTAL_BASIC!$C$82</f>
        <v>#DIV/0!</v>
      </c>
      <c r="AG47" s="4" t="e">
        <f>100*N47/TOTAL_BASIC!$C$87</f>
        <v>#DIV/0!</v>
      </c>
      <c r="AH47" s="4" t="e">
        <f>100*AD47/TOTAL_BASIC!$C$86</f>
        <v>#DIV/0!</v>
      </c>
      <c r="AI47" s="3" t="e">
        <f t="shared" si="36"/>
        <v>#DIV/0!</v>
      </c>
      <c r="AL47" s="4" t="e">
        <f t="shared" si="57"/>
        <v>#N/A</v>
      </c>
      <c r="AM47" s="4" t="e">
        <f t="shared" si="57"/>
        <v>#N/A</v>
      </c>
      <c r="AN47" s="4" t="e">
        <f t="shared" si="57"/>
        <v>#N/A</v>
      </c>
      <c r="AO47" s="4" t="e">
        <f t="shared" si="57"/>
        <v>#N/A</v>
      </c>
      <c r="AP47" s="4" t="e">
        <f t="shared" si="57"/>
        <v>#N/A</v>
      </c>
      <c r="AQ47" s="4" t="e">
        <f t="shared" si="57"/>
        <v>#N/A</v>
      </c>
      <c r="AR47" s="4" t="e">
        <f t="shared" si="57"/>
        <v>#N/A</v>
      </c>
      <c r="AS47" s="4" t="e">
        <f t="shared" si="58"/>
        <v>#N/A</v>
      </c>
      <c r="AT47" s="4" t="e">
        <f t="shared" si="48"/>
        <v>#N/A</v>
      </c>
      <c r="AU47" s="4" t="e">
        <f t="shared" si="48"/>
        <v>#N/A</v>
      </c>
      <c r="AV47" s="4" t="e">
        <f t="shared" si="48"/>
        <v>#N/A</v>
      </c>
      <c r="AW47" s="4" t="e">
        <f t="shared" si="48"/>
        <v>#N/A</v>
      </c>
      <c r="AX47" s="4" t="e">
        <f t="shared" si="48"/>
        <v>#N/A</v>
      </c>
      <c r="AY47" s="4" t="e">
        <f t="shared" si="48"/>
        <v>#N/A</v>
      </c>
      <c r="AZ47" s="4" t="e">
        <f t="shared" si="48"/>
        <v>#N/A</v>
      </c>
      <c r="BA47" s="4" t="e">
        <f t="shared" si="38"/>
        <v>#N/A</v>
      </c>
      <c r="BB47" s="4" t="e">
        <f t="shared" si="39"/>
        <v>#N/A</v>
      </c>
      <c r="BC47" s="4" t="e">
        <f t="shared" si="17"/>
        <v>#N/A</v>
      </c>
      <c r="BD47" s="4" t="e">
        <f t="shared" si="18"/>
        <v>#N/A</v>
      </c>
      <c r="BE47" s="4">
        <f t="shared" si="49"/>
        <v>0</v>
      </c>
      <c r="BF47" s="4">
        <f t="shared" si="50"/>
        <v>0</v>
      </c>
      <c r="BG47" s="4" t="e">
        <f t="shared" si="51"/>
        <v>#N/A</v>
      </c>
      <c r="BH47" s="4" t="e">
        <f t="shared" si="52"/>
        <v>#N/A</v>
      </c>
      <c r="BI47" s="4" t="e">
        <f t="shared" si="53"/>
        <v>#DIV/0!</v>
      </c>
      <c r="BJ47" s="4" t="e">
        <f t="shared" si="54"/>
        <v>#DIV/0!</v>
      </c>
      <c r="BK47" s="4" t="e">
        <f t="shared" si="55"/>
        <v>#DIV/0!</v>
      </c>
      <c r="BL47" s="4" t="e">
        <f t="shared" si="56"/>
        <v>#DIV/0!</v>
      </c>
      <c r="BM47" s="4" t="e">
        <f t="shared" si="27"/>
        <v>#DIV/0!</v>
      </c>
    </row>
    <row r="48" spans="1:65" x14ac:dyDescent="0.25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>
        <f t="shared" si="28"/>
        <v>0</v>
      </c>
      <c r="X48" s="9">
        <f t="shared" si="29"/>
        <v>0</v>
      </c>
      <c r="Y48" s="9" t="str">
        <f t="shared" si="30"/>
        <v>0</v>
      </c>
      <c r="Z48" s="6" t="str">
        <f t="shared" si="31"/>
        <v>0</v>
      </c>
      <c r="AA48" s="9" t="e">
        <f t="shared" si="32"/>
        <v>#DIV/0!</v>
      </c>
      <c r="AB48" s="6" t="e">
        <f t="shared" si="33"/>
        <v>#DIV/0!</v>
      </c>
      <c r="AC48" s="6" t="e">
        <f t="shared" si="34"/>
        <v>#DIV/0!</v>
      </c>
      <c r="AD48" s="9" t="e">
        <f t="shared" si="35"/>
        <v>#DIV/0!</v>
      </c>
      <c r="AE48" s="4" t="e">
        <f>100*(AA48/TOTAL_BASIC!$C$81)</f>
        <v>#DIV/0!</v>
      </c>
      <c r="AF48" s="4" t="e">
        <f>100*AC48/TOTAL_BASIC!$C$82</f>
        <v>#DIV/0!</v>
      </c>
      <c r="AG48" s="4" t="e">
        <f>100*N48/TOTAL_BASIC!$C$87</f>
        <v>#DIV/0!</v>
      </c>
      <c r="AH48" s="4" t="e">
        <f>100*AD48/TOTAL_BASIC!$C$86</f>
        <v>#DIV/0!</v>
      </c>
      <c r="AI48" s="3" t="e">
        <f t="shared" si="36"/>
        <v>#DIV/0!</v>
      </c>
      <c r="AL48" s="4" t="e">
        <f t="shared" si="57"/>
        <v>#N/A</v>
      </c>
      <c r="AM48" s="4" t="e">
        <f t="shared" si="57"/>
        <v>#N/A</v>
      </c>
      <c r="AN48" s="4" t="e">
        <f t="shared" si="57"/>
        <v>#N/A</v>
      </c>
      <c r="AO48" s="4" t="e">
        <f t="shared" si="57"/>
        <v>#N/A</v>
      </c>
      <c r="AP48" s="4" t="e">
        <f t="shared" si="57"/>
        <v>#N/A</v>
      </c>
      <c r="AQ48" s="4" t="e">
        <f t="shared" si="57"/>
        <v>#N/A</v>
      </c>
      <c r="AR48" s="4" t="e">
        <f t="shared" si="57"/>
        <v>#N/A</v>
      </c>
      <c r="AS48" s="4" t="e">
        <f t="shared" si="58"/>
        <v>#N/A</v>
      </c>
      <c r="AT48" s="4" t="e">
        <f t="shared" si="48"/>
        <v>#N/A</v>
      </c>
      <c r="AU48" s="4" t="e">
        <f t="shared" si="48"/>
        <v>#N/A</v>
      </c>
      <c r="AV48" s="4" t="e">
        <f t="shared" si="48"/>
        <v>#N/A</v>
      </c>
      <c r="AW48" s="4" t="e">
        <f t="shared" si="48"/>
        <v>#N/A</v>
      </c>
      <c r="AX48" s="4" t="e">
        <f t="shared" si="48"/>
        <v>#N/A</v>
      </c>
      <c r="AY48" s="4" t="e">
        <f t="shared" si="48"/>
        <v>#N/A</v>
      </c>
      <c r="AZ48" s="4" t="e">
        <f t="shared" si="48"/>
        <v>#N/A</v>
      </c>
      <c r="BA48" s="4" t="e">
        <f t="shared" si="38"/>
        <v>#N/A</v>
      </c>
      <c r="BB48" s="4" t="e">
        <f t="shared" si="39"/>
        <v>#N/A</v>
      </c>
      <c r="BC48" s="4" t="e">
        <f t="shared" si="17"/>
        <v>#N/A</v>
      </c>
      <c r="BD48" s="4" t="e">
        <f t="shared" si="18"/>
        <v>#N/A</v>
      </c>
      <c r="BE48" s="4">
        <f t="shared" si="49"/>
        <v>0</v>
      </c>
      <c r="BF48" s="4">
        <f t="shared" si="50"/>
        <v>0</v>
      </c>
      <c r="BG48" s="4" t="e">
        <f t="shared" si="51"/>
        <v>#N/A</v>
      </c>
      <c r="BH48" s="4" t="e">
        <f t="shared" si="52"/>
        <v>#N/A</v>
      </c>
      <c r="BI48" s="4" t="e">
        <f t="shared" si="53"/>
        <v>#DIV/0!</v>
      </c>
      <c r="BJ48" s="4" t="e">
        <f t="shared" si="54"/>
        <v>#DIV/0!</v>
      </c>
      <c r="BK48" s="4" t="e">
        <f t="shared" si="55"/>
        <v>#DIV/0!</v>
      </c>
      <c r="BL48" s="4" t="e">
        <f t="shared" si="56"/>
        <v>#DIV/0!</v>
      </c>
      <c r="BM48" s="4" t="e">
        <f t="shared" si="27"/>
        <v>#DIV/0!</v>
      </c>
    </row>
    <row r="49" spans="1:65" x14ac:dyDescent="0.25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>
        <f t="shared" si="28"/>
        <v>0</v>
      </c>
      <c r="X49" s="9">
        <f t="shared" si="29"/>
        <v>0</v>
      </c>
      <c r="Y49" s="9" t="str">
        <f t="shared" si="30"/>
        <v>0</v>
      </c>
      <c r="Z49" s="6" t="str">
        <f t="shared" si="31"/>
        <v>0</v>
      </c>
      <c r="AA49" s="9" t="e">
        <f t="shared" si="32"/>
        <v>#DIV/0!</v>
      </c>
      <c r="AB49" s="6" t="e">
        <f t="shared" si="33"/>
        <v>#DIV/0!</v>
      </c>
      <c r="AC49" s="6" t="e">
        <f t="shared" si="34"/>
        <v>#DIV/0!</v>
      </c>
      <c r="AD49" s="9" t="e">
        <f t="shared" si="35"/>
        <v>#DIV/0!</v>
      </c>
      <c r="AE49" s="4" t="e">
        <f>100*(AA49/TOTAL_BASIC!$C$81)</f>
        <v>#DIV/0!</v>
      </c>
      <c r="AF49" s="4" t="e">
        <f>100*AC49/TOTAL_BASIC!$C$82</f>
        <v>#DIV/0!</v>
      </c>
      <c r="AG49" s="4" t="e">
        <f>100*N49/TOTAL_BASIC!$C$87</f>
        <v>#DIV/0!</v>
      </c>
      <c r="AH49" s="4" t="e">
        <f>100*AD49/TOTAL_BASIC!$C$86</f>
        <v>#DIV/0!</v>
      </c>
      <c r="AI49" s="3" t="e">
        <f t="shared" si="36"/>
        <v>#DIV/0!</v>
      </c>
      <c r="AL49" s="4" t="e">
        <f t="shared" si="57"/>
        <v>#N/A</v>
      </c>
      <c r="AM49" s="4" t="e">
        <f t="shared" si="57"/>
        <v>#N/A</v>
      </c>
      <c r="AN49" s="4" t="e">
        <f t="shared" si="57"/>
        <v>#N/A</v>
      </c>
      <c r="AO49" s="4" t="e">
        <f t="shared" si="57"/>
        <v>#N/A</v>
      </c>
      <c r="AP49" s="4" t="e">
        <f t="shared" si="57"/>
        <v>#N/A</v>
      </c>
      <c r="AQ49" s="4" t="e">
        <f t="shared" si="57"/>
        <v>#N/A</v>
      </c>
      <c r="AR49" s="4" t="e">
        <f t="shared" si="57"/>
        <v>#N/A</v>
      </c>
      <c r="AS49" s="4" t="e">
        <f t="shared" si="58"/>
        <v>#N/A</v>
      </c>
      <c r="AT49" s="4" t="e">
        <f t="shared" si="48"/>
        <v>#N/A</v>
      </c>
      <c r="AU49" s="4" t="e">
        <f t="shared" si="48"/>
        <v>#N/A</v>
      </c>
      <c r="AV49" s="4" t="e">
        <f t="shared" si="48"/>
        <v>#N/A</v>
      </c>
      <c r="AW49" s="4" t="e">
        <f t="shared" si="48"/>
        <v>#N/A</v>
      </c>
      <c r="AX49" s="4" t="e">
        <f t="shared" si="48"/>
        <v>#N/A</v>
      </c>
      <c r="AY49" s="4" t="e">
        <f t="shared" si="48"/>
        <v>#N/A</v>
      </c>
      <c r="AZ49" s="4" t="e">
        <f t="shared" si="48"/>
        <v>#N/A</v>
      </c>
      <c r="BA49" s="4" t="e">
        <f t="shared" si="38"/>
        <v>#N/A</v>
      </c>
      <c r="BB49" s="4" t="e">
        <f t="shared" si="39"/>
        <v>#N/A</v>
      </c>
      <c r="BC49" s="4" t="e">
        <f t="shared" si="17"/>
        <v>#N/A</v>
      </c>
      <c r="BD49" s="4" t="e">
        <f t="shared" si="18"/>
        <v>#N/A</v>
      </c>
      <c r="BE49" s="4">
        <f t="shared" si="49"/>
        <v>0</v>
      </c>
      <c r="BF49" s="4">
        <f t="shared" si="50"/>
        <v>0</v>
      </c>
      <c r="BG49" s="4" t="e">
        <f t="shared" si="51"/>
        <v>#N/A</v>
      </c>
      <c r="BH49" s="4" t="e">
        <f t="shared" si="52"/>
        <v>#N/A</v>
      </c>
      <c r="BI49" s="4" t="e">
        <f t="shared" si="53"/>
        <v>#DIV/0!</v>
      </c>
      <c r="BJ49" s="4" t="e">
        <f t="shared" si="54"/>
        <v>#DIV/0!</v>
      </c>
      <c r="BK49" s="4" t="e">
        <f t="shared" si="55"/>
        <v>#DIV/0!</v>
      </c>
      <c r="BL49" s="4" t="e">
        <f t="shared" si="56"/>
        <v>#DIV/0!</v>
      </c>
      <c r="BM49" s="4" t="e">
        <f t="shared" si="27"/>
        <v>#DIV/0!</v>
      </c>
    </row>
    <row r="80" spans="3:35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M2" xr:uid="{00000000-0009-0000-0000-000002000000}"/>
  <mergeCells count="2">
    <mergeCell ref="A1:AI1"/>
    <mergeCell ref="AL1:BM1"/>
  </mergeCells>
  <conditionalFormatting sqref="C3:C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3:AL7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L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M3:BM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C3:BC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5" t="s">
        <v>29</v>
      </c>
      <c r="B1" s="15"/>
      <c r="C1" s="15"/>
      <c r="D1" s="15"/>
      <c r="G1" s="17" t="s">
        <v>30</v>
      </c>
      <c r="H1" s="17"/>
      <c r="I1" s="17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B3" s="9"/>
      <c r="C3" s="9"/>
      <c r="D3" s="6"/>
      <c r="G3" s="4" t="e">
        <f>(PERCENTRANK(B$3:B$49,B3))*100</f>
        <v>#N/A</v>
      </c>
      <c r="H3" s="4" t="e">
        <f t="shared" ref="H3:I18" si="0">(PERCENTRANK(C$3:C$49,C3))*100</f>
        <v>#N/A</v>
      </c>
      <c r="I3" s="4" t="e">
        <f t="shared" si="0"/>
        <v>#N/A</v>
      </c>
    </row>
    <row r="4" spans="1:9" x14ac:dyDescent="0.25">
      <c r="B4" s="9"/>
      <c r="C4" s="9"/>
      <c r="D4" s="6"/>
      <c r="G4" s="4" t="e">
        <f t="shared" ref="G4:I49" si="1">(PERCENTRANK(B$3:B$49,B4))*100</f>
        <v>#N/A</v>
      </c>
      <c r="H4" s="4" t="e">
        <f t="shared" si="0"/>
        <v>#N/A</v>
      </c>
      <c r="I4" s="4" t="e">
        <f t="shared" si="0"/>
        <v>#N/A</v>
      </c>
    </row>
    <row r="5" spans="1:9" x14ac:dyDescent="0.25">
      <c r="B5" s="9"/>
      <c r="C5" s="9"/>
      <c r="D5" s="6"/>
      <c r="G5" s="4" t="e">
        <f t="shared" si="1"/>
        <v>#N/A</v>
      </c>
      <c r="H5" s="4" t="e">
        <f t="shared" si="0"/>
        <v>#N/A</v>
      </c>
      <c r="I5" s="4" t="e">
        <f t="shared" si="0"/>
        <v>#N/A</v>
      </c>
    </row>
    <row r="6" spans="1:9" x14ac:dyDescent="0.25">
      <c r="B6" s="9"/>
      <c r="C6" s="9"/>
      <c r="D6" s="6"/>
      <c r="G6" s="4" t="e">
        <f t="shared" si="1"/>
        <v>#N/A</v>
      </c>
      <c r="H6" s="4" t="e">
        <f t="shared" si="0"/>
        <v>#N/A</v>
      </c>
      <c r="I6" s="4" t="e">
        <f t="shared" si="0"/>
        <v>#N/A</v>
      </c>
    </row>
    <row r="7" spans="1:9" x14ac:dyDescent="0.25">
      <c r="B7" s="9"/>
      <c r="C7" s="9"/>
      <c r="D7" s="6"/>
      <c r="G7" s="4" t="e">
        <f t="shared" si="1"/>
        <v>#N/A</v>
      </c>
      <c r="H7" s="4" t="e">
        <f t="shared" si="0"/>
        <v>#N/A</v>
      </c>
      <c r="I7" s="4" t="e">
        <f t="shared" si="0"/>
        <v>#N/A</v>
      </c>
    </row>
    <row r="8" spans="1:9" x14ac:dyDescent="0.25">
      <c r="B8" s="9"/>
      <c r="C8" s="9"/>
      <c r="D8" s="6"/>
      <c r="G8" s="4" t="e">
        <f t="shared" si="1"/>
        <v>#N/A</v>
      </c>
      <c r="H8" s="4" t="e">
        <f t="shared" si="0"/>
        <v>#N/A</v>
      </c>
      <c r="I8" s="4" t="e">
        <f t="shared" si="0"/>
        <v>#N/A</v>
      </c>
    </row>
    <row r="9" spans="1:9" x14ac:dyDescent="0.25">
      <c r="B9" s="9"/>
      <c r="C9" s="9"/>
      <c r="D9" s="6"/>
      <c r="G9" s="4" t="e">
        <f t="shared" si="1"/>
        <v>#N/A</v>
      </c>
      <c r="H9" s="4" t="e">
        <f t="shared" si="0"/>
        <v>#N/A</v>
      </c>
      <c r="I9" s="4" t="e">
        <f t="shared" si="0"/>
        <v>#N/A</v>
      </c>
    </row>
    <row r="10" spans="1:9" x14ac:dyDescent="0.25">
      <c r="B10" s="9"/>
      <c r="C10" s="9"/>
      <c r="D10" s="6"/>
      <c r="G10" s="4" t="e">
        <f t="shared" si="1"/>
        <v>#N/A</v>
      </c>
      <c r="H10" s="4" t="e">
        <f t="shared" si="0"/>
        <v>#N/A</v>
      </c>
      <c r="I10" s="4" t="e">
        <f t="shared" si="0"/>
        <v>#N/A</v>
      </c>
    </row>
    <row r="11" spans="1:9" x14ac:dyDescent="0.25">
      <c r="B11" s="9"/>
      <c r="C11" s="9"/>
      <c r="D11" s="6"/>
      <c r="G11" s="4" t="e">
        <f t="shared" si="1"/>
        <v>#N/A</v>
      </c>
      <c r="H11" s="4" t="e">
        <f t="shared" si="0"/>
        <v>#N/A</v>
      </c>
      <c r="I11" s="4" t="e">
        <f t="shared" si="0"/>
        <v>#N/A</v>
      </c>
    </row>
    <row r="12" spans="1:9" x14ac:dyDescent="0.25">
      <c r="B12" s="9"/>
      <c r="C12" s="9"/>
      <c r="D12" s="6"/>
      <c r="G12" s="4" t="e">
        <f t="shared" si="1"/>
        <v>#N/A</v>
      </c>
      <c r="H12" s="4" t="e">
        <f t="shared" si="0"/>
        <v>#N/A</v>
      </c>
      <c r="I12" s="4" t="e">
        <f t="shared" si="0"/>
        <v>#N/A</v>
      </c>
    </row>
    <row r="13" spans="1:9" x14ac:dyDescent="0.25">
      <c r="B13" s="9"/>
      <c r="C13" s="9"/>
      <c r="D13" s="6"/>
      <c r="G13" s="4" t="e">
        <f t="shared" si="1"/>
        <v>#N/A</v>
      </c>
      <c r="H13" s="4" t="e">
        <f t="shared" si="0"/>
        <v>#N/A</v>
      </c>
      <c r="I13" s="4" t="e">
        <f t="shared" si="0"/>
        <v>#N/A</v>
      </c>
    </row>
    <row r="14" spans="1:9" x14ac:dyDescent="0.25">
      <c r="B14" s="9"/>
      <c r="C14" s="9"/>
      <c r="D14" s="6"/>
      <c r="G14" s="4" t="e">
        <f t="shared" si="1"/>
        <v>#N/A</v>
      </c>
      <c r="H14" s="4" t="e">
        <f t="shared" si="0"/>
        <v>#N/A</v>
      </c>
      <c r="I14" s="4" t="e">
        <f t="shared" si="0"/>
        <v>#N/A</v>
      </c>
    </row>
    <row r="15" spans="1:9" x14ac:dyDescent="0.25">
      <c r="B15" s="9"/>
      <c r="C15" s="9"/>
      <c r="D15" s="6"/>
      <c r="G15" s="4" t="e">
        <f t="shared" si="1"/>
        <v>#N/A</v>
      </c>
      <c r="H15" s="4" t="e">
        <f t="shared" si="0"/>
        <v>#N/A</v>
      </c>
      <c r="I15" s="4" t="e">
        <f t="shared" si="0"/>
        <v>#N/A</v>
      </c>
    </row>
    <row r="16" spans="1:9" x14ac:dyDescent="0.25">
      <c r="B16" s="9"/>
      <c r="C16" s="9"/>
      <c r="D16" s="6"/>
      <c r="G16" s="4" t="e">
        <f t="shared" si="1"/>
        <v>#N/A</v>
      </c>
      <c r="H16" s="4" t="e">
        <f t="shared" si="0"/>
        <v>#N/A</v>
      </c>
      <c r="I16" s="4" t="e">
        <f t="shared" si="0"/>
        <v>#N/A</v>
      </c>
    </row>
    <row r="17" spans="1:9" x14ac:dyDescent="0.25">
      <c r="B17" s="9"/>
      <c r="C17" s="9"/>
      <c r="D17" s="6"/>
      <c r="G17" s="4" t="e">
        <f t="shared" si="1"/>
        <v>#N/A</v>
      </c>
      <c r="H17" s="4" t="e">
        <f t="shared" si="0"/>
        <v>#N/A</v>
      </c>
      <c r="I17" s="4" t="e">
        <f t="shared" si="0"/>
        <v>#N/A</v>
      </c>
    </row>
    <row r="18" spans="1:9" x14ac:dyDescent="0.25">
      <c r="B18" s="9"/>
      <c r="C18" s="9"/>
      <c r="D18" s="6"/>
      <c r="G18" s="4" t="e">
        <f t="shared" si="1"/>
        <v>#N/A</v>
      </c>
      <c r="H18" s="4" t="e">
        <f t="shared" si="0"/>
        <v>#N/A</v>
      </c>
      <c r="I18" s="4" t="e">
        <f t="shared" si="0"/>
        <v>#N/A</v>
      </c>
    </row>
    <row r="19" spans="1:9" x14ac:dyDescent="0.25">
      <c r="B19" s="9"/>
      <c r="C19" s="9"/>
      <c r="D19" s="6"/>
      <c r="G19" s="4" t="e">
        <f t="shared" si="1"/>
        <v>#N/A</v>
      </c>
      <c r="H19" s="4" t="e">
        <f t="shared" si="1"/>
        <v>#N/A</v>
      </c>
      <c r="I19" s="4" t="e">
        <f t="shared" si="1"/>
        <v>#N/A</v>
      </c>
    </row>
    <row r="20" spans="1:9" x14ac:dyDescent="0.25">
      <c r="B20" s="9"/>
      <c r="C20" s="9"/>
      <c r="D20" s="6"/>
      <c r="G20" s="4" t="e">
        <f t="shared" si="1"/>
        <v>#N/A</v>
      </c>
      <c r="H20" s="4" t="e">
        <f t="shared" si="1"/>
        <v>#N/A</v>
      </c>
      <c r="I20" s="4" t="e">
        <f t="shared" si="1"/>
        <v>#N/A</v>
      </c>
    </row>
    <row r="21" spans="1:9" x14ac:dyDescent="0.25">
      <c r="A21" s="5"/>
      <c r="B21" s="9"/>
      <c r="C21" s="9"/>
      <c r="D21" s="6"/>
      <c r="G21" s="4" t="e">
        <f t="shared" si="1"/>
        <v>#N/A</v>
      </c>
      <c r="H21" s="4" t="e">
        <f t="shared" si="1"/>
        <v>#N/A</v>
      </c>
      <c r="I21" s="4" t="e">
        <f t="shared" si="1"/>
        <v>#N/A</v>
      </c>
    </row>
    <row r="22" spans="1:9" x14ac:dyDescent="0.25">
      <c r="A22" s="5"/>
      <c r="B22" s="9"/>
      <c r="C22" s="9"/>
      <c r="D22" s="6"/>
      <c r="G22" s="4" t="e">
        <f t="shared" si="1"/>
        <v>#N/A</v>
      </c>
      <c r="H22" s="4" t="e">
        <f t="shared" si="1"/>
        <v>#N/A</v>
      </c>
      <c r="I22" s="4" t="e">
        <f t="shared" si="1"/>
        <v>#N/A</v>
      </c>
    </row>
    <row r="23" spans="1:9" x14ac:dyDescent="0.25">
      <c r="A23" s="5"/>
      <c r="B23" s="9"/>
      <c r="C23" s="9"/>
      <c r="D23" s="6"/>
      <c r="G23" s="4" t="e">
        <f t="shared" si="1"/>
        <v>#N/A</v>
      </c>
      <c r="H23" s="4" t="e">
        <f t="shared" si="1"/>
        <v>#N/A</v>
      </c>
      <c r="I23" s="4" t="e">
        <f t="shared" si="1"/>
        <v>#N/A</v>
      </c>
    </row>
    <row r="24" spans="1:9" x14ac:dyDescent="0.25">
      <c r="A24" s="5"/>
      <c r="B24" s="9"/>
      <c r="C24" s="9"/>
      <c r="D24" s="6"/>
      <c r="G24" s="4" t="e">
        <f t="shared" si="1"/>
        <v>#N/A</v>
      </c>
      <c r="H24" s="4" t="e">
        <f t="shared" si="1"/>
        <v>#N/A</v>
      </c>
      <c r="I24" s="4" t="e">
        <f t="shared" si="1"/>
        <v>#N/A</v>
      </c>
    </row>
    <row r="25" spans="1:9" x14ac:dyDescent="0.25">
      <c r="A25" s="5"/>
      <c r="B25" s="9"/>
      <c r="C25" s="9"/>
      <c r="D25" s="6"/>
      <c r="G25" s="4" t="e">
        <f t="shared" si="1"/>
        <v>#N/A</v>
      </c>
      <c r="H25" s="4" t="e">
        <f t="shared" si="1"/>
        <v>#N/A</v>
      </c>
      <c r="I25" s="4" t="e">
        <f t="shared" si="1"/>
        <v>#N/A</v>
      </c>
    </row>
    <row r="26" spans="1:9" x14ac:dyDescent="0.25">
      <c r="A26" s="5"/>
      <c r="B26" s="9"/>
      <c r="C26" s="9"/>
      <c r="D26" s="6"/>
      <c r="G26" s="4" t="e">
        <f t="shared" si="1"/>
        <v>#N/A</v>
      </c>
      <c r="H26" s="4" t="e">
        <f t="shared" si="1"/>
        <v>#N/A</v>
      </c>
      <c r="I26" s="4" t="e">
        <f t="shared" si="1"/>
        <v>#N/A</v>
      </c>
    </row>
    <row r="27" spans="1:9" x14ac:dyDescent="0.25">
      <c r="B27" s="9"/>
      <c r="C27" s="9"/>
      <c r="D27" s="6"/>
      <c r="G27" s="4" t="e">
        <f t="shared" si="1"/>
        <v>#N/A</v>
      </c>
      <c r="H27" s="4" t="e">
        <f t="shared" si="1"/>
        <v>#N/A</v>
      </c>
      <c r="I27" s="4" t="e">
        <f t="shared" si="1"/>
        <v>#N/A</v>
      </c>
    </row>
    <row r="28" spans="1:9" x14ac:dyDescent="0.25">
      <c r="B28" s="9"/>
      <c r="C28" s="9"/>
      <c r="D28" s="6"/>
      <c r="G28" s="4" t="e">
        <f t="shared" si="1"/>
        <v>#N/A</v>
      </c>
      <c r="H28" s="4" t="e">
        <f t="shared" si="1"/>
        <v>#N/A</v>
      </c>
      <c r="I28" s="4" t="e">
        <f t="shared" si="1"/>
        <v>#N/A</v>
      </c>
    </row>
    <row r="29" spans="1:9" x14ac:dyDescent="0.25">
      <c r="B29" s="9"/>
      <c r="C29" s="9"/>
      <c r="D29" s="6"/>
      <c r="G29" s="4" t="e">
        <f t="shared" si="1"/>
        <v>#N/A</v>
      </c>
      <c r="H29" s="4" t="e">
        <f t="shared" si="1"/>
        <v>#N/A</v>
      </c>
      <c r="I29" s="4" t="e">
        <f t="shared" si="1"/>
        <v>#N/A</v>
      </c>
    </row>
    <row r="30" spans="1:9" x14ac:dyDescent="0.25">
      <c r="B30" s="9"/>
      <c r="C30" s="9"/>
      <c r="D30" s="6"/>
      <c r="G30" s="4" t="e">
        <f t="shared" si="1"/>
        <v>#N/A</v>
      </c>
      <c r="H30" s="4" t="e">
        <f t="shared" si="1"/>
        <v>#N/A</v>
      </c>
      <c r="I30" s="4" t="e">
        <f t="shared" si="1"/>
        <v>#N/A</v>
      </c>
    </row>
    <row r="31" spans="1:9" x14ac:dyDescent="0.25">
      <c r="B31" s="9"/>
      <c r="C31" s="9"/>
      <c r="D31" s="6"/>
      <c r="G31" s="4" t="e">
        <f t="shared" si="1"/>
        <v>#N/A</v>
      </c>
      <c r="H31" s="4" t="e">
        <f t="shared" si="1"/>
        <v>#N/A</v>
      </c>
      <c r="I31" s="4" t="e">
        <f t="shared" si="1"/>
        <v>#N/A</v>
      </c>
    </row>
    <row r="32" spans="1:9" x14ac:dyDescent="0.25">
      <c r="B32" s="9"/>
      <c r="C32" s="9"/>
      <c r="D32" s="6"/>
      <c r="G32" s="4" t="e">
        <f t="shared" si="1"/>
        <v>#N/A</v>
      </c>
      <c r="H32" s="4" t="e">
        <f t="shared" si="1"/>
        <v>#N/A</v>
      </c>
      <c r="I32" s="4" t="e">
        <f t="shared" si="1"/>
        <v>#N/A</v>
      </c>
    </row>
    <row r="33" spans="2:9" x14ac:dyDescent="0.25">
      <c r="B33" s="9"/>
      <c r="C33" s="9"/>
      <c r="D33" s="6"/>
      <c r="G33" s="4" t="e">
        <f t="shared" si="1"/>
        <v>#N/A</v>
      </c>
      <c r="H33" s="4" t="e">
        <f t="shared" si="1"/>
        <v>#N/A</v>
      </c>
      <c r="I33" s="4" t="e">
        <f t="shared" si="1"/>
        <v>#N/A</v>
      </c>
    </row>
    <row r="34" spans="2:9" x14ac:dyDescent="0.25">
      <c r="B34" s="9"/>
      <c r="C34" s="9"/>
      <c r="D34" s="6"/>
      <c r="G34" s="4" t="e">
        <f t="shared" si="1"/>
        <v>#N/A</v>
      </c>
      <c r="H34" s="4" t="e">
        <f t="shared" si="1"/>
        <v>#N/A</v>
      </c>
      <c r="I34" s="4" t="e">
        <f t="shared" si="1"/>
        <v>#N/A</v>
      </c>
    </row>
    <row r="35" spans="2:9" x14ac:dyDescent="0.25">
      <c r="B35" s="9"/>
      <c r="C35" s="9"/>
      <c r="D35" s="6"/>
      <c r="G35" s="4" t="e">
        <f t="shared" si="1"/>
        <v>#N/A</v>
      </c>
      <c r="H35" s="4" t="e">
        <f t="shared" si="1"/>
        <v>#N/A</v>
      </c>
      <c r="I35" s="4" t="e">
        <f t="shared" si="1"/>
        <v>#N/A</v>
      </c>
    </row>
    <row r="36" spans="2:9" x14ac:dyDescent="0.25">
      <c r="B36" s="9"/>
      <c r="C36" s="9"/>
      <c r="D36" s="6"/>
      <c r="G36" s="4" t="e">
        <f t="shared" si="1"/>
        <v>#N/A</v>
      </c>
      <c r="H36" s="4" t="e">
        <f t="shared" si="1"/>
        <v>#N/A</v>
      </c>
      <c r="I36" s="4" t="e">
        <f t="shared" si="1"/>
        <v>#N/A</v>
      </c>
    </row>
    <row r="37" spans="2:9" x14ac:dyDescent="0.25">
      <c r="B37" s="9"/>
      <c r="C37" s="9"/>
      <c r="D37" s="6"/>
      <c r="G37" s="4" t="e">
        <f t="shared" si="1"/>
        <v>#N/A</v>
      </c>
      <c r="H37" s="4" t="e">
        <f t="shared" si="1"/>
        <v>#N/A</v>
      </c>
      <c r="I37" s="4" t="e">
        <f t="shared" si="1"/>
        <v>#N/A</v>
      </c>
    </row>
    <row r="38" spans="2:9" x14ac:dyDescent="0.25">
      <c r="B38" s="9"/>
      <c r="C38" s="9"/>
      <c r="D38" s="6"/>
      <c r="G38" s="4" t="e">
        <f t="shared" si="1"/>
        <v>#N/A</v>
      </c>
      <c r="H38" s="4" t="e">
        <f t="shared" si="1"/>
        <v>#N/A</v>
      </c>
      <c r="I38" s="4" t="e">
        <f t="shared" si="1"/>
        <v>#N/A</v>
      </c>
    </row>
    <row r="39" spans="2:9" x14ac:dyDescent="0.25">
      <c r="B39" s="9"/>
      <c r="C39" s="9"/>
      <c r="D39" s="6"/>
      <c r="G39" s="4" t="e">
        <f t="shared" si="1"/>
        <v>#N/A</v>
      </c>
      <c r="H39" s="4" t="e">
        <f t="shared" si="1"/>
        <v>#N/A</v>
      </c>
      <c r="I39" s="4" t="e">
        <f t="shared" si="1"/>
        <v>#N/A</v>
      </c>
    </row>
    <row r="40" spans="2:9" x14ac:dyDescent="0.25">
      <c r="B40" s="9"/>
      <c r="C40" s="9"/>
      <c r="D40" s="6"/>
      <c r="G40" s="4" t="e">
        <f t="shared" si="1"/>
        <v>#N/A</v>
      </c>
      <c r="H40" s="4" t="e">
        <f t="shared" si="1"/>
        <v>#N/A</v>
      </c>
      <c r="I40" s="4" t="e">
        <f t="shared" si="1"/>
        <v>#N/A</v>
      </c>
    </row>
    <row r="41" spans="2:9" x14ac:dyDescent="0.25">
      <c r="B41" s="9"/>
      <c r="C41" s="9"/>
      <c r="D41" s="6"/>
      <c r="G41" s="4" t="e">
        <f t="shared" si="1"/>
        <v>#N/A</v>
      </c>
      <c r="H41" s="4" t="e">
        <f t="shared" si="1"/>
        <v>#N/A</v>
      </c>
      <c r="I41" s="4" t="e">
        <f t="shared" si="1"/>
        <v>#N/A</v>
      </c>
    </row>
    <row r="42" spans="2:9" x14ac:dyDescent="0.25">
      <c r="B42" s="9"/>
      <c r="C42" s="9"/>
      <c r="D42" s="6"/>
      <c r="G42" s="4" t="e">
        <f t="shared" si="1"/>
        <v>#N/A</v>
      </c>
      <c r="H42" s="4" t="e">
        <f t="shared" si="1"/>
        <v>#N/A</v>
      </c>
      <c r="I42" s="4" t="e">
        <f t="shared" si="1"/>
        <v>#N/A</v>
      </c>
    </row>
    <row r="43" spans="2:9" x14ac:dyDescent="0.25">
      <c r="B43" s="9"/>
      <c r="C43" s="9"/>
      <c r="D43" s="6"/>
      <c r="G43" s="4" t="e">
        <f t="shared" si="1"/>
        <v>#N/A</v>
      </c>
      <c r="H43" s="4" t="e">
        <f t="shared" si="1"/>
        <v>#N/A</v>
      </c>
      <c r="I43" s="4" t="e">
        <f t="shared" si="1"/>
        <v>#N/A</v>
      </c>
    </row>
    <row r="44" spans="2:9" x14ac:dyDescent="0.25">
      <c r="B44" s="9"/>
      <c r="C44" s="9"/>
      <c r="D44" s="6"/>
      <c r="G44" s="4" t="e">
        <f t="shared" si="1"/>
        <v>#N/A</v>
      </c>
      <c r="H44" s="4" t="e">
        <f t="shared" si="1"/>
        <v>#N/A</v>
      </c>
      <c r="I44" s="4" t="e">
        <f t="shared" si="1"/>
        <v>#N/A</v>
      </c>
    </row>
    <row r="45" spans="2:9" x14ac:dyDescent="0.25">
      <c r="B45" s="9"/>
      <c r="C45" s="9"/>
      <c r="D45" s="6"/>
      <c r="G45" s="4" t="e">
        <f t="shared" si="1"/>
        <v>#N/A</v>
      </c>
      <c r="H45" s="4" t="e">
        <f t="shared" si="1"/>
        <v>#N/A</v>
      </c>
      <c r="I45" s="4" t="e">
        <f t="shared" si="1"/>
        <v>#N/A</v>
      </c>
    </row>
    <row r="46" spans="2:9" x14ac:dyDescent="0.25">
      <c r="B46" s="9"/>
      <c r="C46" s="9"/>
      <c r="D46" s="6"/>
      <c r="G46" s="4" t="e">
        <f t="shared" si="1"/>
        <v>#N/A</v>
      </c>
      <c r="H46" s="4" t="e">
        <f t="shared" si="1"/>
        <v>#N/A</v>
      </c>
      <c r="I46" s="4" t="e">
        <f t="shared" si="1"/>
        <v>#N/A</v>
      </c>
    </row>
    <row r="47" spans="2:9" x14ac:dyDescent="0.25">
      <c r="B47" s="9"/>
      <c r="C47" s="9"/>
      <c r="D47" s="6"/>
      <c r="G47" s="4" t="e">
        <f t="shared" si="1"/>
        <v>#N/A</v>
      </c>
      <c r="H47" s="4" t="e">
        <f t="shared" si="1"/>
        <v>#N/A</v>
      </c>
      <c r="I47" s="4" t="e">
        <f t="shared" si="1"/>
        <v>#N/A</v>
      </c>
    </row>
    <row r="48" spans="2:9" x14ac:dyDescent="0.25">
      <c r="B48" s="9"/>
      <c r="C48" s="9"/>
      <c r="D48" s="6"/>
      <c r="G48" s="4" t="e">
        <f t="shared" si="1"/>
        <v>#N/A</v>
      </c>
      <c r="H48" s="4" t="e">
        <f t="shared" si="1"/>
        <v>#N/A</v>
      </c>
      <c r="I48" s="4" t="e">
        <f t="shared" si="1"/>
        <v>#N/A</v>
      </c>
    </row>
    <row r="49" spans="2:9" x14ac:dyDescent="0.25">
      <c r="B49" s="9"/>
      <c r="C49" s="9"/>
      <c r="D49" s="6"/>
      <c r="G49" s="4" t="e">
        <f t="shared" si="1"/>
        <v>#N/A</v>
      </c>
      <c r="H49" s="4" t="e">
        <f t="shared" si="1"/>
        <v>#N/A</v>
      </c>
      <c r="I49" s="4" t="e">
        <f t="shared" si="1"/>
        <v>#N/A</v>
      </c>
    </row>
    <row r="50" spans="2:9" x14ac:dyDescent="0.25">
      <c r="B50" s="9"/>
      <c r="C50" s="9"/>
      <c r="D50" s="6"/>
      <c r="G50" s="2"/>
    </row>
    <row r="51" spans="2:9" x14ac:dyDescent="0.25">
      <c r="B51" s="9"/>
      <c r="C51" s="9"/>
      <c r="D51" s="6"/>
      <c r="G51" s="2"/>
    </row>
    <row r="52" spans="2:9" x14ac:dyDescent="0.25">
      <c r="B52" s="9"/>
      <c r="C52" s="9"/>
      <c r="D52" s="6"/>
      <c r="G52" s="2"/>
    </row>
    <row r="53" spans="2:9" x14ac:dyDescent="0.25">
      <c r="B53" s="9"/>
      <c r="C53" s="9"/>
      <c r="D53" s="6"/>
      <c r="G53" s="2"/>
    </row>
    <row r="54" spans="2:9" x14ac:dyDescent="0.25">
      <c r="B54" s="9"/>
      <c r="C54" s="9"/>
      <c r="D54" s="6"/>
      <c r="G54" s="2"/>
    </row>
    <row r="55" spans="2:9" x14ac:dyDescent="0.25">
      <c r="B55" s="9"/>
      <c r="C55" s="9"/>
      <c r="D55" s="6"/>
      <c r="G55" s="2"/>
    </row>
    <row r="56" spans="2:9" x14ac:dyDescent="0.25">
      <c r="B56" s="9"/>
      <c r="C56" s="9"/>
      <c r="D56" s="6"/>
      <c r="G56" s="2"/>
    </row>
    <row r="57" spans="2:9" x14ac:dyDescent="0.25">
      <c r="B57" s="9"/>
      <c r="C57" s="9"/>
      <c r="D57" s="6"/>
      <c r="G57" s="2"/>
    </row>
    <row r="58" spans="2:9" x14ac:dyDescent="0.25">
      <c r="B58" s="9"/>
      <c r="C58" s="9"/>
      <c r="D58" s="6"/>
      <c r="G58" s="2"/>
    </row>
    <row r="59" spans="2:9" x14ac:dyDescent="0.25">
      <c r="B59" s="9"/>
      <c r="C59" s="9"/>
      <c r="D59" s="6"/>
      <c r="G59" s="2"/>
    </row>
    <row r="60" spans="2:9" x14ac:dyDescent="0.25">
      <c r="B60" s="9"/>
      <c r="C60" s="9"/>
      <c r="D60" s="6"/>
      <c r="G60" s="2"/>
    </row>
    <row r="61" spans="2:9" x14ac:dyDescent="0.25">
      <c r="B61" s="9"/>
      <c r="C61" s="9"/>
      <c r="D61" s="6"/>
      <c r="G61" s="2"/>
    </row>
    <row r="62" spans="2:9" x14ac:dyDescent="0.25">
      <c r="B62" s="9"/>
      <c r="C62" s="9"/>
      <c r="D62" s="6"/>
      <c r="G62" s="2"/>
    </row>
    <row r="63" spans="2:9" x14ac:dyDescent="0.25">
      <c r="B63" s="9"/>
      <c r="C63" s="9"/>
      <c r="D63" s="6"/>
      <c r="G63" s="2"/>
    </row>
    <row r="64" spans="2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49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2026-01-26T12:30:13Z</dcterms:modified>
</cp:coreProperties>
</file>