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6360" windowWidth="28860" windowHeight="6405"/>
  </bookViews>
  <sheets>
    <sheet name="EXP" sheetId="1" r:id="rId1"/>
    <sheet name="TOTAL_BASIC" sheetId="7" r:id="rId2"/>
    <sheet name="PER_GAME_BASIC" sheetId="8" r:id="rId3"/>
  </sheets>
  <definedNames>
    <definedName name="_xlnm._FilterDatabase" localSheetId="2" hidden="1">PER_GAME_BASIC!$A$2:$BO$2</definedName>
    <definedName name="_xlnm._FilterDatabase" localSheetId="1" hidden="1">TOTAL_BASIC!$A$2:$U$2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x/Ay+Yb54+uEzThiZP7nmNUBj+QoSi8oDLL/paKSa+E="/>
    </ext>
  </extLst>
</workbook>
</file>

<file path=xl/calcChain.xml><?xml version="1.0" encoding="utf-8"?>
<calcChain xmlns="http://schemas.openxmlformats.org/spreadsheetml/2006/main">
  <c r="BE4" i="8"/>
  <c r="BE5"/>
  <c r="BE6"/>
  <c r="BE7"/>
  <c r="BE8"/>
  <c r="BE9"/>
  <c r="BE10"/>
  <c r="BE11"/>
  <c r="BE12"/>
  <c r="BE13"/>
  <c r="BE14"/>
  <c r="BE15"/>
  <c r="BE16"/>
  <c r="BE17"/>
  <c r="BE18"/>
  <c r="BE19"/>
  <c r="BE20"/>
  <c r="BE21"/>
  <c r="BE22"/>
  <c r="BE23"/>
  <c r="BE24"/>
  <c r="BE25"/>
  <c r="BE26"/>
  <c r="BE27"/>
  <c r="BE28"/>
  <c r="BE29"/>
  <c r="BE30"/>
  <c r="BE31"/>
  <c r="BE32"/>
  <c r="BE33"/>
  <c r="BE34"/>
  <c r="BE35"/>
  <c r="BE36"/>
  <c r="BE37"/>
  <c r="BE38"/>
  <c r="BE39"/>
  <c r="BE40"/>
  <c r="BE41"/>
  <c r="BE42"/>
  <c r="BE43"/>
  <c r="BE44"/>
  <c r="BE45"/>
  <c r="BE46"/>
  <c r="BE47"/>
  <c r="BE48"/>
  <c r="BE49"/>
  <c r="BE3"/>
  <c r="BD4"/>
  <c r="BD5"/>
  <c r="BD6"/>
  <c r="BD7"/>
  <c r="BD8"/>
  <c r="BD9"/>
  <c r="BD10"/>
  <c r="BD11"/>
  <c r="BD12"/>
  <c r="BD13"/>
  <c r="BD14"/>
  <c r="BD15"/>
  <c r="BD16"/>
  <c r="BD17"/>
  <c r="BD18"/>
  <c r="BD19"/>
  <c r="BD20"/>
  <c r="BD21"/>
  <c r="BD22"/>
  <c r="BD23"/>
  <c r="BD24"/>
  <c r="BD25"/>
  <c r="BD26"/>
  <c r="BD27"/>
  <c r="BD28"/>
  <c r="BD29"/>
  <c r="BD30"/>
  <c r="BD31"/>
  <c r="BD32"/>
  <c r="BD33"/>
  <c r="BD34"/>
  <c r="BD35"/>
  <c r="BD36"/>
  <c r="BD37"/>
  <c r="BD38"/>
  <c r="BD39"/>
  <c r="BD40"/>
  <c r="BD41"/>
  <c r="BD42"/>
  <c r="BD43"/>
  <c r="BD44"/>
  <c r="BD45"/>
  <c r="BD46"/>
  <c r="BD47"/>
  <c r="BD48"/>
  <c r="BD49"/>
  <c r="BD3"/>
  <c r="BC4"/>
  <c r="BC5"/>
  <c r="BC6"/>
  <c r="BC7"/>
  <c r="BC8"/>
  <c r="BC9"/>
  <c r="BC10"/>
  <c r="BC11"/>
  <c r="BC12"/>
  <c r="BC13"/>
  <c r="BC14"/>
  <c r="BC15"/>
  <c r="BC16"/>
  <c r="BC17"/>
  <c r="BC18"/>
  <c r="BC19"/>
  <c r="BC20"/>
  <c r="BC21"/>
  <c r="BC22"/>
  <c r="BC23"/>
  <c r="BC24"/>
  <c r="BC25"/>
  <c r="BC26"/>
  <c r="BC27"/>
  <c r="BC28"/>
  <c r="BC29"/>
  <c r="BC30"/>
  <c r="BC31"/>
  <c r="BC32"/>
  <c r="BC33"/>
  <c r="BC34"/>
  <c r="BC35"/>
  <c r="BC36"/>
  <c r="BC37"/>
  <c r="BC38"/>
  <c r="BC39"/>
  <c r="BC40"/>
  <c r="BC41"/>
  <c r="BC42"/>
  <c r="BC43"/>
  <c r="BC44"/>
  <c r="BC45"/>
  <c r="BC46"/>
  <c r="BC47"/>
  <c r="BC48"/>
  <c r="BC49"/>
  <c r="BB4"/>
  <c r="BB5"/>
  <c r="BB6"/>
  <c r="BB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BB33"/>
  <c r="BB34"/>
  <c r="BB35"/>
  <c r="BB36"/>
  <c r="BB37"/>
  <c r="BB38"/>
  <c r="BB39"/>
  <c r="BB40"/>
  <c r="BB41"/>
  <c r="BB42"/>
  <c r="BB43"/>
  <c r="BB44"/>
  <c r="BB45"/>
  <c r="BB46"/>
  <c r="BB47"/>
  <c r="BB48"/>
  <c r="BB49"/>
  <c r="BA4"/>
  <c r="BA5"/>
  <c r="BA6"/>
  <c r="BA7"/>
  <c r="BA8"/>
  <c r="BA9"/>
  <c r="BA10"/>
  <c r="BA11"/>
  <c r="BA12"/>
  <c r="BA13"/>
  <c r="BA14"/>
  <c r="BA15"/>
  <c r="BA16"/>
  <c r="BA17"/>
  <c r="BA18"/>
  <c r="BA19"/>
  <c r="BA20"/>
  <c r="BA21"/>
  <c r="BA22"/>
  <c r="BA23"/>
  <c r="BA24"/>
  <c r="BA25"/>
  <c r="BA26"/>
  <c r="BA27"/>
  <c r="BA28"/>
  <c r="BA29"/>
  <c r="BA30"/>
  <c r="BA31"/>
  <c r="BA32"/>
  <c r="BA33"/>
  <c r="BA34"/>
  <c r="BA35"/>
  <c r="BA36"/>
  <c r="BA37"/>
  <c r="BA38"/>
  <c r="BA39"/>
  <c r="BA40"/>
  <c r="BA41"/>
  <c r="BA42"/>
  <c r="BA43"/>
  <c r="BA44"/>
  <c r="BA45"/>
  <c r="BA46"/>
  <c r="BA47"/>
  <c r="BA48"/>
  <c r="BA49"/>
  <c r="AZ4"/>
  <c r="AZ5"/>
  <c r="AZ6"/>
  <c r="AZ7"/>
  <c r="AZ8"/>
  <c r="AZ9"/>
  <c r="AZ10"/>
  <c r="AZ11"/>
  <c r="AZ12"/>
  <c r="AZ13"/>
  <c r="AZ14"/>
  <c r="AZ15"/>
  <c r="AZ16"/>
  <c r="AZ17"/>
  <c r="AZ18"/>
  <c r="AZ19"/>
  <c r="AZ20"/>
  <c r="AZ21"/>
  <c r="AZ22"/>
  <c r="AZ23"/>
  <c r="AZ24"/>
  <c r="AZ25"/>
  <c r="AZ26"/>
  <c r="AZ27"/>
  <c r="AZ28"/>
  <c r="AZ29"/>
  <c r="AZ30"/>
  <c r="AZ31"/>
  <c r="AZ32"/>
  <c r="AZ33"/>
  <c r="AZ34"/>
  <c r="AZ35"/>
  <c r="AZ36"/>
  <c r="AZ37"/>
  <c r="AZ38"/>
  <c r="AZ39"/>
  <c r="AZ40"/>
  <c r="AZ41"/>
  <c r="AZ42"/>
  <c r="AZ43"/>
  <c r="AZ44"/>
  <c r="AZ45"/>
  <c r="AZ46"/>
  <c r="AZ47"/>
  <c r="AZ48"/>
  <c r="AZ49"/>
  <c r="AY4"/>
  <c r="AY5"/>
  <c r="AY6"/>
  <c r="AY7"/>
  <c r="AY8"/>
  <c r="AY9"/>
  <c r="AY10"/>
  <c r="AY11"/>
  <c r="AY12"/>
  <c r="AY13"/>
  <c r="AY14"/>
  <c r="AY15"/>
  <c r="AY16"/>
  <c r="AY17"/>
  <c r="AY18"/>
  <c r="AY19"/>
  <c r="AY20"/>
  <c r="AY21"/>
  <c r="AY22"/>
  <c r="AY23"/>
  <c r="AY24"/>
  <c r="AY25"/>
  <c r="AY26"/>
  <c r="AY27"/>
  <c r="AY28"/>
  <c r="AY29"/>
  <c r="AY30"/>
  <c r="AY31"/>
  <c r="AY32"/>
  <c r="AY33"/>
  <c r="AY34"/>
  <c r="AY35"/>
  <c r="AY36"/>
  <c r="AY37"/>
  <c r="AY38"/>
  <c r="AY39"/>
  <c r="AY40"/>
  <c r="AY41"/>
  <c r="AY42"/>
  <c r="AY43"/>
  <c r="AY44"/>
  <c r="AY45"/>
  <c r="AY46"/>
  <c r="AY47"/>
  <c r="AY48"/>
  <c r="AY49"/>
  <c r="AX4"/>
  <c r="AX5"/>
  <c r="AX6"/>
  <c r="AX7"/>
  <c r="AX8"/>
  <c r="AX9"/>
  <c r="AX10"/>
  <c r="AX11"/>
  <c r="AX12"/>
  <c r="AX13"/>
  <c r="AX14"/>
  <c r="AX15"/>
  <c r="AX16"/>
  <c r="AX17"/>
  <c r="AX18"/>
  <c r="AX19"/>
  <c r="AX20"/>
  <c r="AX21"/>
  <c r="AX22"/>
  <c r="AX23"/>
  <c r="AX24"/>
  <c r="AX25"/>
  <c r="AX26"/>
  <c r="AX27"/>
  <c r="AX28"/>
  <c r="AX29"/>
  <c r="AX30"/>
  <c r="AX31"/>
  <c r="AX32"/>
  <c r="AX33"/>
  <c r="AX34"/>
  <c r="AX35"/>
  <c r="AX36"/>
  <c r="AX37"/>
  <c r="AX38"/>
  <c r="AX39"/>
  <c r="AX40"/>
  <c r="AX41"/>
  <c r="AX42"/>
  <c r="AX43"/>
  <c r="AX44"/>
  <c r="AX45"/>
  <c r="AX46"/>
  <c r="AX47"/>
  <c r="AX48"/>
  <c r="AX49"/>
  <c r="AW4"/>
  <c r="AW5"/>
  <c r="AW6"/>
  <c r="AW7"/>
  <c r="AW8"/>
  <c r="AW9"/>
  <c r="AW10"/>
  <c r="AW11"/>
  <c r="AW12"/>
  <c r="AW13"/>
  <c r="AW14"/>
  <c r="AW15"/>
  <c r="AW16"/>
  <c r="AW17"/>
  <c r="AW18"/>
  <c r="AW19"/>
  <c r="AW20"/>
  <c r="AW21"/>
  <c r="AW22"/>
  <c r="AW23"/>
  <c r="AW24"/>
  <c r="AW25"/>
  <c r="AW26"/>
  <c r="AW27"/>
  <c r="AW28"/>
  <c r="AW29"/>
  <c r="AW30"/>
  <c r="AW31"/>
  <c r="AW32"/>
  <c r="AW33"/>
  <c r="AW34"/>
  <c r="AW35"/>
  <c r="AW36"/>
  <c r="AW37"/>
  <c r="AW38"/>
  <c r="AW39"/>
  <c r="AW40"/>
  <c r="AW41"/>
  <c r="AW42"/>
  <c r="AW43"/>
  <c r="AW44"/>
  <c r="AW45"/>
  <c r="AW46"/>
  <c r="AW47"/>
  <c r="AW48"/>
  <c r="AW49"/>
  <c r="AV4"/>
  <c r="AV5"/>
  <c r="AV6"/>
  <c r="AV7"/>
  <c r="AV8"/>
  <c r="AV9"/>
  <c r="AV10"/>
  <c r="AV11"/>
  <c r="AV12"/>
  <c r="AV13"/>
  <c r="AV14"/>
  <c r="AV15"/>
  <c r="AV16"/>
  <c r="AV17"/>
  <c r="AV18"/>
  <c r="AV19"/>
  <c r="AV20"/>
  <c r="AV21"/>
  <c r="AV22"/>
  <c r="AV23"/>
  <c r="AV24"/>
  <c r="AV25"/>
  <c r="AV26"/>
  <c r="AV27"/>
  <c r="AV28"/>
  <c r="AV29"/>
  <c r="AV30"/>
  <c r="AV31"/>
  <c r="AV32"/>
  <c r="AV33"/>
  <c r="AV34"/>
  <c r="AV35"/>
  <c r="AV36"/>
  <c r="AV37"/>
  <c r="AV38"/>
  <c r="AV39"/>
  <c r="AV40"/>
  <c r="AV41"/>
  <c r="AV42"/>
  <c r="AV43"/>
  <c r="AV44"/>
  <c r="AV45"/>
  <c r="AV46"/>
  <c r="AV47"/>
  <c r="AV48"/>
  <c r="AV49"/>
  <c r="AU4"/>
  <c r="AU5"/>
  <c r="AU6"/>
  <c r="AU7"/>
  <c r="AU8"/>
  <c r="AU9"/>
  <c r="AU10"/>
  <c r="AU11"/>
  <c r="AU12"/>
  <c r="AU13"/>
  <c r="AU14"/>
  <c r="AU15"/>
  <c r="AU16"/>
  <c r="AU17"/>
  <c r="AU18"/>
  <c r="AU19"/>
  <c r="AU20"/>
  <c r="AU21"/>
  <c r="AU22"/>
  <c r="AU23"/>
  <c r="AU24"/>
  <c r="AU25"/>
  <c r="AU26"/>
  <c r="AU27"/>
  <c r="AU28"/>
  <c r="AU29"/>
  <c r="AU30"/>
  <c r="AU31"/>
  <c r="AU32"/>
  <c r="AU33"/>
  <c r="AU34"/>
  <c r="AU35"/>
  <c r="AU36"/>
  <c r="AU37"/>
  <c r="AU38"/>
  <c r="AU39"/>
  <c r="AU40"/>
  <c r="AU41"/>
  <c r="AU42"/>
  <c r="AU43"/>
  <c r="AU44"/>
  <c r="AU45"/>
  <c r="AU46"/>
  <c r="AU47"/>
  <c r="AU48"/>
  <c r="AU49"/>
  <c r="AT4"/>
  <c r="AT5"/>
  <c r="AT6"/>
  <c r="AT7"/>
  <c r="AT8"/>
  <c r="AT9"/>
  <c r="AT10"/>
  <c r="AT11"/>
  <c r="AT12"/>
  <c r="AT13"/>
  <c r="AT14"/>
  <c r="AT15"/>
  <c r="AT16"/>
  <c r="AT17"/>
  <c r="AT18"/>
  <c r="AT19"/>
  <c r="AT20"/>
  <c r="AT21"/>
  <c r="AT22"/>
  <c r="AT23"/>
  <c r="AT24"/>
  <c r="AT25"/>
  <c r="AT26"/>
  <c r="AT27"/>
  <c r="AT28"/>
  <c r="AT29"/>
  <c r="AT30"/>
  <c r="AT31"/>
  <c r="AT32"/>
  <c r="AT33"/>
  <c r="AT34"/>
  <c r="AT35"/>
  <c r="AT36"/>
  <c r="AT37"/>
  <c r="AT38"/>
  <c r="AT39"/>
  <c r="AT40"/>
  <c r="AT41"/>
  <c r="AT42"/>
  <c r="AT43"/>
  <c r="AT44"/>
  <c r="AT45"/>
  <c r="AT46"/>
  <c r="AT47"/>
  <c r="AT48"/>
  <c r="AT49"/>
  <c r="AS4"/>
  <c r="AS5"/>
  <c r="AS6"/>
  <c r="AS7"/>
  <c r="AS8"/>
  <c r="AS9"/>
  <c r="AS10"/>
  <c r="AS11"/>
  <c r="AS12"/>
  <c r="AS13"/>
  <c r="AS14"/>
  <c r="AS15"/>
  <c r="AS16"/>
  <c r="AS17"/>
  <c r="AS18"/>
  <c r="AS19"/>
  <c r="AS20"/>
  <c r="AS21"/>
  <c r="AS22"/>
  <c r="AS23"/>
  <c r="AS24"/>
  <c r="AS25"/>
  <c r="AS26"/>
  <c r="AS27"/>
  <c r="AS28"/>
  <c r="AS29"/>
  <c r="AS30"/>
  <c r="AS31"/>
  <c r="AS32"/>
  <c r="AS33"/>
  <c r="AS34"/>
  <c r="AS35"/>
  <c r="AS36"/>
  <c r="AS37"/>
  <c r="AS38"/>
  <c r="AS39"/>
  <c r="AS40"/>
  <c r="AS41"/>
  <c r="AS42"/>
  <c r="AS43"/>
  <c r="AS44"/>
  <c r="AS45"/>
  <c r="AS46"/>
  <c r="AS47"/>
  <c r="AS48"/>
  <c r="AS49"/>
  <c r="AR4"/>
  <c r="AR5"/>
  <c r="AR6"/>
  <c r="AR7"/>
  <c r="AR8"/>
  <c r="AR9"/>
  <c r="AR10"/>
  <c r="AR11"/>
  <c r="AR12"/>
  <c r="AR13"/>
  <c r="AR14"/>
  <c r="AR15"/>
  <c r="AR16"/>
  <c r="AR17"/>
  <c r="AR18"/>
  <c r="AR19"/>
  <c r="AR20"/>
  <c r="AR21"/>
  <c r="AR22"/>
  <c r="AR23"/>
  <c r="AR24"/>
  <c r="AR25"/>
  <c r="AR26"/>
  <c r="AR27"/>
  <c r="AR28"/>
  <c r="AR29"/>
  <c r="AR30"/>
  <c r="AR31"/>
  <c r="AR32"/>
  <c r="AR33"/>
  <c r="AR34"/>
  <c r="AR35"/>
  <c r="AR36"/>
  <c r="AR37"/>
  <c r="AR38"/>
  <c r="AR39"/>
  <c r="AR40"/>
  <c r="AR41"/>
  <c r="AR42"/>
  <c r="AR43"/>
  <c r="AR44"/>
  <c r="AR45"/>
  <c r="AR46"/>
  <c r="AR47"/>
  <c r="AR48"/>
  <c r="AR49"/>
  <c r="AQ4"/>
  <c r="AQ5"/>
  <c r="AQ6"/>
  <c r="AQ7"/>
  <c r="AQ8"/>
  <c r="AQ9"/>
  <c r="AQ10"/>
  <c r="AQ11"/>
  <c r="AQ12"/>
  <c r="AQ13"/>
  <c r="AQ14"/>
  <c r="AQ15"/>
  <c r="AQ16"/>
  <c r="AQ17"/>
  <c r="AQ18"/>
  <c r="AQ19"/>
  <c r="AQ20"/>
  <c r="AQ21"/>
  <c r="AQ22"/>
  <c r="AQ23"/>
  <c r="AQ24"/>
  <c r="AQ25"/>
  <c r="AQ26"/>
  <c r="AQ27"/>
  <c r="AQ28"/>
  <c r="AQ29"/>
  <c r="AQ30"/>
  <c r="AQ31"/>
  <c r="AQ32"/>
  <c r="AQ33"/>
  <c r="AQ34"/>
  <c r="AQ35"/>
  <c r="AQ36"/>
  <c r="AQ37"/>
  <c r="AQ38"/>
  <c r="AQ39"/>
  <c r="AQ40"/>
  <c r="AQ41"/>
  <c r="AQ42"/>
  <c r="AQ43"/>
  <c r="AQ44"/>
  <c r="AQ45"/>
  <c r="AQ46"/>
  <c r="AQ47"/>
  <c r="AQ48"/>
  <c r="AQ49"/>
  <c r="AP4"/>
  <c r="AP5"/>
  <c r="AP6"/>
  <c r="AP7"/>
  <c r="AP8"/>
  <c r="AP9"/>
  <c r="AP10"/>
  <c r="AP11"/>
  <c r="AP12"/>
  <c r="AP13"/>
  <c r="AP14"/>
  <c r="AP15"/>
  <c r="AP16"/>
  <c r="AP17"/>
  <c r="AP18"/>
  <c r="AP19"/>
  <c r="AP20"/>
  <c r="AP21"/>
  <c r="AP22"/>
  <c r="AP23"/>
  <c r="AP24"/>
  <c r="AP25"/>
  <c r="AP26"/>
  <c r="AP27"/>
  <c r="AP28"/>
  <c r="AP29"/>
  <c r="AP30"/>
  <c r="AP31"/>
  <c r="AP32"/>
  <c r="AP33"/>
  <c r="AP34"/>
  <c r="AP35"/>
  <c r="AP36"/>
  <c r="AP37"/>
  <c r="AP38"/>
  <c r="AP39"/>
  <c r="AP40"/>
  <c r="AP41"/>
  <c r="AP42"/>
  <c r="AP43"/>
  <c r="AP44"/>
  <c r="AP45"/>
  <c r="AP46"/>
  <c r="AP47"/>
  <c r="AP48"/>
  <c r="AP49"/>
  <c r="AO4"/>
  <c r="AO5"/>
  <c r="AO6"/>
  <c r="AO7"/>
  <c r="AO8"/>
  <c r="AO9"/>
  <c r="AO10"/>
  <c r="AO11"/>
  <c r="AO12"/>
  <c r="AO13"/>
  <c r="AO14"/>
  <c r="AO15"/>
  <c r="AO16"/>
  <c r="AO17"/>
  <c r="AO18"/>
  <c r="AO19"/>
  <c r="AO20"/>
  <c r="AO21"/>
  <c r="AO22"/>
  <c r="AO23"/>
  <c r="AO24"/>
  <c r="AO25"/>
  <c r="AO26"/>
  <c r="AO27"/>
  <c r="AO28"/>
  <c r="AO29"/>
  <c r="AO30"/>
  <c r="AO31"/>
  <c r="AO32"/>
  <c r="AO33"/>
  <c r="AO34"/>
  <c r="AO35"/>
  <c r="AO36"/>
  <c r="AO37"/>
  <c r="AO38"/>
  <c r="AO39"/>
  <c r="AO40"/>
  <c r="AO41"/>
  <c r="AO42"/>
  <c r="AO43"/>
  <c r="AO44"/>
  <c r="AO45"/>
  <c r="AO46"/>
  <c r="AO47"/>
  <c r="AO48"/>
  <c r="AO49"/>
  <c r="AN4"/>
  <c r="AN5"/>
  <c r="AN6"/>
  <c r="AN7"/>
  <c r="AN8"/>
  <c r="AN9"/>
  <c r="AN10"/>
  <c r="AN11"/>
  <c r="AN12"/>
  <c r="AN13"/>
  <c r="AN14"/>
  <c r="AN15"/>
  <c r="AN16"/>
  <c r="AN17"/>
  <c r="AN18"/>
  <c r="AN19"/>
  <c r="AN20"/>
  <c r="AN21"/>
  <c r="AN22"/>
  <c r="AN23"/>
  <c r="AN24"/>
  <c r="AN25"/>
  <c r="AN26"/>
  <c r="AN27"/>
  <c r="AN28"/>
  <c r="AN29"/>
  <c r="AN30"/>
  <c r="AN31"/>
  <c r="AN32"/>
  <c r="AN33"/>
  <c r="AN34"/>
  <c r="AN35"/>
  <c r="AN36"/>
  <c r="AN37"/>
  <c r="AN38"/>
  <c r="AN39"/>
  <c r="AN40"/>
  <c r="AN41"/>
  <c r="AN42"/>
  <c r="AN43"/>
  <c r="AN44"/>
  <c r="AN45"/>
  <c r="AN46"/>
  <c r="AN47"/>
  <c r="AN48"/>
  <c r="AN49"/>
  <c r="AM4"/>
  <c r="AM5"/>
  <c r="AM6"/>
  <c r="AM7"/>
  <c r="AM8"/>
  <c r="AM9"/>
  <c r="AM10"/>
  <c r="AM11"/>
  <c r="AM12"/>
  <c r="AM13"/>
  <c r="AM14"/>
  <c r="AM15"/>
  <c r="AM16"/>
  <c r="AM17"/>
  <c r="AM18"/>
  <c r="AM19"/>
  <c r="AM20"/>
  <c r="AM21"/>
  <c r="AM22"/>
  <c r="AM23"/>
  <c r="AM24"/>
  <c r="AM25"/>
  <c r="AM26"/>
  <c r="AM27"/>
  <c r="AM28"/>
  <c r="AM29"/>
  <c r="AM30"/>
  <c r="AM31"/>
  <c r="AM32"/>
  <c r="AM33"/>
  <c r="AM34"/>
  <c r="AM35"/>
  <c r="AM36"/>
  <c r="AM37"/>
  <c r="AM38"/>
  <c r="AM39"/>
  <c r="AM40"/>
  <c r="AM41"/>
  <c r="AM42"/>
  <c r="AM43"/>
  <c r="AM44"/>
  <c r="AM45"/>
  <c r="AM46"/>
  <c r="AM47"/>
  <c r="AM48"/>
  <c r="AM49"/>
  <c r="AN3"/>
  <c r="AO3"/>
  <c r="AP3"/>
  <c r="AQ3"/>
  <c r="AR3"/>
  <c r="AS3"/>
  <c r="AT3"/>
  <c r="AU3"/>
  <c r="AV3"/>
  <c r="AW3"/>
  <c r="AX3"/>
  <c r="AY3"/>
  <c r="AZ3"/>
  <c r="BA3"/>
  <c r="BB3"/>
  <c r="BC3"/>
  <c r="AD4"/>
  <c r="BM4" s="1"/>
  <c r="AD5"/>
  <c r="BM5" s="1"/>
  <c r="AD6"/>
  <c r="BM6" s="1"/>
  <c r="AD7"/>
  <c r="BM7" s="1"/>
  <c r="AD8"/>
  <c r="BM8" s="1"/>
  <c r="AD9"/>
  <c r="BM9" s="1"/>
  <c r="AD10"/>
  <c r="BM10" s="1"/>
  <c r="AD11"/>
  <c r="BM11" s="1"/>
  <c r="AD12"/>
  <c r="AD13"/>
  <c r="AD14"/>
  <c r="AD15"/>
  <c r="AD16"/>
  <c r="AD17"/>
  <c r="AD18"/>
  <c r="AD19"/>
  <c r="AD20"/>
  <c r="BM20" s="1"/>
  <c r="AD21"/>
  <c r="BM21" s="1"/>
  <c r="AD22"/>
  <c r="BM22" s="1"/>
  <c r="AD23"/>
  <c r="BM23" s="1"/>
  <c r="AD24"/>
  <c r="BM24" s="1"/>
  <c r="AD25"/>
  <c r="BM25" s="1"/>
  <c r="AD26"/>
  <c r="BM26" s="1"/>
  <c r="AD27"/>
  <c r="BM27" s="1"/>
  <c r="AD28"/>
  <c r="AD29"/>
  <c r="AD30"/>
  <c r="AD31"/>
  <c r="AD32"/>
  <c r="AD33"/>
  <c r="AD34"/>
  <c r="AD35"/>
  <c r="AD36"/>
  <c r="BM36" s="1"/>
  <c r="AD37"/>
  <c r="BM37" s="1"/>
  <c r="AD38"/>
  <c r="BM38" s="1"/>
  <c r="AD39"/>
  <c r="BM39" s="1"/>
  <c r="AD40"/>
  <c r="BM40" s="1"/>
  <c r="AD41"/>
  <c r="BM41" s="1"/>
  <c r="AD42"/>
  <c r="BM42" s="1"/>
  <c r="AD43"/>
  <c r="BM43" s="1"/>
  <c r="AD44"/>
  <c r="AD45"/>
  <c r="AD46"/>
  <c r="AD47"/>
  <c r="AD48"/>
  <c r="AD49"/>
  <c r="AD3"/>
  <c r="C81" i="7"/>
  <c r="D80"/>
  <c r="E80"/>
  <c r="F80"/>
  <c r="G80"/>
  <c r="H80"/>
  <c r="I80"/>
  <c r="J80"/>
  <c r="C87" s="1"/>
  <c r="K80"/>
  <c r="L80"/>
  <c r="M80"/>
  <c r="N80"/>
  <c r="O80"/>
  <c r="P80"/>
  <c r="Q80"/>
  <c r="R80"/>
  <c r="S80"/>
  <c r="C80"/>
  <c r="Z4" i="8"/>
  <c r="Z5"/>
  <c r="Z6"/>
  <c r="Z7"/>
  <c r="Z8"/>
  <c r="Z9"/>
  <c r="Z10"/>
  <c r="Z11"/>
  <c r="Z12"/>
  <c r="Z13"/>
  <c r="Z14"/>
  <c r="Z15"/>
  <c r="Z16"/>
  <c r="Z17"/>
  <c r="Z18"/>
  <c r="Z19"/>
  <c r="Z20"/>
  <c r="Z21"/>
  <c r="Z22"/>
  <c r="Z23"/>
  <c r="Z24"/>
  <c r="Z25"/>
  <c r="Z26"/>
  <c r="Z27"/>
  <c r="Z28"/>
  <c r="Z29"/>
  <c r="Z30"/>
  <c r="BI30" s="1"/>
  <c r="Z31"/>
  <c r="Z32"/>
  <c r="Z33"/>
  <c r="Z34"/>
  <c r="Z35"/>
  <c r="Z36"/>
  <c r="Z37"/>
  <c r="Z38"/>
  <c r="Z39"/>
  <c r="Z40"/>
  <c r="Z41"/>
  <c r="Z42"/>
  <c r="Z43"/>
  <c r="Z44"/>
  <c r="Z45"/>
  <c r="Z46"/>
  <c r="BI46" s="1"/>
  <c r="Z47"/>
  <c r="Z48"/>
  <c r="Z49"/>
  <c r="Z3"/>
  <c r="AM3"/>
  <c r="AI4"/>
  <c r="BN4" s="1"/>
  <c r="AI5"/>
  <c r="BN5" s="1"/>
  <c r="AI6"/>
  <c r="BN6" s="1"/>
  <c r="AI7"/>
  <c r="BN7" s="1"/>
  <c r="AI8"/>
  <c r="BN8" s="1"/>
  <c r="AI9"/>
  <c r="BN9" s="1"/>
  <c r="AI10"/>
  <c r="BN10" s="1"/>
  <c r="AI11"/>
  <c r="BN11" s="1"/>
  <c r="AI12"/>
  <c r="BN12" s="1"/>
  <c r="AI13"/>
  <c r="BN13" s="1"/>
  <c r="AI14"/>
  <c r="BN14" s="1"/>
  <c r="AI15"/>
  <c r="BN15" s="1"/>
  <c r="AI16"/>
  <c r="BN16" s="1"/>
  <c r="AI17"/>
  <c r="BN17" s="1"/>
  <c r="AI18"/>
  <c r="BN18" s="1"/>
  <c r="AI19"/>
  <c r="BN19" s="1"/>
  <c r="AI20"/>
  <c r="BN20" s="1"/>
  <c r="AI21"/>
  <c r="BN21" s="1"/>
  <c r="AI22"/>
  <c r="BN22" s="1"/>
  <c r="AI23"/>
  <c r="BN23" s="1"/>
  <c r="AI24"/>
  <c r="BN24" s="1"/>
  <c r="AI25"/>
  <c r="BN25" s="1"/>
  <c r="AI26"/>
  <c r="BN26" s="1"/>
  <c r="AI27"/>
  <c r="BN27" s="1"/>
  <c r="AI28"/>
  <c r="BN28" s="1"/>
  <c r="AI29"/>
  <c r="BN29" s="1"/>
  <c r="AI30"/>
  <c r="BN30" s="1"/>
  <c r="AI31"/>
  <c r="BN31" s="1"/>
  <c r="AI32"/>
  <c r="BN32" s="1"/>
  <c r="AI33"/>
  <c r="BN33" s="1"/>
  <c r="AI34"/>
  <c r="BN34" s="1"/>
  <c r="AI35"/>
  <c r="BN35" s="1"/>
  <c r="AI36"/>
  <c r="BN36" s="1"/>
  <c r="AI37"/>
  <c r="BN37" s="1"/>
  <c r="AI38"/>
  <c r="BN38" s="1"/>
  <c r="AI39"/>
  <c r="BN39" s="1"/>
  <c r="AI40"/>
  <c r="BN40" s="1"/>
  <c r="AI41"/>
  <c r="BN41" s="1"/>
  <c r="AI42"/>
  <c r="BN42" s="1"/>
  <c r="AI43"/>
  <c r="BN43" s="1"/>
  <c r="AI44"/>
  <c r="BN44" s="1"/>
  <c r="AI45"/>
  <c r="BN45" s="1"/>
  <c r="AI46"/>
  <c r="BN46" s="1"/>
  <c r="AI47"/>
  <c r="BN47" s="1"/>
  <c r="AI48"/>
  <c r="BN48" s="1"/>
  <c r="AI49"/>
  <c r="BN49" s="1"/>
  <c r="AI3"/>
  <c r="BN3" s="1"/>
  <c r="U4" i="7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U33"/>
  <c r="U34"/>
  <c r="U35"/>
  <c r="U36"/>
  <c r="U37"/>
  <c r="U38"/>
  <c r="U39"/>
  <c r="U40"/>
  <c r="U41"/>
  <c r="U42"/>
  <c r="U43"/>
  <c r="U44"/>
  <c r="U45"/>
  <c r="U46"/>
  <c r="U47"/>
  <c r="U48"/>
  <c r="U49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T33"/>
  <c r="T34"/>
  <c r="T35"/>
  <c r="T36"/>
  <c r="T37"/>
  <c r="T38"/>
  <c r="T39"/>
  <c r="T40"/>
  <c r="T41"/>
  <c r="T42"/>
  <c r="T43"/>
  <c r="T44"/>
  <c r="T45"/>
  <c r="T46"/>
  <c r="T47"/>
  <c r="T48"/>
  <c r="T49"/>
  <c r="AC4" i="8"/>
  <c r="AC5"/>
  <c r="AC6"/>
  <c r="BL6" s="1"/>
  <c r="AC7"/>
  <c r="BL7" s="1"/>
  <c r="AC8"/>
  <c r="BL8" s="1"/>
  <c r="AC9"/>
  <c r="BL9" s="1"/>
  <c r="AC10"/>
  <c r="BL10" s="1"/>
  <c r="AC11"/>
  <c r="BL11" s="1"/>
  <c r="AC12"/>
  <c r="BL12" s="1"/>
  <c r="AC13"/>
  <c r="BL13" s="1"/>
  <c r="AC14"/>
  <c r="AC15"/>
  <c r="AC16"/>
  <c r="AC17"/>
  <c r="AC18"/>
  <c r="AC19"/>
  <c r="AC20"/>
  <c r="AC21"/>
  <c r="AC22"/>
  <c r="BL22" s="1"/>
  <c r="AC23"/>
  <c r="BL23" s="1"/>
  <c r="AC24"/>
  <c r="BL24" s="1"/>
  <c r="AC25"/>
  <c r="BL25" s="1"/>
  <c r="AC26"/>
  <c r="BL26" s="1"/>
  <c r="AC27"/>
  <c r="BL27" s="1"/>
  <c r="AC28"/>
  <c r="BL28" s="1"/>
  <c r="AC29"/>
  <c r="BL29" s="1"/>
  <c r="AC30"/>
  <c r="AC31"/>
  <c r="AC32"/>
  <c r="AC33"/>
  <c r="AC34"/>
  <c r="AC35"/>
  <c r="AC36"/>
  <c r="AC37"/>
  <c r="AC38"/>
  <c r="BL38" s="1"/>
  <c r="AC39"/>
  <c r="BL39" s="1"/>
  <c r="AC40"/>
  <c r="BL40" s="1"/>
  <c r="AC41"/>
  <c r="BL41" s="1"/>
  <c r="AC42"/>
  <c r="BL42" s="1"/>
  <c r="AC43"/>
  <c r="BL43" s="1"/>
  <c r="AC44"/>
  <c r="BL44" s="1"/>
  <c r="AC45"/>
  <c r="BL45" s="1"/>
  <c r="AC46"/>
  <c r="AC47"/>
  <c r="AC48"/>
  <c r="AC49"/>
  <c r="AA4"/>
  <c r="AA5"/>
  <c r="AA6"/>
  <c r="AE6" s="1"/>
  <c r="AA7"/>
  <c r="BJ7" s="1"/>
  <c r="AA8"/>
  <c r="BJ8" s="1"/>
  <c r="AA9"/>
  <c r="BJ9" s="1"/>
  <c r="AA10"/>
  <c r="BJ10" s="1"/>
  <c r="AA11"/>
  <c r="BJ11" s="1"/>
  <c r="AA12"/>
  <c r="BJ12" s="1"/>
  <c r="AA13"/>
  <c r="BJ13" s="1"/>
  <c r="AA14"/>
  <c r="AB14" s="1"/>
  <c r="AA15"/>
  <c r="AB15" s="1"/>
  <c r="AA16"/>
  <c r="AB16" s="1"/>
  <c r="AA17"/>
  <c r="AB17" s="1"/>
  <c r="AA18"/>
  <c r="AA19"/>
  <c r="AA20"/>
  <c r="AA21"/>
  <c r="AA22"/>
  <c r="AE22" s="1"/>
  <c r="AA23"/>
  <c r="BJ23" s="1"/>
  <c r="AA24"/>
  <c r="BJ24" s="1"/>
  <c r="AA25"/>
  <c r="BJ25" s="1"/>
  <c r="AA26"/>
  <c r="BJ26" s="1"/>
  <c r="AA27"/>
  <c r="BJ27" s="1"/>
  <c r="AA28"/>
  <c r="BJ28" s="1"/>
  <c r="AA29"/>
  <c r="BJ29" s="1"/>
  <c r="AA30"/>
  <c r="AB30" s="1"/>
  <c r="AA31"/>
  <c r="AB31" s="1"/>
  <c r="AA32"/>
  <c r="AB32" s="1"/>
  <c r="AA33"/>
  <c r="BJ33" s="1"/>
  <c r="AA34"/>
  <c r="AB34" s="1"/>
  <c r="AA35"/>
  <c r="AA36"/>
  <c r="AA37"/>
  <c r="AA38"/>
  <c r="AE38" s="1"/>
  <c r="AA39"/>
  <c r="BJ39" s="1"/>
  <c r="AA40"/>
  <c r="BJ40" s="1"/>
  <c r="AA41"/>
  <c r="BJ41" s="1"/>
  <c r="AA42"/>
  <c r="BJ42" s="1"/>
  <c r="AA43"/>
  <c r="BJ43" s="1"/>
  <c r="AA44"/>
  <c r="BJ44" s="1"/>
  <c r="AA45"/>
  <c r="BJ45" s="1"/>
  <c r="AA46"/>
  <c r="AB46" s="1"/>
  <c r="AA47"/>
  <c r="AB47" s="1"/>
  <c r="AA48"/>
  <c r="BJ48" s="1"/>
  <c r="AA49"/>
  <c r="AB49" s="1"/>
  <c r="X4"/>
  <c r="BG4" s="1"/>
  <c r="X5"/>
  <c r="X6"/>
  <c r="X7"/>
  <c r="X8"/>
  <c r="X9"/>
  <c r="X10"/>
  <c r="X11"/>
  <c r="X12"/>
  <c r="X13"/>
  <c r="X14"/>
  <c r="X15"/>
  <c r="X16"/>
  <c r="X17"/>
  <c r="X18"/>
  <c r="X19"/>
  <c r="X20"/>
  <c r="BG20" s="1"/>
  <c r="X21"/>
  <c r="Y21" s="1"/>
  <c r="X22"/>
  <c r="X23"/>
  <c r="X24"/>
  <c r="X25"/>
  <c r="X26"/>
  <c r="X27"/>
  <c r="X28"/>
  <c r="X29"/>
  <c r="X30"/>
  <c r="X31"/>
  <c r="X32"/>
  <c r="X33"/>
  <c r="X34"/>
  <c r="X35"/>
  <c r="X36"/>
  <c r="BG36" s="1"/>
  <c r="X37"/>
  <c r="X38"/>
  <c r="X39"/>
  <c r="X40"/>
  <c r="X41"/>
  <c r="X42"/>
  <c r="X43"/>
  <c r="X44"/>
  <c r="X45"/>
  <c r="X46"/>
  <c r="X47"/>
  <c r="X48"/>
  <c r="X49"/>
  <c r="W4"/>
  <c r="W5"/>
  <c r="W6"/>
  <c r="BF6" s="1"/>
  <c r="W7"/>
  <c r="W8"/>
  <c r="Y8" s="1"/>
  <c r="W9"/>
  <c r="W10"/>
  <c r="W11"/>
  <c r="W12"/>
  <c r="W13"/>
  <c r="W14"/>
  <c r="W15"/>
  <c r="W16"/>
  <c r="W17"/>
  <c r="W18"/>
  <c r="W19"/>
  <c r="W20"/>
  <c r="W21"/>
  <c r="W22"/>
  <c r="BF22" s="1"/>
  <c r="W23"/>
  <c r="W24"/>
  <c r="W25"/>
  <c r="Y25" s="1"/>
  <c r="W26"/>
  <c r="W27"/>
  <c r="W28"/>
  <c r="W29"/>
  <c r="W30"/>
  <c r="W31"/>
  <c r="W32"/>
  <c r="W33"/>
  <c r="W34"/>
  <c r="W35"/>
  <c r="W36"/>
  <c r="W37"/>
  <c r="W38"/>
  <c r="BF38" s="1"/>
  <c r="W39"/>
  <c r="W40"/>
  <c r="Y40" s="1"/>
  <c r="W41"/>
  <c r="Y41" s="1"/>
  <c r="W42"/>
  <c r="W43"/>
  <c r="W44"/>
  <c r="W45"/>
  <c r="W46"/>
  <c r="W47"/>
  <c r="W48"/>
  <c r="W49"/>
  <c r="AA3"/>
  <c r="AB3" s="1"/>
  <c r="AC3"/>
  <c r="X3"/>
  <c r="Y3" s="1"/>
  <c r="W3"/>
  <c r="U3" i="7"/>
  <c r="T3"/>
  <c r="BG38" i="8" l="1"/>
  <c r="BI16"/>
  <c r="BF42"/>
  <c r="BG24"/>
  <c r="BF12"/>
  <c r="BG10"/>
  <c r="BI20"/>
  <c r="BF30"/>
  <c r="BG44"/>
  <c r="BG12"/>
  <c r="BF47"/>
  <c r="BF31"/>
  <c r="BF15"/>
  <c r="BG45"/>
  <c r="BG29"/>
  <c r="BG13"/>
  <c r="BI39"/>
  <c r="BI23"/>
  <c r="BI7"/>
  <c r="BI47"/>
  <c r="BG14"/>
  <c r="BG22"/>
  <c r="BG23"/>
  <c r="BG15"/>
  <c r="BI48"/>
  <c r="BG46"/>
  <c r="BI40"/>
  <c r="BF33"/>
  <c r="BF34"/>
  <c r="BG48"/>
  <c r="BG16"/>
  <c r="BI42"/>
  <c r="BI26"/>
  <c r="BI10"/>
  <c r="BG37"/>
  <c r="BF9"/>
  <c r="BF48"/>
  <c r="BG30"/>
  <c r="BI24"/>
  <c r="BG47"/>
  <c r="BI9"/>
  <c r="BF18"/>
  <c r="BG32"/>
  <c r="BF35"/>
  <c r="BF19"/>
  <c r="BG49"/>
  <c r="BG33"/>
  <c r="BG17"/>
  <c r="BI43"/>
  <c r="BI27"/>
  <c r="BI11"/>
  <c r="BF23"/>
  <c r="BG6"/>
  <c r="BF16"/>
  <c r="BI8"/>
  <c r="BF49"/>
  <c r="BG31"/>
  <c r="BI41"/>
  <c r="BF20"/>
  <c r="BF4"/>
  <c r="BG34"/>
  <c r="BG18"/>
  <c r="Y10"/>
  <c r="BI44"/>
  <c r="BI28"/>
  <c r="BI12"/>
  <c r="BI31"/>
  <c r="BF32"/>
  <c r="BF17"/>
  <c r="BI25"/>
  <c r="BF36"/>
  <c r="BF3"/>
  <c r="Y37"/>
  <c r="BF21"/>
  <c r="BF5"/>
  <c r="BG35"/>
  <c r="BG19"/>
  <c r="AB9"/>
  <c r="BI45"/>
  <c r="BI29"/>
  <c r="BI13"/>
  <c r="BI14"/>
  <c r="BI15"/>
  <c r="BI32"/>
  <c r="BF7"/>
  <c r="BI33"/>
  <c r="BI49"/>
  <c r="BG40"/>
  <c r="BI34"/>
  <c r="BF43"/>
  <c r="BF27"/>
  <c r="BF11"/>
  <c r="BG41"/>
  <c r="BG25"/>
  <c r="BG9"/>
  <c r="BI35"/>
  <c r="BI19"/>
  <c r="BF10"/>
  <c r="BG26"/>
  <c r="BG21"/>
  <c r="BF24"/>
  <c r="BF26"/>
  <c r="BI3"/>
  <c r="BF28"/>
  <c r="BI36"/>
  <c r="BF45"/>
  <c r="BF29"/>
  <c r="BF13"/>
  <c r="BG43"/>
  <c r="BG27"/>
  <c r="BG11"/>
  <c r="BI37"/>
  <c r="BI21"/>
  <c r="BI5"/>
  <c r="BF39"/>
  <c r="BI17"/>
  <c r="BG8"/>
  <c r="BI18"/>
  <c r="BF44"/>
  <c r="BG42"/>
  <c r="BI4"/>
  <c r="BF46"/>
  <c r="BF14"/>
  <c r="BG28"/>
  <c r="BI38"/>
  <c r="BI22"/>
  <c r="BI6"/>
  <c r="C83" i="7"/>
  <c r="U80"/>
  <c r="C84" s="1"/>
  <c r="C82"/>
  <c r="AF5" i="8" s="1"/>
  <c r="C85" i="7"/>
  <c r="T80"/>
  <c r="AG19" i="8"/>
  <c r="AG35"/>
  <c r="AG18"/>
  <c r="AG34"/>
  <c r="AG3"/>
  <c r="AG17"/>
  <c r="AG33"/>
  <c r="AG49"/>
  <c r="AG16"/>
  <c r="AG32"/>
  <c r="AG48"/>
  <c r="AG15"/>
  <c r="AG31"/>
  <c r="AG47"/>
  <c r="AG14"/>
  <c r="AG30"/>
  <c r="AG46"/>
  <c r="AG13"/>
  <c r="AG29"/>
  <c r="AG45"/>
  <c r="AG36"/>
  <c r="AG12"/>
  <c r="AG28"/>
  <c r="AG44"/>
  <c r="AG4"/>
  <c r="AG11"/>
  <c r="AG27"/>
  <c r="AG43"/>
  <c r="AG10"/>
  <c r="AG26"/>
  <c r="AG42"/>
  <c r="AG20"/>
  <c r="AG9"/>
  <c r="AG25"/>
  <c r="AG41"/>
  <c r="AG8"/>
  <c r="AG24"/>
  <c r="AG40"/>
  <c r="AG7"/>
  <c r="AG23"/>
  <c r="AG39"/>
  <c r="AG6"/>
  <c r="AG22"/>
  <c r="AG38"/>
  <c r="AG5"/>
  <c r="AG21"/>
  <c r="AG37"/>
  <c r="AH44"/>
  <c r="AH33"/>
  <c r="AF48"/>
  <c r="AF32"/>
  <c r="C86" i="7"/>
  <c r="AH49" i="8" s="1"/>
  <c r="AF37"/>
  <c r="AE18"/>
  <c r="AE35"/>
  <c r="AE19"/>
  <c r="AE36"/>
  <c r="AE20"/>
  <c r="AE4"/>
  <c r="AF35"/>
  <c r="AF19"/>
  <c r="AE37"/>
  <c r="AE21"/>
  <c r="AE5"/>
  <c r="AF36"/>
  <c r="BJ34"/>
  <c r="BJ18"/>
  <c r="BL46"/>
  <c r="BL30"/>
  <c r="BL14"/>
  <c r="BM44"/>
  <c r="BM28"/>
  <c r="BM12"/>
  <c r="AE39"/>
  <c r="AE23"/>
  <c r="AE7"/>
  <c r="AF38"/>
  <c r="AF6"/>
  <c r="BJ35"/>
  <c r="BJ19"/>
  <c r="BL47"/>
  <c r="BL31"/>
  <c r="BL15"/>
  <c r="BM45"/>
  <c r="BM29"/>
  <c r="BM13"/>
  <c r="AE40"/>
  <c r="AE24"/>
  <c r="AE8"/>
  <c r="AF7"/>
  <c r="AB18"/>
  <c r="BJ36"/>
  <c r="BJ20"/>
  <c r="BJ4"/>
  <c r="BL48"/>
  <c r="BL32"/>
  <c r="BL16"/>
  <c r="BM46"/>
  <c r="BM30"/>
  <c r="BM14"/>
  <c r="AE41"/>
  <c r="AE25"/>
  <c r="AE9"/>
  <c r="AF8"/>
  <c r="BJ37"/>
  <c r="BJ21"/>
  <c r="BJ5"/>
  <c r="BL49"/>
  <c r="BL33"/>
  <c r="BL17"/>
  <c r="BM47"/>
  <c r="BM31"/>
  <c r="BM15"/>
  <c r="AE42"/>
  <c r="AE26"/>
  <c r="AE10"/>
  <c r="AF41"/>
  <c r="AB35"/>
  <c r="BJ38"/>
  <c r="BJ22"/>
  <c r="BJ6"/>
  <c r="BL34"/>
  <c r="BL18"/>
  <c r="BM48"/>
  <c r="BM32"/>
  <c r="BM16"/>
  <c r="AE43"/>
  <c r="AE27"/>
  <c r="AE11"/>
  <c r="AF42"/>
  <c r="AF26"/>
  <c r="AH8"/>
  <c r="BL35"/>
  <c r="BL19"/>
  <c r="BM49"/>
  <c r="BM33"/>
  <c r="BM17"/>
  <c r="AE44"/>
  <c r="AE28"/>
  <c r="AE12"/>
  <c r="BL36"/>
  <c r="BL20"/>
  <c r="BL4"/>
  <c r="BM34"/>
  <c r="BM18"/>
  <c r="AE45"/>
  <c r="AE29"/>
  <c r="AE13"/>
  <c r="Y5"/>
  <c r="BG3"/>
  <c r="BL37"/>
  <c r="BL21"/>
  <c r="BL5"/>
  <c r="BM35"/>
  <c r="BM19"/>
  <c r="AE46"/>
  <c r="AE30"/>
  <c r="AE14"/>
  <c r="AF45"/>
  <c r="AF13"/>
  <c r="AE47"/>
  <c r="AE31"/>
  <c r="AE15"/>
  <c r="Y39"/>
  <c r="Y7"/>
  <c r="AE48"/>
  <c r="AE32"/>
  <c r="AE16"/>
  <c r="BJ3"/>
  <c r="AE49"/>
  <c r="AE33"/>
  <c r="AE17"/>
  <c r="BF37"/>
  <c r="AE3"/>
  <c r="AE34"/>
  <c r="Y42"/>
  <c r="Y26"/>
  <c r="BL3"/>
  <c r="BJ46"/>
  <c r="BJ30"/>
  <c r="BJ14"/>
  <c r="BM3"/>
  <c r="BG5"/>
  <c r="BJ47"/>
  <c r="BJ31"/>
  <c r="BJ15"/>
  <c r="BF40"/>
  <c r="BF8"/>
  <c r="BJ32"/>
  <c r="BJ16"/>
  <c r="BF41"/>
  <c r="BF25"/>
  <c r="BG39"/>
  <c r="BG7"/>
  <c r="BJ49"/>
  <c r="BJ17"/>
  <c r="AB48"/>
  <c r="AB4"/>
  <c r="BK47" s="1"/>
  <c r="Y36"/>
  <c r="Y4"/>
  <c r="Y20"/>
  <c r="AB36"/>
  <c r="AB41"/>
  <c r="Y17"/>
  <c r="AB19"/>
  <c r="Y18"/>
  <c r="AB20"/>
  <c r="AB25"/>
  <c r="Y24"/>
  <c r="AB27"/>
  <c r="AB28"/>
  <c r="Y33"/>
  <c r="Y34"/>
  <c r="Y38"/>
  <c r="Y22"/>
  <c r="Y6"/>
  <c r="AB43"/>
  <c r="AB11"/>
  <c r="AB44"/>
  <c r="AB12"/>
  <c r="Y49"/>
  <c r="Y23"/>
  <c r="AB33"/>
  <c r="Y9"/>
  <c r="Y43"/>
  <c r="Y27"/>
  <c r="Y11"/>
  <c r="AB37"/>
  <c r="AB21"/>
  <c r="AB5"/>
  <c r="Y44"/>
  <c r="AB38"/>
  <c r="AB6"/>
  <c r="Y45"/>
  <c r="Y29"/>
  <c r="Y13"/>
  <c r="AB39"/>
  <c r="AB23"/>
  <c r="AB7"/>
  <c r="Y12"/>
  <c r="AB22"/>
  <c r="Y46"/>
  <c r="Y14"/>
  <c r="AB24"/>
  <c r="AB8"/>
  <c r="Y47"/>
  <c r="Y15"/>
  <c r="Y28"/>
  <c r="Y30"/>
  <c r="AB40"/>
  <c r="Y31"/>
  <c r="Y48"/>
  <c r="Y32"/>
  <c r="Y16"/>
  <c r="AB42"/>
  <c r="AB26"/>
  <c r="AB10"/>
  <c r="AB45"/>
  <c r="AB29"/>
  <c r="AB13"/>
  <c r="BK13" s="1"/>
  <c r="Y35"/>
  <c r="Y19"/>
  <c r="BH32" l="1"/>
  <c r="BH49"/>
  <c r="BH33"/>
  <c r="BH35"/>
  <c r="BH21"/>
  <c r="BH25"/>
  <c r="AF3"/>
  <c r="AF10"/>
  <c r="AF25"/>
  <c r="AF40"/>
  <c r="AF39"/>
  <c r="AF21"/>
  <c r="AF16"/>
  <c r="AF9"/>
  <c r="AF24"/>
  <c r="AF23"/>
  <c r="AF29"/>
  <c r="AF22"/>
  <c r="AH28"/>
  <c r="AF44"/>
  <c r="AF33"/>
  <c r="AF28"/>
  <c r="AF4"/>
  <c r="AF17"/>
  <c r="AF46"/>
  <c r="AF12"/>
  <c r="AF34"/>
  <c r="AF47"/>
  <c r="AF43"/>
  <c r="AF18"/>
  <c r="AF27"/>
  <c r="AF15"/>
  <c r="AF49"/>
  <c r="AF20"/>
  <c r="AH17"/>
  <c r="AF30"/>
  <c r="AF14"/>
  <c r="AF31"/>
  <c r="AF11"/>
  <c r="AH34"/>
  <c r="AH46"/>
  <c r="AH20"/>
  <c r="AH18"/>
  <c r="AH30"/>
  <c r="AH12"/>
  <c r="AH45"/>
  <c r="AH5"/>
  <c r="AH47"/>
  <c r="AH3"/>
  <c r="AH42"/>
  <c r="AH38"/>
  <c r="AH31"/>
  <c r="AH14"/>
  <c r="AH27"/>
  <c r="AH26"/>
  <c r="AH22"/>
  <c r="AH35"/>
  <c r="AH15"/>
  <c r="AH13"/>
  <c r="AH37"/>
  <c r="AH4"/>
  <c r="AH39"/>
  <c r="AH6"/>
  <c r="AH19"/>
  <c r="AH48"/>
  <c r="AH29"/>
  <c r="AH41"/>
  <c r="AH25"/>
  <c r="AH23"/>
  <c r="AH32"/>
  <c r="AH36"/>
  <c r="AH43"/>
  <c r="AH10"/>
  <c r="AH9"/>
  <c r="AH40"/>
  <c r="AH7"/>
  <c r="AH16"/>
  <c r="AH21"/>
  <c r="AH11"/>
  <c r="AH24"/>
  <c r="BK16"/>
  <c r="BO16" s="1"/>
  <c r="BK24"/>
  <c r="BH19"/>
  <c r="BK46"/>
  <c r="BH22"/>
  <c r="BO22" s="1"/>
  <c r="BH36"/>
  <c r="BK9"/>
  <c r="BK30"/>
  <c r="BH47"/>
  <c r="BH44"/>
  <c r="BH28"/>
  <c r="BK38"/>
  <c r="BH6"/>
  <c r="BH4"/>
  <c r="BK32"/>
  <c r="BO32" s="1"/>
  <c r="BK14"/>
  <c r="BO14" s="1"/>
  <c r="BK37"/>
  <c r="BO37" s="1"/>
  <c r="BK21"/>
  <c r="BK5"/>
  <c r="BH15"/>
  <c r="BH30"/>
  <c r="BK6"/>
  <c r="BK43"/>
  <c r="BH20"/>
  <c r="BK8"/>
  <c r="BK48"/>
  <c r="BH37"/>
  <c r="BH38"/>
  <c r="BK4"/>
  <c r="BK31"/>
  <c r="BH34"/>
  <c r="BO34" s="1"/>
  <c r="BH41"/>
  <c r="BO41" s="1"/>
  <c r="BH31"/>
  <c r="BO31" s="1"/>
  <c r="BH29"/>
  <c r="BO29" s="1"/>
  <c r="BK44"/>
  <c r="BK41"/>
  <c r="BK18"/>
  <c r="BK15"/>
  <c r="BK40"/>
  <c r="BH45"/>
  <c r="BO45" s="1"/>
  <c r="BK11"/>
  <c r="BK36"/>
  <c r="BH48"/>
  <c r="BH13"/>
  <c r="BK12"/>
  <c r="BH17"/>
  <c r="BH40"/>
  <c r="BO40" s="1"/>
  <c r="BH23"/>
  <c r="BO23" s="1"/>
  <c r="BH5"/>
  <c r="BO5" s="1"/>
  <c r="BK17"/>
  <c r="BO17" s="1"/>
  <c r="BH42"/>
  <c r="BO42" s="1"/>
  <c r="BK35"/>
  <c r="BO35" s="1"/>
  <c r="BH3"/>
  <c r="BO3" s="1"/>
  <c r="BH18"/>
  <c r="BK49"/>
  <c r="BO49" s="1"/>
  <c r="BK7"/>
  <c r="BH12"/>
  <c r="BH39"/>
  <c r="BH10"/>
  <c r="BK19"/>
  <c r="BH16"/>
  <c r="BH26"/>
  <c r="BK42"/>
  <c r="BK20"/>
  <c r="BO20" s="1"/>
  <c r="BH9"/>
  <c r="BO9" s="1"/>
  <c r="BK10"/>
  <c r="BO10" s="1"/>
  <c r="BH43"/>
  <c r="BO43" s="1"/>
  <c r="BK45"/>
  <c r="BH46"/>
  <c r="BO46" s="1"/>
  <c r="BH27"/>
  <c r="BK27"/>
  <c r="BH7"/>
  <c r="BO7" s="1"/>
  <c r="BK34"/>
  <c r="BK39"/>
  <c r="BK3"/>
  <c r="BK23"/>
  <c r="BK33"/>
  <c r="BK26"/>
  <c r="BK25"/>
  <c r="BO25" s="1"/>
  <c r="BK22"/>
  <c r="BH24"/>
  <c r="BO24" s="1"/>
  <c r="BK29"/>
  <c r="BH14"/>
  <c r="BH11"/>
  <c r="BO11" s="1"/>
  <c r="BK28"/>
  <c r="BO28" s="1"/>
  <c r="BH8"/>
  <c r="BO6"/>
  <c r="BO36"/>
  <c r="BO13"/>
  <c r="BO30"/>
  <c r="BO4"/>
  <c r="BO15"/>
  <c r="BO27"/>
  <c r="BO44"/>
  <c r="BO18"/>
  <c r="BO8"/>
  <c r="BO39"/>
  <c r="BO21"/>
  <c r="BO12"/>
  <c r="BO26"/>
  <c r="BO47"/>
  <c r="BO38"/>
  <c r="BO33"/>
  <c r="BO48"/>
  <c r="BO19"/>
</calcChain>
</file>

<file path=xl/sharedStrings.xml><?xml version="1.0" encoding="utf-8"?>
<sst xmlns="http://schemas.openxmlformats.org/spreadsheetml/2006/main" count="100" uniqueCount="50">
  <si>
    <t>TOTAL_BASIC</t>
  </si>
  <si>
    <t>PER_GAME_BASIC</t>
  </si>
  <si>
    <t>Player</t>
  </si>
  <si>
    <t>G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</si>
  <si>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</si>
  <si>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</si>
  <si>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</si>
  <si>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</si>
  <si>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</si>
  <si>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</si>
  <si>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</si>
  <si>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</si>
  <si>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</si>
  <si>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</si>
  <si>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</si>
  <si>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</si>
  <si>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</si>
  <si>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</si>
  <si>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TRB</t>
  </si>
  <si>
    <t>AST</t>
  </si>
  <si>
    <t>STL</t>
  </si>
  <si>
    <t>BLK</t>
  </si>
  <si>
    <t>TOV</t>
  </si>
  <si>
    <t>PF</t>
  </si>
  <si>
    <t>PTS</t>
  </si>
  <si>
    <t>AST/TO</t>
  </si>
  <si>
    <t>TS%</t>
  </si>
  <si>
    <t>TS+</t>
  </si>
  <si>
    <t>PPP</t>
  </si>
  <si>
    <t>DATA</t>
  </si>
  <si>
    <t>CENTILE</t>
  </si>
  <si>
    <t>Statistiques de base au total classées par minutes jouées</t>
  </si>
  <si>
    <t>Statistiques de base par match classées par minutes jouées</t>
  </si>
  <si>
    <t>BLK/PF</t>
  </si>
  <si>
    <t>PPP+</t>
  </si>
  <si>
    <t>Rank</t>
  </si>
  <si>
    <t>DRB</t>
  </si>
  <si>
    <t>PPS</t>
  </si>
  <si>
    <t>MOYENNE</t>
  </si>
  <si>
    <t>SOMME</t>
  </si>
  <si>
    <t>3P% Moy</t>
  </si>
  <si>
    <t>TS Moy</t>
  </si>
  <si>
    <t>PPP Moy</t>
  </si>
  <si>
    <t>2P% Moy</t>
  </si>
  <si>
    <t>FG% Moy</t>
  </si>
  <si>
    <t>EFG% Moy</t>
  </si>
  <si>
    <t>EFG%</t>
  </si>
  <si>
    <t>FT% Moy</t>
  </si>
  <si>
    <t>EFG+</t>
  </si>
  <si>
    <t>FT+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</si>
</sst>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2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8696B"/>
      <color rgb="FF63BE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99"/>
  <sheetViews>
    <sheetView tabSelected="1" workbookViewId="0"/>
  </sheetViews>
  <sheetFormatPr baseColWidth="10" defaultColWidth="12.625" defaultRowHeight="15" customHeight="1"/>
  <cols>
    <col min="1" max="1" width="17.375" bestFit="1" customWidth="1"/>
    <col min="2" max="2" width="64.125" customWidth="1"/>
    <col min="3" max="26" width="10.625" customWidth="1"/>
  </cols>
  <sheetData>
    <row r="1" spans="1:2" ht="14.25">
      <c r="A1" s="1" t="s">
        <v>0</v>
      </c>
      <c r="B1" t="s">
        <v>31</v>
      </c>
    </row>
    <row r="2" spans="1:2" ht="14.25">
      <c r="A2" s="1" t="s">
        <v>1</v>
      </c>
      <c r="B2" t="s">
        <v>32</v>
      </c>
    </row>
    <row r="3" spans="1:2" ht="14.25">
      <c r="A3" s="1"/>
    </row>
    <row r="4" spans="1:2" ht="14.25">
      <c r="A4" s="1"/>
      <c r="B4" s="1"/>
    </row>
    <row r="6" spans="1:2" ht="15" customHeight="1">
      <c r="B6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8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U1"/>
    </sheetView>
  </sheetViews>
  <sheetFormatPr baseColWidth="10" defaultRowHeight="14.25"/>
  <cols>
    <col min="1" max="1" width="5.625" customWidth="1"/>
    <col min="2" max="2" width="18.625" customWidth="1"/>
    <col min="3" max="21" width="7.625" customWidth="1"/>
  </cols>
  <sheetData>
    <row r="1" spans="1:21" ht="26.25">
      <c r="A1" s="11" t="s">
        <v>29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spans="1:21" ht="15">
      <c r="A2" s="7" t="s">
        <v>35</v>
      </c>
      <c r="B2" s="7" t="s">
        <v>2</v>
      </c>
      <c r="C2" s="7" t="s">
        <v>3</v>
      </c>
      <c r="D2" s="7" t="s">
        <v>4</v>
      </c>
      <c r="E2" s="7" t="s">
        <v>24</v>
      </c>
      <c r="F2" s="7" t="s">
        <v>5</v>
      </c>
      <c r="G2" s="7" t="s">
        <v>6</v>
      </c>
      <c r="H2" s="7" t="s">
        <v>8</v>
      </c>
      <c r="I2" s="7" t="s">
        <v>9</v>
      </c>
      <c r="J2" s="7" t="s">
        <v>14</v>
      </c>
      <c r="K2" s="7" t="s">
        <v>15</v>
      </c>
      <c r="L2" s="7" t="s">
        <v>17</v>
      </c>
      <c r="M2" s="7" t="s">
        <v>36</v>
      </c>
      <c r="N2" s="7" t="s">
        <v>18</v>
      </c>
      <c r="O2" s="7" t="s">
        <v>19</v>
      </c>
      <c r="P2" s="7" t="s">
        <v>20</v>
      </c>
      <c r="Q2" s="7" t="s">
        <v>21</v>
      </c>
      <c r="R2" s="7" t="s">
        <v>22</v>
      </c>
      <c r="S2" s="7" t="s">
        <v>23</v>
      </c>
      <c r="T2" s="7" t="s">
        <v>11</v>
      </c>
      <c r="U2" s="7" t="s">
        <v>12</v>
      </c>
    </row>
    <row r="3" spans="1:21">
      <c r="A3" s="2"/>
      <c r="B3" s="5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>
        <f>F3-H3</f>
        <v>0</v>
      </c>
      <c r="U3" s="2">
        <f>G3-I3</f>
        <v>0</v>
      </c>
    </row>
    <row r="4" spans="1:21">
      <c r="A4" s="2"/>
      <c r="B4" s="5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>
        <f t="shared" ref="T4:T49" si="0">F4-H4</f>
        <v>0</v>
      </c>
      <c r="U4" s="2">
        <f t="shared" ref="U4:U49" si="1">G4-I4</f>
        <v>0</v>
      </c>
    </row>
    <row r="5" spans="1:21">
      <c r="A5" s="2"/>
      <c r="B5" s="5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>
        <f t="shared" si="0"/>
        <v>0</v>
      </c>
      <c r="U5" s="2">
        <f t="shared" si="1"/>
        <v>0</v>
      </c>
    </row>
    <row r="6" spans="1:21">
      <c r="A6" s="2"/>
      <c r="B6" s="5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>
        <f t="shared" si="0"/>
        <v>0</v>
      </c>
      <c r="U6" s="2">
        <f t="shared" si="1"/>
        <v>0</v>
      </c>
    </row>
    <row r="7" spans="1:21">
      <c r="A7" s="2"/>
      <c r="B7" s="5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>
        <f t="shared" si="0"/>
        <v>0</v>
      </c>
      <c r="U7" s="2">
        <f t="shared" si="1"/>
        <v>0</v>
      </c>
    </row>
    <row r="8" spans="1:21">
      <c r="A8" s="2"/>
      <c r="B8" s="5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>
        <f t="shared" si="0"/>
        <v>0</v>
      </c>
      <c r="U8" s="2">
        <f t="shared" si="1"/>
        <v>0</v>
      </c>
    </row>
    <row r="9" spans="1:21">
      <c r="A9" s="2"/>
      <c r="B9" s="5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>
        <f t="shared" si="0"/>
        <v>0</v>
      </c>
      <c r="U9" s="2">
        <f t="shared" si="1"/>
        <v>0</v>
      </c>
    </row>
    <row r="10" spans="1:21">
      <c r="A10" s="2"/>
      <c r="B10" s="5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>
        <f t="shared" si="0"/>
        <v>0</v>
      </c>
      <c r="U10" s="2">
        <f t="shared" si="1"/>
        <v>0</v>
      </c>
    </row>
    <row r="11" spans="1:21">
      <c r="A11" s="2"/>
      <c r="B11" s="5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>
        <f t="shared" si="0"/>
        <v>0</v>
      </c>
      <c r="U11" s="2">
        <f t="shared" si="1"/>
        <v>0</v>
      </c>
    </row>
    <row r="12" spans="1:21">
      <c r="A12" s="2"/>
      <c r="B12" s="5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>
        <f t="shared" si="0"/>
        <v>0</v>
      </c>
      <c r="U12" s="2">
        <f t="shared" si="1"/>
        <v>0</v>
      </c>
    </row>
    <row r="13" spans="1:21">
      <c r="A13" s="2"/>
      <c r="B13" s="5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>
        <f t="shared" si="0"/>
        <v>0</v>
      </c>
      <c r="U13" s="2">
        <f t="shared" si="1"/>
        <v>0</v>
      </c>
    </row>
    <row r="14" spans="1:21">
      <c r="A14" s="2"/>
      <c r="B14" s="5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>
        <f t="shared" si="0"/>
        <v>0</v>
      </c>
      <c r="U14" s="2">
        <f t="shared" si="1"/>
        <v>0</v>
      </c>
    </row>
    <row r="15" spans="1:21">
      <c r="A15" s="2"/>
      <c r="B15" s="5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>
        <f t="shared" si="0"/>
        <v>0</v>
      </c>
      <c r="U15" s="2">
        <f t="shared" si="1"/>
        <v>0</v>
      </c>
    </row>
    <row r="16" spans="1:21">
      <c r="A16" s="2"/>
      <c r="B16" s="5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>
        <f t="shared" si="0"/>
        <v>0</v>
      </c>
      <c r="U16" s="2">
        <f t="shared" si="1"/>
        <v>0</v>
      </c>
    </row>
    <row r="17" spans="1:21">
      <c r="A17" s="2"/>
      <c r="B17" s="5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>
        <f t="shared" si="0"/>
        <v>0</v>
      </c>
      <c r="U17" s="2">
        <f t="shared" si="1"/>
        <v>0</v>
      </c>
    </row>
    <row r="18" spans="1:21">
      <c r="A18" s="2"/>
      <c r="B18" s="5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>
        <f t="shared" si="0"/>
        <v>0</v>
      </c>
      <c r="U18" s="2">
        <f t="shared" si="1"/>
        <v>0</v>
      </c>
    </row>
    <row r="19" spans="1:21">
      <c r="A19" s="2"/>
      <c r="B19" s="5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>
        <f t="shared" si="0"/>
        <v>0</v>
      </c>
      <c r="U19" s="2">
        <f t="shared" si="1"/>
        <v>0</v>
      </c>
    </row>
    <row r="20" spans="1:21">
      <c r="A20" s="2"/>
      <c r="B20" s="5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>
        <f t="shared" si="0"/>
        <v>0</v>
      </c>
      <c r="U20" s="2">
        <f t="shared" si="1"/>
        <v>0</v>
      </c>
    </row>
    <row r="21" spans="1:21">
      <c r="A21" s="2"/>
      <c r="B21" s="5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>
        <f t="shared" si="0"/>
        <v>0</v>
      </c>
      <c r="U21" s="2">
        <f t="shared" si="1"/>
        <v>0</v>
      </c>
    </row>
    <row r="22" spans="1:21">
      <c r="A22" s="2"/>
      <c r="B22" s="5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>
        <f t="shared" si="0"/>
        <v>0</v>
      </c>
      <c r="U22" s="2">
        <f t="shared" si="1"/>
        <v>0</v>
      </c>
    </row>
    <row r="23" spans="1:21">
      <c r="A23" s="2"/>
      <c r="B23" s="5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>
        <f t="shared" si="0"/>
        <v>0</v>
      </c>
      <c r="U23" s="2">
        <f t="shared" si="1"/>
        <v>0</v>
      </c>
    </row>
    <row r="24" spans="1:21">
      <c r="A24" s="2"/>
      <c r="B24" s="5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>
        <f t="shared" si="0"/>
        <v>0</v>
      </c>
      <c r="U24" s="2">
        <f t="shared" si="1"/>
        <v>0</v>
      </c>
    </row>
    <row r="25" spans="1:21">
      <c r="A25" s="2"/>
      <c r="B25" s="5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>
        <f t="shared" si="0"/>
        <v>0</v>
      </c>
      <c r="U25" s="2">
        <f t="shared" si="1"/>
        <v>0</v>
      </c>
    </row>
    <row r="26" spans="1:21">
      <c r="A26" s="2"/>
      <c r="B26" s="5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>
        <f t="shared" si="0"/>
        <v>0</v>
      </c>
      <c r="U26" s="2">
        <f t="shared" si="1"/>
        <v>0</v>
      </c>
    </row>
    <row r="27" spans="1:21">
      <c r="A27" s="2"/>
      <c r="B27" s="5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>
        <f t="shared" si="0"/>
        <v>0</v>
      </c>
      <c r="U27" s="2">
        <f t="shared" si="1"/>
        <v>0</v>
      </c>
    </row>
    <row r="28" spans="1:21">
      <c r="A28" s="2"/>
      <c r="B28" s="5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>
        <f t="shared" si="0"/>
        <v>0</v>
      </c>
      <c r="U28" s="2">
        <f t="shared" si="1"/>
        <v>0</v>
      </c>
    </row>
    <row r="29" spans="1:21">
      <c r="A29" s="2"/>
      <c r="B29" s="5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>
        <f t="shared" si="0"/>
        <v>0</v>
      </c>
      <c r="U29" s="2">
        <f t="shared" si="1"/>
        <v>0</v>
      </c>
    </row>
    <row r="30" spans="1:21">
      <c r="A30" s="2"/>
      <c r="B30" s="5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>
        <f t="shared" si="0"/>
        <v>0</v>
      </c>
      <c r="U30" s="2">
        <f t="shared" si="1"/>
        <v>0</v>
      </c>
    </row>
    <row r="31" spans="1:21">
      <c r="A31" s="2"/>
      <c r="B31" s="5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>
        <f t="shared" si="0"/>
        <v>0</v>
      </c>
      <c r="U31" s="2">
        <f t="shared" si="1"/>
        <v>0</v>
      </c>
    </row>
    <row r="32" spans="1:21">
      <c r="A32" s="2"/>
      <c r="B32" s="5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>
        <f t="shared" si="0"/>
        <v>0</v>
      </c>
      <c r="U32" s="2">
        <f t="shared" si="1"/>
        <v>0</v>
      </c>
    </row>
    <row r="33" spans="1:21">
      <c r="A33" s="2"/>
      <c r="B33" s="5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>
        <f t="shared" si="0"/>
        <v>0</v>
      </c>
      <c r="U33" s="2">
        <f t="shared" si="1"/>
        <v>0</v>
      </c>
    </row>
    <row r="34" spans="1:21">
      <c r="A34" s="2"/>
      <c r="B34" s="5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>
        <f t="shared" si="0"/>
        <v>0</v>
      </c>
      <c r="U34" s="2">
        <f t="shared" si="1"/>
        <v>0</v>
      </c>
    </row>
    <row r="35" spans="1:21">
      <c r="A35" s="2"/>
      <c r="B35" s="5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>
        <f t="shared" si="0"/>
        <v>0</v>
      </c>
      <c r="U35" s="2">
        <f t="shared" si="1"/>
        <v>0</v>
      </c>
    </row>
    <row r="36" spans="1:21">
      <c r="A36" s="2"/>
      <c r="B36" s="5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>
        <f t="shared" si="0"/>
        <v>0</v>
      </c>
      <c r="U36" s="2">
        <f t="shared" si="1"/>
        <v>0</v>
      </c>
    </row>
    <row r="37" spans="1:21">
      <c r="A37" s="2"/>
      <c r="B37" s="5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>
        <f t="shared" si="0"/>
        <v>0</v>
      </c>
      <c r="U37" s="2">
        <f t="shared" si="1"/>
        <v>0</v>
      </c>
    </row>
    <row r="38" spans="1:21">
      <c r="A38" s="2"/>
      <c r="B38" s="5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>
        <f t="shared" si="0"/>
        <v>0</v>
      </c>
      <c r="U38" s="2">
        <f t="shared" si="1"/>
        <v>0</v>
      </c>
    </row>
    <row r="39" spans="1:21">
      <c r="A39" s="2"/>
      <c r="B39" s="5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>
        <f t="shared" si="0"/>
        <v>0</v>
      </c>
      <c r="U39" s="2">
        <f t="shared" si="1"/>
        <v>0</v>
      </c>
    </row>
    <row r="40" spans="1:21">
      <c r="A40" s="2"/>
      <c r="B40" s="5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>
        <f t="shared" si="0"/>
        <v>0</v>
      </c>
      <c r="U40" s="2">
        <f t="shared" si="1"/>
        <v>0</v>
      </c>
    </row>
    <row r="41" spans="1:21">
      <c r="A41" s="2"/>
      <c r="B41" s="5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>
        <f t="shared" si="0"/>
        <v>0</v>
      </c>
      <c r="U41" s="2">
        <f t="shared" si="1"/>
        <v>0</v>
      </c>
    </row>
    <row r="42" spans="1:21">
      <c r="A42" s="2"/>
      <c r="B42" s="5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>
        <f t="shared" si="0"/>
        <v>0</v>
      </c>
      <c r="U42" s="2">
        <f t="shared" si="1"/>
        <v>0</v>
      </c>
    </row>
    <row r="43" spans="1:21">
      <c r="A43" s="2"/>
      <c r="B43" s="5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>
        <f t="shared" si="0"/>
        <v>0</v>
      </c>
      <c r="U43" s="2">
        <f t="shared" si="1"/>
        <v>0</v>
      </c>
    </row>
    <row r="44" spans="1:21">
      <c r="A44" s="2"/>
      <c r="B44" s="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>
        <f t="shared" si="0"/>
        <v>0</v>
      </c>
      <c r="U44" s="2">
        <f t="shared" si="1"/>
        <v>0</v>
      </c>
    </row>
    <row r="45" spans="1:21">
      <c r="A45" s="2"/>
      <c r="B45" s="5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>
        <f t="shared" si="0"/>
        <v>0</v>
      </c>
      <c r="U45" s="2">
        <f t="shared" si="1"/>
        <v>0</v>
      </c>
    </row>
    <row r="46" spans="1:21">
      <c r="A46" s="2"/>
      <c r="B46" s="5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>
        <f t="shared" si="0"/>
        <v>0</v>
      </c>
      <c r="U46" s="2">
        <f t="shared" si="1"/>
        <v>0</v>
      </c>
    </row>
    <row r="47" spans="1:21">
      <c r="A47" s="2"/>
      <c r="B47" s="5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>
        <f t="shared" si="0"/>
        <v>0</v>
      </c>
      <c r="U47" s="2">
        <f t="shared" si="1"/>
        <v>0</v>
      </c>
    </row>
    <row r="48" spans="1:21">
      <c r="A48" s="2"/>
      <c r="B48" s="5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>
        <f t="shared" si="0"/>
        <v>0</v>
      </c>
      <c r="U48" s="2">
        <f t="shared" si="1"/>
        <v>0</v>
      </c>
    </row>
    <row r="49" spans="1:21">
      <c r="A49" s="2"/>
      <c r="B49" s="5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>
        <f t="shared" si="0"/>
        <v>0</v>
      </c>
      <c r="U49" s="2">
        <f t="shared" si="1"/>
        <v>0</v>
      </c>
    </row>
    <row r="80" spans="2:31">
      <c r="B80" t="s">
        <v>39</v>
      </c>
      <c r="C80" s="6">
        <f>SUM(C3:C49)</f>
        <v>0</v>
      </c>
      <c r="D80" s="6">
        <f t="shared" ref="D80:U80" si="2">SUM(D3:D49)</f>
        <v>0</v>
      </c>
      <c r="E80" s="6">
        <f t="shared" si="2"/>
        <v>0</v>
      </c>
      <c r="F80" s="6">
        <f t="shared" si="2"/>
        <v>0</v>
      </c>
      <c r="G80" s="6">
        <f t="shared" si="2"/>
        <v>0</v>
      </c>
      <c r="H80" s="6">
        <f t="shared" si="2"/>
        <v>0</v>
      </c>
      <c r="I80" s="6">
        <f t="shared" si="2"/>
        <v>0</v>
      </c>
      <c r="J80" s="6">
        <f t="shared" si="2"/>
        <v>0</v>
      </c>
      <c r="K80" s="6">
        <f t="shared" si="2"/>
        <v>0</v>
      </c>
      <c r="L80" s="6">
        <f t="shared" si="2"/>
        <v>0</v>
      </c>
      <c r="M80" s="6">
        <f t="shared" si="2"/>
        <v>0</v>
      </c>
      <c r="N80" s="6">
        <f t="shared" si="2"/>
        <v>0</v>
      </c>
      <c r="O80" s="6">
        <f t="shared" si="2"/>
        <v>0</v>
      </c>
      <c r="P80" s="6">
        <f t="shared" si="2"/>
        <v>0</v>
      </c>
      <c r="Q80" s="6">
        <f t="shared" si="2"/>
        <v>0</v>
      </c>
      <c r="R80" s="6">
        <f t="shared" si="2"/>
        <v>0</v>
      </c>
      <c r="S80" s="6">
        <f t="shared" si="2"/>
        <v>0</v>
      </c>
      <c r="T80" s="6">
        <f t="shared" si="2"/>
        <v>0</v>
      </c>
      <c r="U80" s="6">
        <f t="shared" si="2"/>
        <v>0</v>
      </c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 spans="2:31">
      <c r="B81" t="s">
        <v>41</v>
      </c>
      <c r="C81" s="9" t="e">
        <f>100*(E80)/(2*(G80+0.44*K80))</f>
        <v>#DIV/0!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</row>
    <row r="82" spans="2:31">
      <c r="B82" t="s">
        <v>42</v>
      </c>
      <c r="C82" s="6" t="e">
        <f>(E80)/((G80+0.44*K80+R80))</f>
        <v>#DIV/0!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</row>
    <row r="83" spans="2:31">
      <c r="B83" t="s">
        <v>40</v>
      </c>
      <c r="C83" s="9" t="e">
        <f>100*(H80/I80)</f>
        <v>#DIV/0!</v>
      </c>
    </row>
    <row r="84" spans="2:31">
      <c r="B84" t="s">
        <v>43</v>
      </c>
      <c r="C84" s="9" t="e">
        <f>100*(T80/U80)</f>
        <v>#DIV/0!</v>
      </c>
    </row>
    <row r="85" spans="2:31">
      <c r="B85" t="s">
        <v>44</v>
      </c>
      <c r="C85" s="9" t="e">
        <f>100*(F80/G80)</f>
        <v>#DIV/0!</v>
      </c>
    </row>
    <row r="86" spans="2:31">
      <c r="B86" t="s">
        <v>45</v>
      </c>
      <c r="C86" s="9" t="e">
        <f>100*(F80+0.5*H80)/(G80)</f>
        <v>#DIV/0!</v>
      </c>
    </row>
    <row r="87" spans="2:31">
      <c r="B87" t="s">
        <v>47</v>
      </c>
      <c r="C87" s="9" t="e">
        <f>100*(J80/K80)</f>
        <v>#DIV/0!</v>
      </c>
    </row>
  </sheetData>
  <autoFilter ref="A2:U2"/>
  <mergeCells count="1">
    <mergeCell ref="A1:U1"/>
  </mergeCells>
  <conditionalFormatting sqref="C3:C78">
    <cfRule type="colorScale" priority="20">
      <colorScale>
        <cfvo type="min" val="0"/>
        <cfvo type="percentile" val="50"/>
        <cfvo type="max" val="0"/>
        <color rgb="FFF8696B"/>
        <color theme="0" tint="-4.9989318521683403E-2"/>
        <color rgb="FF63BE7B"/>
      </colorScale>
    </cfRule>
  </conditionalFormatting>
  <conditionalFormatting sqref="D3:D78">
    <cfRule type="colorScale" priority="1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E3:E78">
    <cfRule type="colorScale" priority="1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F3:F78">
    <cfRule type="colorScale" priority="1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G3:G78">
    <cfRule type="colorScale" priority="1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H3:H78">
    <cfRule type="colorScale" priority="1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I3:I78">
    <cfRule type="colorScale" priority="1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J3:J78">
    <cfRule type="colorScale" priority="1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K3:K78">
    <cfRule type="colorScale" priority="1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L3:L78">
    <cfRule type="colorScale" priority="1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M3:M78">
    <cfRule type="colorScale" priority="1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N3:N78">
    <cfRule type="colorScale" priority="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O3:O78">
    <cfRule type="colorScale" priority="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P3:P78">
    <cfRule type="colorScale" priority="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Q3:Q78">
    <cfRule type="colorScale" priority="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T3:T78">
    <cfRule type="colorScale" priority="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U3:U78">
    <cfRule type="colorScale" priority="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R3:R78">
    <cfRule type="colorScale" priority="2">
      <colorScale>
        <cfvo type="min" val="0"/>
        <cfvo type="percentile" val="50"/>
        <cfvo type="max" val="0"/>
        <color rgb="FF63BE7B"/>
        <color theme="0"/>
        <color rgb="FFF8696B"/>
      </colorScale>
    </cfRule>
  </conditionalFormatting>
  <conditionalFormatting sqref="S3:S78">
    <cfRule type="colorScale" priority="1">
      <colorScale>
        <cfvo type="min" val="0"/>
        <cfvo type="percentile" val="50"/>
        <cfvo type="max" val="0"/>
        <color rgb="FF63BE7B"/>
        <color theme="0"/>
        <color rgb="FFFF0000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O8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AI1"/>
    </sheetView>
  </sheetViews>
  <sheetFormatPr baseColWidth="10" defaultRowHeight="14.25"/>
  <cols>
    <col min="1" max="1" width="5.625" customWidth="1"/>
    <col min="2" max="2" width="18.625" customWidth="1"/>
    <col min="3" max="25" width="6.625" customWidth="1"/>
    <col min="26" max="36" width="7.625" customWidth="1"/>
    <col min="37" max="38" width="8.625" customWidth="1"/>
    <col min="39" max="60" width="6.625" customWidth="1"/>
    <col min="61" max="66" width="7.625" customWidth="1"/>
  </cols>
  <sheetData>
    <row r="1" spans="1:67" ht="26.25">
      <c r="A1" s="11" t="s">
        <v>29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0"/>
      <c r="AM1" s="12" t="s">
        <v>30</v>
      </c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</row>
    <row r="2" spans="1:67" ht="30">
      <c r="A2" s="7" t="s">
        <v>35</v>
      </c>
      <c r="B2" s="7" t="s">
        <v>2</v>
      </c>
      <c r="C2" s="7" t="s">
        <v>3</v>
      </c>
      <c r="D2" s="7" t="s">
        <v>4</v>
      </c>
      <c r="E2" s="7" t="s">
        <v>24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14</v>
      </c>
      <c r="M2" s="7" t="s">
        <v>15</v>
      </c>
      <c r="N2" s="7" t="s">
        <v>16</v>
      </c>
      <c r="O2" s="7" t="s">
        <v>17</v>
      </c>
      <c r="P2" s="7" t="s">
        <v>36</v>
      </c>
      <c r="Q2" s="7" t="s">
        <v>18</v>
      </c>
      <c r="R2" s="7" t="s">
        <v>19</v>
      </c>
      <c r="S2" s="7" t="s">
        <v>20</v>
      </c>
      <c r="T2" s="7" t="s">
        <v>21</v>
      </c>
      <c r="U2" s="7" t="s">
        <v>22</v>
      </c>
      <c r="V2" s="7" t="s">
        <v>23</v>
      </c>
      <c r="W2" s="7" t="s">
        <v>11</v>
      </c>
      <c r="X2" s="7" t="s">
        <v>12</v>
      </c>
      <c r="Y2" s="7" t="s">
        <v>13</v>
      </c>
      <c r="Z2" s="7" t="s">
        <v>25</v>
      </c>
      <c r="AA2" s="7" t="s">
        <v>26</v>
      </c>
      <c r="AB2" s="7" t="s">
        <v>37</v>
      </c>
      <c r="AC2" s="7" t="s">
        <v>28</v>
      </c>
      <c r="AD2" s="7" t="s">
        <v>46</v>
      </c>
      <c r="AE2" s="7" t="s">
        <v>27</v>
      </c>
      <c r="AF2" s="7" t="s">
        <v>34</v>
      </c>
      <c r="AG2" s="7" t="s">
        <v>49</v>
      </c>
      <c r="AH2" s="7" t="s">
        <v>48</v>
      </c>
      <c r="AI2" s="7" t="s">
        <v>33</v>
      </c>
      <c r="AJ2" s="7"/>
      <c r="AM2" s="7" t="s">
        <v>4</v>
      </c>
      <c r="AN2" s="7" t="s">
        <v>24</v>
      </c>
      <c r="AO2" s="7" t="s">
        <v>5</v>
      </c>
      <c r="AP2" s="7" t="s">
        <v>6</v>
      </c>
      <c r="AQ2" s="7" t="s">
        <v>7</v>
      </c>
      <c r="AR2" s="7" t="s">
        <v>8</v>
      </c>
      <c r="AS2" s="7" t="s">
        <v>9</v>
      </c>
      <c r="AT2" s="7" t="s">
        <v>10</v>
      </c>
      <c r="AU2" s="7" t="s">
        <v>14</v>
      </c>
      <c r="AV2" s="7" t="s">
        <v>15</v>
      </c>
      <c r="AW2" s="7" t="s">
        <v>16</v>
      </c>
      <c r="AX2" s="7" t="s">
        <v>17</v>
      </c>
      <c r="AY2" s="7" t="s">
        <v>36</v>
      </c>
      <c r="AZ2" s="7" t="s">
        <v>18</v>
      </c>
      <c r="BA2" s="7" t="s">
        <v>19</v>
      </c>
      <c r="BB2" s="7" t="s">
        <v>20</v>
      </c>
      <c r="BC2" s="7" t="s">
        <v>21</v>
      </c>
      <c r="BD2" s="7" t="s">
        <v>22</v>
      </c>
      <c r="BE2" s="7" t="s">
        <v>23</v>
      </c>
      <c r="BF2" s="7" t="s">
        <v>11</v>
      </c>
      <c r="BG2" s="7" t="s">
        <v>12</v>
      </c>
      <c r="BH2" s="7" t="s">
        <v>13</v>
      </c>
      <c r="BI2" s="7" t="s">
        <v>25</v>
      </c>
      <c r="BJ2" s="7" t="s">
        <v>26</v>
      </c>
      <c r="BK2" s="7" t="s">
        <v>37</v>
      </c>
      <c r="BL2" s="7" t="s">
        <v>28</v>
      </c>
      <c r="BM2" s="7" t="s">
        <v>46</v>
      </c>
      <c r="BN2" s="7" t="s">
        <v>33</v>
      </c>
      <c r="BO2" s="7" t="s">
        <v>38</v>
      </c>
    </row>
    <row r="3" spans="1:67">
      <c r="A3" s="2"/>
      <c r="B3" s="5"/>
      <c r="C3" s="2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>
        <f>F3-I3</f>
        <v>0</v>
      </c>
      <c r="X3" s="9">
        <f>G3-J3</f>
        <v>0</v>
      </c>
      <c r="Y3" s="9" t="str">
        <f>IF(X3=0,"0",(W3/X3)*100)</f>
        <v>0</v>
      </c>
      <c r="Z3" s="6" t="str">
        <f>IF(U3=0,"0",R3/U3)</f>
        <v>0</v>
      </c>
      <c r="AA3" s="9" t="e">
        <f>100*(E3)/(2*(G3+0.44*M3))</f>
        <v>#DIV/0!</v>
      </c>
      <c r="AB3" s="6" t="e">
        <f>2*AA3/100</f>
        <v>#DIV/0!</v>
      </c>
      <c r="AC3" s="6" t="e">
        <f>(E3)/(G3+0.44*M3+U3)</f>
        <v>#DIV/0!</v>
      </c>
      <c r="AD3" s="9" t="e">
        <f>100*(F3+0.5*I3)/(G3)</f>
        <v>#DIV/0!</v>
      </c>
      <c r="AE3" s="4" t="e">
        <f>100*(AA3/TOTAL_BASIC!$C$81)</f>
        <v>#DIV/0!</v>
      </c>
      <c r="AF3" s="4" t="e">
        <f>100*AC3/TOTAL_BASIC!$C$82</f>
        <v>#DIV/0!</v>
      </c>
      <c r="AG3" s="4" t="e">
        <f>100*N3/TOTAL_BASIC!$C$87</f>
        <v>#DIV/0!</v>
      </c>
      <c r="AH3" s="4" t="e">
        <f>100*AD3/TOTAL_BASIC!$C$86</f>
        <v>#DIV/0!</v>
      </c>
      <c r="AI3" s="3" t="e">
        <f>T3/V3</f>
        <v>#DIV/0!</v>
      </c>
      <c r="AJ3" s="3"/>
      <c r="AM3" s="4" t="e">
        <f>(PERCENTRANK(D$3:D$78,D3))*100</f>
        <v>#N/A</v>
      </c>
      <c r="AN3" s="4" t="e">
        <f t="shared" ref="AN3:BM18" si="0">(PERCENTRANK(E$3:E$78,E3))*100</f>
        <v>#N/A</v>
      </c>
      <c r="AO3" s="4" t="e">
        <f t="shared" si="0"/>
        <v>#N/A</v>
      </c>
      <c r="AP3" s="4" t="e">
        <f t="shared" si="0"/>
        <v>#N/A</v>
      </c>
      <c r="AQ3" s="4" t="e">
        <f t="shared" si="0"/>
        <v>#N/A</v>
      </c>
      <c r="AR3" s="4" t="e">
        <f t="shared" si="0"/>
        <v>#N/A</v>
      </c>
      <c r="AS3" s="4" t="e">
        <f t="shared" si="0"/>
        <v>#N/A</v>
      </c>
      <c r="AT3" s="4" t="e">
        <f t="shared" si="0"/>
        <v>#N/A</v>
      </c>
      <c r="AU3" s="4" t="e">
        <f t="shared" si="0"/>
        <v>#N/A</v>
      </c>
      <c r="AV3" s="4" t="e">
        <f t="shared" si="0"/>
        <v>#N/A</v>
      </c>
      <c r="AW3" s="4" t="e">
        <f t="shared" si="0"/>
        <v>#N/A</v>
      </c>
      <c r="AX3" s="4" t="e">
        <f t="shared" si="0"/>
        <v>#N/A</v>
      </c>
      <c r="AY3" s="4" t="e">
        <f t="shared" si="0"/>
        <v>#N/A</v>
      </c>
      <c r="AZ3" s="4" t="e">
        <f t="shared" si="0"/>
        <v>#N/A</v>
      </c>
      <c r="BA3" s="4" t="e">
        <f t="shared" si="0"/>
        <v>#N/A</v>
      </c>
      <c r="BB3" s="4" t="e">
        <f t="shared" si="0"/>
        <v>#N/A</v>
      </c>
      <c r="BC3" s="4" t="e">
        <f t="shared" si="0"/>
        <v>#N/A</v>
      </c>
      <c r="BD3" s="4" t="e">
        <f>100-(PERCENTRANK(U$3:U$78,U3))*100</f>
        <v>#N/A</v>
      </c>
      <c r="BE3" s="4" t="e">
        <f>100-(PERCENTRANK(V$3:V$78,V3))*100</f>
        <v>#N/A</v>
      </c>
      <c r="BF3" s="4">
        <f t="shared" si="0"/>
        <v>0</v>
      </c>
      <c r="BG3" s="4">
        <f t="shared" si="0"/>
        <v>0</v>
      </c>
      <c r="BH3" s="4" t="e">
        <f t="shared" si="0"/>
        <v>#N/A</v>
      </c>
      <c r="BI3" s="4" t="e">
        <f t="shared" si="0"/>
        <v>#N/A</v>
      </c>
      <c r="BJ3" s="4" t="e">
        <f t="shared" si="0"/>
        <v>#DIV/0!</v>
      </c>
      <c r="BK3" s="4" t="e">
        <f t="shared" si="0"/>
        <v>#DIV/0!</v>
      </c>
      <c r="BL3" s="4" t="e">
        <f t="shared" si="0"/>
        <v>#DIV/0!</v>
      </c>
      <c r="BM3" s="4" t="e">
        <f t="shared" si="0"/>
        <v>#DIV/0!</v>
      </c>
      <c r="BN3" s="4" t="e">
        <f t="shared" ref="BN3:BN49" si="1">(PERCENTRANK(AI$3:AI$78,AI3))*100</f>
        <v>#DIV/0!</v>
      </c>
      <c r="BO3" s="4" t="e">
        <f>AVERAGE(AM3:BN3)</f>
        <v>#N/A</v>
      </c>
    </row>
    <row r="4" spans="1:67">
      <c r="A4" s="2"/>
      <c r="B4" s="5"/>
      <c r="C4" s="2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>
        <f t="shared" ref="W4:W49" si="2">F4-I4</f>
        <v>0</v>
      </c>
      <c r="X4" s="9">
        <f t="shared" ref="X4:X49" si="3">G4-J4</f>
        <v>0</v>
      </c>
      <c r="Y4" s="9" t="str">
        <f t="shared" ref="Y4:Y49" si="4">IF(X4=0,"0",(W4/X4)*100)</f>
        <v>0</v>
      </c>
      <c r="Z4" s="6" t="str">
        <f t="shared" ref="Z4:Z49" si="5">IF(U4=0,"0",R4/U4)</f>
        <v>0</v>
      </c>
      <c r="AA4" s="9" t="e">
        <f t="shared" ref="AA4:AA49" si="6">100*(E4)/(2*(G4+0.44*M4))</f>
        <v>#DIV/0!</v>
      </c>
      <c r="AB4" s="6" t="e">
        <f t="shared" ref="AB4:AB49" si="7">2*AA4/100</f>
        <v>#DIV/0!</v>
      </c>
      <c r="AC4" s="6" t="e">
        <f t="shared" ref="AC4:AC49" si="8">(E4)/(G4+0.44*M4+U4)</f>
        <v>#DIV/0!</v>
      </c>
      <c r="AD4" s="9" t="e">
        <f t="shared" ref="AD4:AD49" si="9">100*(F4+0.5*I4)/(G4)</f>
        <v>#DIV/0!</v>
      </c>
      <c r="AE4" s="4" t="e">
        <f>100*(AA4/TOTAL_BASIC!$C$81)</f>
        <v>#DIV/0!</v>
      </c>
      <c r="AF4" s="4" t="e">
        <f>100*AC4/TOTAL_BASIC!$C$82</f>
        <v>#DIV/0!</v>
      </c>
      <c r="AG4" s="4" t="e">
        <f>100*N4/TOTAL_BASIC!$C$87</f>
        <v>#DIV/0!</v>
      </c>
      <c r="AH4" s="4" t="e">
        <f>100*AD4/TOTAL_BASIC!$C$86</f>
        <v>#DIV/0!</v>
      </c>
      <c r="AI4" s="3" t="e">
        <f t="shared" ref="AI4:AI49" si="10">T4/V4</f>
        <v>#DIV/0!</v>
      </c>
      <c r="AJ4" s="3"/>
      <c r="AM4" s="4" t="e">
        <f t="shared" ref="AM4:AT49" si="11">(PERCENTRANK(D$3:D$78,D4))*100</f>
        <v>#N/A</v>
      </c>
      <c r="AN4" s="4" t="e">
        <f t="shared" si="0"/>
        <v>#N/A</v>
      </c>
      <c r="AO4" s="4" t="e">
        <f t="shared" si="0"/>
        <v>#N/A</v>
      </c>
      <c r="AP4" s="4" t="e">
        <f t="shared" si="0"/>
        <v>#N/A</v>
      </c>
      <c r="AQ4" s="4" t="e">
        <f t="shared" si="0"/>
        <v>#N/A</v>
      </c>
      <c r="AR4" s="4" t="e">
        <f t="shared" si="0"/>
        <v>#N/A</v>
      </c>
      <c r="AS4" s="4" t="e">
        <f t="shared" si="0"/>
        <v>#N/A</v>
      </c>
      <c r="AT4" s="4" t="e">
        <f t="shared" si="0"/>
        <v>#N/A</v>
      </c>
      <c r="AU4" s="4" t="e">
        <f t="shared" si="0"/>
        <v>#N/A</v>
      </c>
      <c r="AV4" s="4" t="e">
        <f t="shared" si="0"/>
        <v>#N/A</v>
      </c>
      <c r="AW4" s="4" t="e">
        <f t="shared" si="0"/>
        <v>#N/A</v>
      </c>
      <c r="AX4" s="4" t="e">
        <f t="shared" si="0"/>
        <v>#N/A</v>
      </c>
      <c r="AY4" s="4" t="e">
        <f t="shared" si="0"/>
        <v>#N/A</v>
      </c>
      <c r="AZ4" s="4" t="e">
        <f t="shared" si="0"/>
        <v>#N/A</v>
      </c>
      <c r="BA4" s="4" t="e">
        <f t="shared" si="0"/>
        <v>#N/A</v>
      </c>
      <c r="BB4" s="4" t="e">
        <f t="shared" si="0"/>
        <v>#N/A</v>
      </c>
      <c r="BC4" s="4" t="e">
        <f t="shared" ref="BC4:BH49" si="12">(PERCENTRANK(T$3:T$78,T4))*100</f>
        <v>#N/A</v>
      </c>
      <c r="BD4" s="4" t="e">
        <f t="shared" ref="BD4:BD49" si="13">100-(PERCENTRANK(U$3:U$78,U4))*100</f>
        <v>#N/A</v>
      </c>
      <c r="BE4" s="4" t="e">
        <f t="shared" ref="BE4:BE49" si="14">100-(PERCENTRANK(V$3:V$78,V4))*100</f>
        <v>#N/A</v>
      </c>
      <c r="BF4" s="4">
        <f t="shared" si="12"/>
        <v>0</v>
      </c>
      <c r="BG4" s="4">
        <f t="shared" si="12"/>
        <v>0</v>
      </c>
      <c r="BH4" s="4" t="e">
        <f t="shared" si="12"/>
        <v>#N/A</v>
      </c>
      <c r="BI4" s="4" t="e">
        <f t="shared" ref="BI4:BM49" si="15">(PERCENTRANK(Z$3:Z$78,Z4))*100</f>
        <v>#N/A</v>
      </c>
      <c r="BJ4" s="4" t="e">
        <f t="shared" si="15"/>
        <v>#DIV/0!</v>
      </c>
      <c r="BK4" s="4" t="e">
        <f t="shared" si="15"/>
        <v>#DIV/0!</v>
      </c>
      <c r="BL4" s="4" t="e">
        <f t="shared" si="15"/>
        <v>#DIV/0!</v>
      </c>
      <c r="BM4" s="4" t="e">
        <f t="shared" si="15"/>
        <v>#DIV/0!</v>
      </c>
      <c r="BN4" s="4" t="e">
        <f t="shared" si="1"/>
        <v>#DIV/0!</v>
      </c>
      <c r="BO4" s="4" t="e">
        <f t="shared" ref="BO4:BO49" si="16">AVERAGE(AM4:BN4)</f>
        <v>#N/A</v>
      </c>
    </row>
    <row r="5" spans="1:67">
      <c r="A5" s="2"/>
      <c r="B5" s="5"/>
      <c r="C5" s="2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>
        <f t="shared" si="2"/>
        <v>0</v>
      </c>
      <c r="X5" s="9">
        <f t="shared" si="3"/>
        <v>0</v>
      </c>
      <c r="Y5" s="9" t="str">
        <f t="shared" si="4"/>
        <v>0</v>
      </c>
      <c r="Z5" s="6" t="str">
        <f t="shared" si="5"/>
        <v>0</v>
      </c>
      <c r="AA5" s="9" t="e">
        <f t="shared" si="6"/>
        <v>#DIV/0!</v>
      </c>
      <c r="AB5" s="6" t="e">
        <f t="shared" si="7"/>
        <v>#DIV/0!</v>
      </c>
      <c r="AC5" s="6" t="e">
        <f t="shared" si="8"/>
        <v>#DIV/0!</v>
      </c>
      <c r="AD5" s="9" t="e">
        <f t="shared" si="9"/>
        <v>#DIV/0!</v>
      </c>
      <c r="AE5" s="4" t="e">
        <f>100*(AA5/TOTAL_BASIC!$C$81)</f>
        <v>#DIV/0!</v>
      </c>
      <c r="AF5" s="4" t="e">
        <f>100*AC5/TOTAL_BASIC!$C$82</f>
        <v>#DIV/0!</v>
      </c>
      <c r="AG5" s="4" t="e">
        <f>100*N5/TOTAL_BASIC!$C$87</f>
        <v>#DIV/0!</v>
      </c>
      <c r="AH5" s="4" t="e">
        <f>100*AD5/TOTAL_BASIC!$C$86</f>
        <v>#DIV/0!</v>
      </c>
      <c r="AI5" s="3" t="e">
        <f t="shared" si="10"/>
        <v>#DIV/0!</v>
      </c>
      <c r="AJ5" s="3"/>
      <c r="AM5" s="4" t="e">
        <f t="shared" si="11"/>
        <v>#N/A</v>
      </c>
      <c r="AN5" s="4" t="e">
        <f t="shared" si="0"/>
        <v>#N/A</v>
      </c>
      <c r="AO5" s="4" t="e">
        <f t="shared" si="0"/>
        <v>#N/A</v>
      </c>
      <c r="AP5" s="4" t="e">
        <f t="shared" si="0"/>
        <v>#N/A</v>
      </c>
      <c r="AQ5" s="4" t="e">
        <f t="shared" si="0"/>
        <v>#N/A</v>
      </c>
      <c r="AR5" s="4" t="e">
        <f t="shared" si="0"/>
        <v>#N/A</v>
      </c>
      <c r="AS5" s="4" t="e">
        <f t="shared" si="0"/>
        <v>#N/A</v>
      </c>
      <c r="AT5" s="4" t="e">
        <f t="shared" si="0"/>
        <v>#N/A</v>
      </c>
      <c r="AU5" s="4" t="e">
        <f t="shared" si="0"/>
        <v>#N/A</v>
      </c>
      <c r="AV5" s="4" t="e">
        <f t="shared" si="0"/>
        <v>#N/A</v>
      </c>
      <c r="AW5" s="4" t="e">
        <f t="shared" si="0"/>
        <v>#N/A</v>
      </c>
      <c r="AX5" s="4" t="e">
        <f t="shared" si="0"/>
        <v>#N/A</v>
      </c>
      <c r="AY5" s="4" t="e">
        <f t="shared" si="0"/>
        <v>#N/A</v>
      </c>
      <c r="AZ5" s="4" t="e">
        <f t="shared" si="0"/>
        <v>#N/A</v>
      </c>
      <c r="BA5" s="4" t="e">
        <f t="shared" si="0"/>
        <v>#N/A</v>
      </c>
      <c r="BB5" s="4" t="e">
        <f t="shared" si="0"/>
        <v>#N/A</v>
      </c>
      <c r="BC5" s="4" t="e">
        <f t="shared" si="12"/>
        <v>#N/A</v>
      </c>
      <c r="BD5" s="4" t="e">
        <f t="shared" si="13"/>
        <v>#N/A</v>
      </c>
      <c r="BE5" s="4" t="e">
        <f t="shared" si="14"/>
        <v>#N/A</v>
      </c>
      <c r="BF5" s="4">
        <f t="shared" si="12"/>
        <v>0</v>
      </c>
      <c r="BG5" s="4">
        <f t="shared" si="12"/>
        <v>0</v>
      </c>
      <c r="BH5" s="4" t="e">
        <f t="shared" si="12"/>
        <v>#N/A</v>
      </c>
      <c r="BI5" s="4" t="e">
        <f t="shared" si="15"/>
        <v>#N/A</v>
      </c>
      <c r="BJ5" s="4" t="e">
        <f t="shared" si="15"/>
        <v>#DIV/0!</v>
      </c>
      <c r="BK5" s="4" t="e">
        <f t="shared" si="15"/>
        <v>#DIV/0!</v>
      </c>
      <c r="BL5" s="4" t="e">
        <f t="shared" si="15"/>
        <v>#DIV/0!</v>
      </c>
      <c r="BM5" s="4" t="e">
        <f t="shared" si="15"/>
        <v>#DIV/0!</v>
      </c>
      <c r="BN5" s="4" t="e">
        <f t="shared" si="1"/>
        <v>#DIV/0!</v>
      </c>
      <c r="BO5" s="4" t="e">
        <f t="shared" si="16"/>
        <v>#N/A</v>
      </c>
    </row>
    <row r="6" spans="1:67">
      <c r="A6" s="2"/>
      <c r="B6" s="5"/>
      <c r="C6" s="2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>
        <f t="shared" si="2"/>
        <v>0</v>
      </c>
      <c r="X6" s="9">
        <f t="shared" si="3"/>
        <v>0</v>
      </c>
      <c r="Y6" s="9" t="str">
        <f t="shared" si="4"/>
        <v>0</v>
      </c>
      <c r="Z6" s="6" t="str">
        <f t="shared" si="5"/>
        <v>0</v>
      </c>
      <c r="AA6" s="9" t="e">
        <f t="shared" si="6"/>
        <v>#DIV/0!</v>
      </c>
      <c r="AB6" s="6" t="e">
        <f t="shared" si="7"/>
        <v>#DIV/0!</v>
      </c>
      <c r="AC6" s="6" t="e">
        <f t="shared" si="8"/>
        <v>#DIV/0!</v>
      </c>
      <c r="AD6" s="9" t="e">
        <f t="shared" si="9"/>
        <v>#DIV/0!</v>
      </c>
      <c r="AE6" s="4" t="e">
        <f>100*(AA6/TOTAL_BASIC!$C$81)</f>
        <v>#DIV/0!</v>
      </c>
      <c r="AF6" s="4" t="e">
        <f>100*AC6/TOTAL_BASIC!$C$82</f>
        <v>#DIV/0!</v>
      </c>
      <c r="AG6" s="4" t="e">
        <f>100*N6/TOTAL_BASIC!$C$87</f>
        <v>#DIV/0!</v>
      </c>
      <c r="AH6" s="4" t="e">
        <f>100*AD6/TOTAL_BASIC!$C$86</f>
        <v>#DIV/0!</v>
      </c>
      <c r="AI6" s="3" t="e">
        <f t="shared" si="10"/>
        <v>#DIV/0!</v>
      </c>
      <c r="AJ6" s="3"/>
      <c r="AM6" s="4" t="e">
        <f t="shared" si="11"/>
        <v>#N/A</v>
      </c>
      <c r="AN6" s="4" t="e">
        <f t="shared" si="0"/>
        <v>#N/A</v>
      </c>
      <c r="AO6" s="4" t="e">
        <f t="shared" si="0"/>
        <v>#N/A</v>
      </c>
      <c r="AP6" s="4" t="e">
        <f t="shared" si="0"/>
        <v>#N/A</v>
      </c>
      <c r="AQ6" s="4" t="e">
        <f t="shared" si="0"/>
        <v>#N/A</v>
      </c>
      <c r="AR6" s="4" t="e">
        <f t="shared" si="0"/>
        <v>#N/A</v>
      </c>
      <c r="AS6" s="4" t="e">
        <f t="shared" si="0"/>
        <v>#N/A</v>
      </c>
      <c r="AT6" s="4" t="e">
        <f t="shared" si="0"/>
        <v>#N/A</v>
      </c>
      <c r="AU6" s="4" t="e">
        <f t="shared" si="0"/>
        <v>#N/A</v>
      </c>
      <c r="AV6" s="4" t="e">
        <f t="shared" si="0"/>
        <v>#N/A</v>
      </c>
      <c r="AW6" s="4" t="e">
        <f t="shared" si="0"/>
        <v>#N/A</v>
      </c>
      <c r="AX6" s="4" t="e">
        <f t="shared" si="0"/>
        <v>#N/A</v>
      </c>
      <c r="AY6" s="4" t="e">
        <f t="shared" si="0"/>
        <v>#N/A</v>
      </c>
      <c r="AZ6" s="4" t="e">
        <f t="shared" si="0"/>
        <v>#N/A</v>
      </c>
      <c r="BA6" s="4" t="e">
        <f t="shared" si="0"/>
        <v>#N/A</v>
      </c>
      <c r="BB6" s="4" t="e">
        <f t="shared" si="0"/>
        <v>#N/A</v>
      </c>
      <c r="BC6" s="4" t="e">
        <f t="shared" si="12"/>
        <v>#N/A</v>
      </c>
      <c r="BD6" s="4" t="e">
        <f t="shared" si="13"/>
        <v>#N/A</v>
      </c>
      <c r="BE6" s="4" t="e">
        <f t="shared" si="14"/>
        <v>#N/A</v>
      </c>
      <c r="BF6" s="4">
        <f t="shared" si="12"/>
        <v>0</v>
      </c>
      <c r="BG6" s="4">
        <f t="shared" si="12"/>
        <v>0</v>
      </c>
      <c r="BH6" s="4" t="e">
        <f t="shared" si="12"/>
        <v>#N/A</v>
      </c>
      <c r="BI6" s="4" t="e">
        <f t="shared" si="15"/>
        <v>#N/A</v>
      </c>
      <c r="BJ6" s="4" t="e">
        <f t="shared" si="15"/>
        <v>#DIV/0!</v>
      </c>
      <c r="BK6" s="4" t="e">
        <f t="shared" si="15"/>
        <v>#DIV/0!</v>
      </c>
      <c r="BL6" s="4" t="e">
        <f t="shared" si="15"/>
        <v>#DIV/0!</v>
      </c>
      <c r="BM6" s="4" t="e">
        <f t="shared" si="15"/>
        <v>#DIV/0!</v>
      </c>
      <c r="BN6" s="4" t="e">
        <f t="shared" si="1"/>
        <v>#DIV/0!</v>
      </c>
      <c r="BO6" s="4" t="e">
        <f t="shared" si="16"/>
        <v>#N/A</v>
      </c>
    </row>
    <row r="7" spans="1:67">
      <c r="A7" s="2"/>
      <c r="B7" s="5"/>
      <c r="C7" s="2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>
        <f t="shared" si="2"/>
        <v>0</v>
      </c>
      <c r="X7" s="9">
        <f t="shared" si="3"/>
        <v>0</v>
      </c>
      <c r="Y7" s="9" t="str">
        <f t="shared" si="4"/>
        <v>0</v>
      </c>
      <c r="Z7" s="6" t="str">
        <f t="shared" si="5"/>
        <v>0</v>
      </c>
      <c r="AA7" s="9" t="e">
        <f t="shared" si="6"/>
        <v>#DIV/0!</v>
      </c>
      <c r="AB7" s="6" t="e">
        <f t="shared" si="7"/>
        <v>#DIV/0!</v>
      </c>
      <c r="AC7" s="6" t="e">
        <f t="shared" si="8"/>
        <v>#DIV/0!</v>
      </c>
      <c r="AD7" s="9" t="e">
        <f t="shared" si="9"/>
        <v>#DIV/0!</v>
      </c>
      <c r="AE7" s="4" t="e">
        <f>100*(AA7/TOTAL_BASIC!$C$81)</f>
        <v>#DIV/0!</v>
      </c>
      <c r="AF7" s="4" t="e">
        <f>100*AC7/TOTAL_BASIC!$C$82</f>
        <v>#DIV/0!</v>
      </c>
      <c r="AG7" s="4" t="e">
        <f>100*N7/TOTAL_BASIC!$C$87</f>
        <v>#DIV/0!</v>
      </c>
      <c r="AH7" s="4" t="e">
        <f>100*AD7/TOTAL_BASIC!$C$86</f>
        <v>#DIV/0!</v>
      </c>
      <c r="AI7" s="3" t="e">
        <f t="shared" si="10"/>
        <v>#DIV/0!</v>
      </c>
      <c r="AJ7" s="3"/>
      <c r="AM7" s="4" t="e">
        <f t="shared" si="11"/>
        <v>#N/A</v>
      </c>
      <c r="AN7" s="4" t="e">
        <f t="shared" si="0"/>
        <v>#N/A</v>
      </c>
      <c r="AO7" s="4" t="e">
        <f t="shared" si="0"/>
        <v>#N/A</v>
      </c>
      <c r="AP7" s="4" t="e">
        <f t="shared" si="0"/>
        <v>#N/A</v>
      </c>
      <c r="AQ7" s="4" t="e">
        <f t="shared" si="0"/>
        <v>#N/A</v>
      </c>
      <c r="AR7" s="4" t="e">
        <f t="shared" si="0"/>
        <v>#N/A</v>
      </c>
      <c r="AS7" s="4" t="e">
        <f t="shared" si="0"/>
        <v>#N/A</v>
      </c>
      <c r="AT7" s="4" t="e">
        <f t="shared" si="0"/>
        <v>#N/A</v>
      </c>
      <c r="AU7" s="4" t="e">
        <f t="shared" si="0"/>
        <v>#N/A</v>
      </c>
      <c r="AV7" s="4" t="e">
        <f t="shared" si="0"/>
        <v>#N/A</v>
      </c>
      <c r="AW7" s="4" t="e">
        <f t="shared" si="0"/>
        <v>#N/A</v>
      </c>
      <c r="AX7" s="4" t="e">
        <f t="shared" si="0"/>
        <v>#N/A</v>
      </c>
      <c r="AY7" s="4" t="e">
        <f t="shared" si="0"/>
        <v>#N/A</v>
      </c>
      <c r="AZ7" s="4" t="e">
        <f t="shared" si="0"/>
        <v>#N/A</v>
      </c>
      <c r="BA7" s="4" t="e">
        <f t="shared" si="0"/>
        <v>#N/A</v>
      </c>
      <c r="BB7" s="4" t="e">
        <f t="shared" si="0"/>
        <v>#N/A</v>
      </c>
      <c r="BC7" s="4" t="e">
        <f t="shared" si="12"/>
        <v>#N/A</v>
      </c>
      <c r="BD7" s="4" t="e">
        <f t="shared" si="13"/>
        <v>#N/A</v>
      </c>
      <c r="BE7" s="4" t="e">
        <f t="shared" si="14"/>
        <v>#N/A</v>
      </c>
      <c r="BF7" s="4">
        <f t="shared" si="12"/>
        <v>0</v>
      </c>
      <c r="BG7" s="4">
        <f t="shared" si="12"/>
        <v>0</v>
      </c>
      <c r="BH7" s="4" t="e">
        <f t="shared" si="12"/>
        <v>#N/A</v>
      </c>
      <c r="BI7" s="4" t="e">
        <f t="shared" si="15"/>
        <v>#N/A</v>
      </c>
      <c r="BJ7" s="4" t="e">
        <f t="shared" si="15"/>
        <v>#DIV/0!</v>
      </c>
      <c r="BK7" s="4" t="e">
        <f t="shared" si="15"/>
        <v>#DIV/0!</v>
      </c>
      <c r="BL7" s="4" t="e">
        <f t="shared" si="15"/>
        <v>#DIV/0!</v>
      </c>
      <c r="BM7" s="4" t="e">
        <f t="shared" si="15"/>
        <v>#DIV/0!</v>
      </c>
      <c r="BN7" s="4" t="e">
        <f t="shared" si="1"/>
        <v>#DIV/0!</v>
      </c>
      <c r="BO7" s="4" t="e">
        <f t="shared" si="16"/>
        <v>#N/A</v>
      </c>
    </row>
    <row r="8" spans="1:67">
      <c r="A8" s="2"/>
      <c r="B8" s="5"/>
      <c r="C8" s="2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>
        <f t="shared" si="2"/>
        <v>0</v>
      </c>
      <c r="X8" s="9">
        <f t="shared" si="3"/>
        <v>0</v>
      </c>
      <c r="Y8" s="9" t="str">
        <f t="shared" si="4"/>
        <v>0</v>
      </c>
      <c r="Z8" s="6" t="str">
        <f t="shared" si="5"/>
        <v>0</v>
      </c>
      <c r="AA8" s="9" t="e">
        <f t="shared" si="6"/>
        <v>#DIV/0!</v>
      </c>
      <c r="AB8" s="6" t="e">
        <f t="shared" si="7"/>
        <v>#DIV/0!</v>
      </c>
      <c r="AC8" s="6" t="e">
        <f t="shared" si="8"/>
        <v>#DIV/0!</v>
      </c>
      <c r="AD8" s="9" t="e">
        <f t="shared" si="9"/>
        <v>#DIV/0!</v>
      </c>
      <c r="AE8" s="4" t="e">
        <f>100*(AA8/TOTAL_BASIC!$C$81)</f>
        <v>#DIV/0!</v>
      </c>
      <c r="AF8" s="4" t="e">
        <f>100*AC8/TOTAL_BASIC!$C$82</f>
        <v>#DIV/0!</v>
      </c>
      <c r="AG8" s="4" t="e">
        <f>100*N8/TOTAL_BASIC!$C$87</f>
        <v>#DIV/0!</v>
      </c>
      <c r="AH8" s="4" t="e">
        <f>100*AD8/TOTAL_BASIC!$C$86</f>
        <v>#DIV/0!</v>
      </c>
      <c r="AI8" s="3" t="e">
        <f t="shared" si="10"/>
        <v>#DIV/0!</v>
      </c>
      <c r="AJ8" s="3"/>
      <c r="AM8" s="4" t="e">
        <f t="shared" si="11"/>
        <v>#N/A</v>
      </c>
      <c r="AN8" s="4" t="e">
        <f t="shared" si="0"/>
        <v>#N/A</v>
      </c>
      <c r="AO8" s="4" t="e">
        <f t="shared" si="0"/>
        <v>#N/A</v>
      </c>
      <c r="AP8" s="4" t="e">
        <f t="shared" si="0"/>
        <v>#N/A</v>
      </c>
      <c r="AQ8" s="4" t="e">
        <f t="shared" si="0"/>
        <v>#N/A</v>
      </c>
      <c r="AR8" s="4" t="e">
        <f t="shared" si="0"/>
        <v>#N/A</v>
      </c>
      <c r="AS8" s="4" t="e">
        <f t="shared" si="0"/>
        <v>#N/A</v>
      </c>
      <c r="AT8" s="4" t="e">
        <f t="shared" si="0"/>
        <v>#N/A</v>
      </c>
      <c r="AU8" s="4" t="e">
        <f t="shared" si="0"/>
        <v>#N/A</v>
      </c>
      <c r="AV8" s="4" t="e">
        <f t="shared" si="0"/>
        <v>#N/A</v>
      </c>
      <c r="AW8" s="4" t="e">
        <f t="shared" si="0"/>
        <v>#N/A</v>
      </c>
      <c r="AX8" s="4" t="e">
        <f t="shared" si="0"/>
        <v>#N/A</v>
      </c>
      <c r="AY8" s="4" t="e">
        <f t="shared" si="0"/>
        <v>#N/A</v>
      </c>
      <c r="AZ8" s="4" t="e">
        <f t="shared" si="0"/>
        <v>#N/A</v>
      </c>
      <c r="BA8" s="4" t="e">
        <f t="shared" si="0"/>
        <v>#N/A</v>
      </c>
      <c r="BB8" s="4" t="e">
        <f t="shared" si="0"/>
        <v>#N/A</v>
      </c>
      <c r="BC8" s="4" t="e">
        <f t="shared" si="12"/>
        <v>#N/A</v>
      </c>
      <c r="BD8" s="4" t="e">
        <f t="shared" si="13"/>
        <v>#N/A</v>
      </c>
      <c r="BE8" s="4" t="e">
        <f t="shared" si="14"/>
        <v>#N/A</v>
      </c>
      <c r="BF8" s="4">
        <f t="shared" si="12"/>
        <v>0</v>
      </c>
      <c r="BG8" s="4">
        <f t="shared" si="12"/>
        <v>0</v>
      </c>
      <c r="BH8" s="4" t="e">
        <f t="shared" si="12"/>
        <v>#N/A</v>
      </c>
      <c r="BI8" s="4" t="e">
        <f t="shared" si="15"/>
        <v>#N/A</v>
      </c>
      <c r="BJ8" s="4" t="e">
        <f t="shared" si="15"/>
        <v>#DIV/0!</v>
      </c>
      <c r="BK8" s="4" t="e">
        <f t="shared" si="15"/>
        <v>#DIV/0!</v>
      </c>
      <c r="BL8" s="4" t="e">
        <f t="shared" si="15"/>
        <v>#DIV/0!</v>
      </c>
      <c r="BM8" s="4" t="e">
        <f t="shared" si="15"/>
        <v>#DIV/0!</v>
      </c>
      <c r="BN8" s="4" t="e">
        <f t="shared" si="1"/>
        <v>#DIV/0!</v>
      </c>
      <c r="BO8" s="4" t="e">
        <f t="shared" si="16"/>
        <v>#N/A</v>
      </c>
    </row>
    <row r="9" spans="1:67">
      <c r="A9" s="2"/>
      <c r="B9" s="5"/>
      <c r="C9" s="2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>
        <f t="shared" si="2"/>
        <v>0</v>
      </c>
      <c r="X9" s="9">
        <f t="shared" si="3"/>
        <v>0</v>
      </c>
      <c r="Y9" s="9" t="str">
        <f t="shared" si="4"/>
        <v>0</v>
      </c>
      <c r="Z9" s="6" t="str">
        <f t="shared" si="5"/>
        <v>0</v>
      </c>
      <c r="AA9" s="9" t="e">
        <f t="shared" si="6"/>
        <v>#DIV/0!</v>
      </c>
      <c r="AB9" s="6" t="e">
        <f t="shared" si="7"/>
        <v>#DIV/0!</v>
      </c>
      <c r="AC9" s="6" t="e">
        <f t="shared" si="8"/>
        <v>#DIV/0!</v>
      </c>
      <c r="AD9" s="9" t="e">
        <f t="shared" si="9"/>
        <v>#DIV/0!</v>
      </c>
      <c r="AE9" s="4" t="e">
        <f>100*(AA9/TOTAL_BASIC!$C$81)</f>
        <v>#DIV/0!</v>
      </c>
      <c r="AF9" s="4" t="e">
        <f>100*AC9/TOTAL_BASIC!$C$82</f>
        <v>#DIV/0!</v>
      </c>
      <c r="AG9" s="4" t="e">
        <f>100*N9/TOTAL_BASIC!$C$87</f>
        <v>#DIV/0!</v>
      </c>
      <c r="AH9" s="4" t="e">
        <f>100*AD9/TOTAL_BASIC!$C$86</f>
        <v>#DIV/0!</v>
      </c>
      <c r="AI9" s="3" t="e">
        <f t="shared" si="10"/>
        <v>#DIV/0!</v>
      </c>
      <c r="AJ9" s="3"/>
      <c r="AM9" s="4" t="e">
        <f t="shared" si="11"/>
        <v>#N/A</v>
      </c>
      <c r="AN9" s="4" t="e">
        <f t="shared" si="0"/>
        <v>#N/A</v>
      </c>
      <c r="AO9" s="4" t="e">
        <f t="shared" si="0"/>
        <v>#N/A</v>
      </c>
      <c r="AP9" s="4" t="e">
        <f t="shared" si="0"/>
        <v>#N/A</v>
      </c>
      <c r="AQ9" s="4" t="e">
        <f t="shared" si="0"/>
        <v>#N/A</v>
      </c>
      <c r="AR9" s="4" t="e">
        <f t="shared" si="0"/>
        <v>#N/A</v>
      </c>
      <c r="AS9" s="4" t="e">
        <f t="shared" si="0"/>
        <v>#N/A</v>
      </c>
      <c r="AT9" s="4" t="e">
        <f t="shared" si="0"/>
        <v>#N/A</v>
      </c>
      <c r="AU9" s="4" t="e">
        <f t="shared" si="0"/>
        <v>#N/A</v>
      </c>
      <c r="AV9" s="4" t="e">
        <f t="shared" si="0"/>
        <v>#N/A</v>
      </c>
      <c r="AW9" s="4" t="e">
        <f t="shared" si="0"/>
        <v>#N/A</v>
      </c>
      <c r="AX9" s="4" t="e">
        <f t="shared" si="0"/>
        <v>#N/A</v>
      </c>
      <c r="AY9" s="4" t="e">
        <f t="shared" si="0"/>
        <v>#N/A</v>
      </c>
      <c r="AZ9" s="4" t="e">
        <f t="shared" si="0"/>
        <v>#N/A</v>
      </c>
      <c r="BA9" s="4" t="e">
        <f t="shared" si="0"/>
        <v>#N/A</v>
      </c>
      <c r="BB9" s="4" t="e">
        <f t="shared" si="0"/>
        <v>#N/A</v>
      </c>
      <c r="BC9" s="4" t="e">
        <f t="shared" si="12"/>
        <v>#N/A</v>
      </c>
      <c r="BD9" s="4" t="e">
        <f t="shared" si="13"/>
        <v>#N/A</v>
      </c>
      <c r="BE9" s="4" t="e">
        <f t="shared" si="14"/>
        <v>#N/A</v>
      </c>
      <c r="BF9" s="4">
        <f t="shared" si="12"/>
        <v>0</v>
      </c>
      <c r="BG9" s="4">
        <f t="shared" si="12"/>
        <v>0</v>
      </c>
      <c r="BH9" s="4" t="e">
        <f t="shared" si="12"/>
        <v>#N/A</v>
      </c>
      <c r="BI9" s="4" t="e">
        <f t="shared" si="15"/>
        <v>#N/A</v>
      </c>
      <c r="BJ9" s="4" t="e">
        <f t="shared" si="15"/>
        <v>#DIV/0!</v>
      </c>
      <c r="BK9" s="4" t="e">
        <f t="shared" si="15"/>
        <v>#DIV/0!</v>
      </c>
      <c r="BL9" s="4" t="e">
        <f t="shared" si="15"/>
        <v>#DIV/0!</v>
      </c>
      <c r="BM9" s="4" t="e">
        <f t="shared" si="15"/>
        <v>#DIV/0!</v>
      </c>
      <c r="BN9" s="4" t="e">
        <f t="shared" si="1"/>
        <v>#DIV/0!</v>
      </c>
      <c r="BO9" s="4" t="e">
        <f t="shared" si="16"/>
        <v>#N/A</v>
      </c>
    </row>
    <row r="10" spans="1:67">
      <c r="A10" s="2"/>
      <c r="B10" s="5"/>
      <c r="C10" s="2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>
        <f t="shared" si="2"/>
        <v>0</v>
      </c>
      <c r="X10" s="9">
        <f t="shared" si="3"/>
        <v>0</v>
      </c>
      <c r="Y10" s="9" t="str">
        <f t="shared" si="4"/>
        <v>0</v>
      </c>
      <c r="Z10" s="6" t="str">
        <f t="shared" si="5"/>
        <v>0</v>
      </c>
      <c r="AA10" s="9" t="e">
        <f t="shared" si="6"/>
        <v>#DIV/0!</v>
      </c>
      <c r="AB10" s="6" t="e">
        <f t="shared" si="7"/>
        <v>#DIV/0!</v>
      </c>
      <c r="AC10" s="6" t="e">
        <f t="shared" si="8"/>
        <v>#DIV/0!</v>
      </c>
      <c r="AD10" s="9" t="e">
        <f t="shared" si="9"/>
        <v>#DIV/0!</v>
      </c>
      <c r="AE10" s="4" t="e">
        <f>100*(AA10/TOTAL_BASIC!$C$81)</f>
        <v>#DIV/0!</v>
      </c>
      <c r="AF10" s="4" t="e">
        <f>100*AC10/TOTAL_BASIC!$C$82</f>
        <v>#DIV/0!</v>
      </c>
      <c r="AG10" s="4" t="e">
        <f>100*N10/TOTAL_BASIC!$C$87</f>
        <v>#DIV/0!</v>
      </c>
      <c r="AH10" s="4" t="e">
        <f>100*AD10/TOTAL_BASIC!$C$86</f>
        <v>#DIV/0!</v>
      </c>
      <c r="AI10" s="3" t="e">
        <f t="shared" si="10"/>
        <v>#DIV/0!</v>
      </c>
      <c r="AJ10" s="3"/>
      <c r="AM10" s="4" t="e">
        <f t="shared" si="11"/>
        <v>#N/A</v>
      </c>
      <c r="AN10" s="4" t="e">
        <f t="shared" si="0"/>
        <v>#N/A</v>
      </c>
      <c r="AO10" s="4" t="e">
        <f t="shared" si="0"/>
        <v>#N/A</v>
      </c>
      <c r="AP10" s="4" t="e">
        <f t="shared" si="0"/>
        <v>#N/A</v>
      </c>
      <c r="AQ10" s="4" t="e">
        <f t="shared" si="0"/>
        <v>#N/A</v>
      </c>
      <c r="AR10" s="4" t="e">
        <f t="shared" si="0"/>
        <v>#N/A</v>
      </c>
      <c r="AS10" s="4" t="e">
        <f t="shared" si="0"/>
        <v>#N/A</v>
      </c>
      <c r="AT10" s="4" t="e">
        <f t="shared" si="0"/>
        <v>#N/A</v>
      </c>
      <c r="AU10" s="4" t="e">
        <f t="shared" si="0"/>
        <v>#N/A</v>
      </c>
      <c r="AV10" s="4" t="e">
        <f t="shared" si="0"/>
        <v>#N/A</v>
      </c>
      <c r="AW10" s="4" t="e">
        <f t="shared" si="0"/>
        <v>#N/A</v>
      </c>
      <c r="AX10" s="4" t="e">
        <f t="shared" si="0"/>
        <v>#N/A</v>
      </c>
      <c r="AY10" s="4" t="e">
        <f t="shared" si="0"/>
        <v>#N/A</v>
      </c>
      <c r="AZ10" s="4" t="e">
        <f t="shared" si="0"/>
        <v>#N/A</v>
      </c>
      <c r="BA10" s="4" t="e">
        <f t="shared" si="0"/>
        <v>#N/A</v>
      </c>
      <c r="BB10" s="4" t="e">
        <f t="shared" si="0"/>
        <v>#N/A</v>
      </c>
      <c r="BC10" s="4" t="e">
        <f t="shared" si="12"/>
        <v>#N/A</v>
      </c>
      <c r="BD10" s="4" t="e">
        <f t="shared" si="13"/>
        <v>#N/A</v>
      </c>
      <c r="BE10" s="4" t="e">
        <f t="shared" si="14"/>
        <v>#N/A</v>
      </c>
      <c r="BF10" s="4">
        <f t="shared" si="12"/>
        <v>0</v>
      </c>
      <c r="BG10" s="4">
        <f t="shared" si="12"/>
        <v>0</v>
      </c>
      <c r="BH10" s="4" t="e">
        <f t="shared" si="12"/>
        <v>#N/A</v>
      </c>
      <c r="BI10" s="4" t="e">
        <f t="shared" si="15"/>
        <v>#N/A</v>
      </c>
      <c r="BJ10" s="4" t="e">
        <f t="shared" si="15"/>
        <v>#DIV/0!</v>
      </c>
      <c r="BK10" s="4" t="e">
        <f t="shared" si="15"/>
        <v>#DIV/0!</v>
      </c>
      <c r="BL10" s="4" t="e">
        <f t="shared" si="15"/>
        <v>#DIV/0!</v>
      </c>
      <c r="BM10" s="4" t="e">
        <f t="shared" si="15"/>
        <v>#DIV/0!</v>
      </c>
      <c r="BN10" s="4" t="e">
        <f t="shared" si="1"/>
        <v>#DIV/0!</v>
      </c>
      <c r="BO10" s="4" t="e">
        <f t="shared" si="16"/>
        <v>#N/A</v>
      </c>
    </row>
    <row r="11" spans="1:67">
      <c r="A11" s="2"/>
      <c r="B11" s="5"/>
      <c r="C11" s="2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>
        <f t="shared" si="2"/>
        <v>0</v>
      </c>
      <c r="X11" s="9">
        <f t="shared" si="3"/>
        <v>0</v>
      </c>
      <c r="Y11" s="9" t="str">
        <f t="shared" si="4"/>
        <v>0</v>
      </c>
      <c r="Z11" s="6" t="str">
        <f t="shared" si="5"/>
        <v>0</v>
      </c>
      <c r="AA11" s="9" t="e">
        <f t="shared" si="6"/>
        <v>#DIV/0!</v>
      </c>
      <c r="AB11" s="6" t="e">
        <f t="shared" si="7"/>
        <v>#DIV/0!</v>
      </c>
      <c r="AC11" s="6" t="e">
        <f t="shared" si="8"/>
        <v>#DIV/0!</v>
      </c>
      <c r="AD11" s="9" t="e">
        <f t="shared" si="9"/>
        <v>#DIV/0!</v>
      </c>
      <c r="AE11" s="4" t="e">
        <f>100*(AA11/TOTAL_BASIC!$C$81)</f>
        <v>#DIV/0!</v>
      </c>
      <c r="AF11" s="4" t="e">
        <f>100*AC11/TOTAL_BASIC!$C$82</f>
        <v>#DIV/0!</v>
      </c>
      <c r="AG11" s="4" t="e">
        <f>100*N11/TOTAL_BASIC!$C$87</f>
        <v>#DIV/0!</v>
      </c>
      <c r="AH11" s="4" t="e">
        <f>100*AD11/TOTAL_BASIC!$C$86</f>
        <v>#DIV/0!</v>
      </c>
      <c r="AI11" s="3" t="e">
        <f t="shared" si="10"/>
        <v>#DIV/0!</v>
      </c>
      <c r="AJ11" s="3"/>
      <c r="AM11" s="4" t="e">
        <f t="shared" si="11"/>
        <v>#N/A</v>
      </c>
      <c r="AN11" s="4" t="e">
        <f t="shared" si="0"/>
        <v>#N/A</v>
      </c>
      <c r="AO11" s="4" t="e">
        <f t="shared" si="0"/>
        <v>#N/A</v>
      </c>
      <c r="AP11" s="4" t="e">
        <f t="shared" si="0"/>
        <v>#N/A</v>
      </c>
      <c r="AQ11" s="4" t="e">
        <f t="shared" si="0"/>
        <v>#N/A</v>
      </c>
      <c r="AR11" s="4" t="e">
        <f t="shared" si="0"/>
        <v>#N/A</v>
      </c>
      <c r="AS11" s="4" t="e">
        <f t="shared" si="0"/>
        <v>#N/A</v>
      </c>
      <c r="AT11" s="4" t="e">
        <f t="shared" si="0"/>
        <v>#N/A</v>
      </c>
      <c r="AU11" s="4" t="e">
        <f t="shared" si="0"/>
        <v>#N/A</v>
      </c>
      <c r="AV11" s="4" t="e">
        <f t="shared" si="0"/>
        <v>#N/A</v>
      </c>
      <c r="AW11" s="4" t="e">
        <f t="shared" si="0"/>
        <v>#N/A</v>
      </c>
      <c r="AX11" s="4" t="e">
        <f t="shared" si="0"/>
        <v>#N/A</v>
      </c>
      <c r="AY11" s="4" t="e">
        <f t="shared" si="0"/>
        <v>#N/A</v>
      </c>
      <c r="AZ11" s="4" t="e">
        <f t="shared" si="0"/>
        <v>#N/A</v>
      </c>
      <c r="BA11" s="4" t="e">
        <f t="shared" si="0"/>
        <v>#N/A</v>
      </c>
      <c r="BB11" s="4" t="e">
        <f t="shared" si="0"/>
        <v>#N/A</v>
      </c>
      <c r="BC11" s="4" t="e">
        <f t="shared" si="12"/>
        <v>#N/A</v>
      </c>
      <c r="BD11" s="4" t="e">
        <f t="shared" si="13"/>
        <v>#N/A</v>
      </c>
      <c r="BE11" s="4" t="e">
        <f t="shared" si="14"/>
        <v>#N/A</v>
      </c>
      <c r="BF11" s="4">
        <f t="shared" si="12"/>
        <v>0</v>
      </c>
      <c r="BG11" s="4">
        <f t="shared" si="12"/>
        <v>0</v>
      </c>
      <c r="BH11" s="4" t="e">
        <f t="shared" si="12"/>
        <v>#N/A</v>
      </c>
      <c r="BI11" s="4" t="e">
        <f t="shared" si="15"/>
        <v>#N/A</v>
      </c>
      <c r="BJ11" s="4" t="e">
        <f t="shared" si="15"/>
        <v>#DIV/0!</v>
      </c>
      <c r="BK11" s="4" t="e">
        <f t="shared" si="15"/>
        <v>#DIV/0!</v>
      </c>
      <c r="BL11" s="4" t="e">
        <f t="shared" si="15"/>
        <v>#DIV/0!</v>
      </c>
      <c r="BM11" s="4" t="e">
        <f t="shared" si="15"/>
        <v>#DIV/0!</v>
      </c>
      <c r="BN11" s="4" t="e">
        <f t="shared" si="1"/>
        <v>#DIV/0!</v>
      </c>
      <c r="BO11" s="4" t="e">
        <f t="shared" si="16"/>
        <v>#N/A</v>
      </c>
    </row>
    <row r="12" spans="1:67">
      <c r="A12" s="2"/>
      <c r="B12" s="5"/>
      <c r="C12" s="2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>
        <f t="shared" si="2"/>
        <v>0</v>
      </c>
      <c r="X12" s="9">
        <f t="shared" si="3"/>
        <v>0</v>
      </c>
      <c r="Y12" s="9" t="str">
        <f t="shared" si="4"/>
        <v>0</v>
      </c>
      <c r="Z12" s="6" t="str">
        <f t="shared" si="5"/>
        <v>0</v>
      </c>
      <c r="AA12" s="9" t="e">
        <f t="shared" si="6"/>
        <v>#DIV/0!</v>
      </c>
      <c r="AB12" s="6" t="e">
        <f t="shared" si="7"/>
        <v>#DIV/0!</v>
      </c>
      <c r="AC12" s="6" t="e">
        <f t="shared" si="8"/>
        <v>#DIV/0!</v>
      </c>
      <c r="AD12" s="9" t="e">
        <f t="shared" si="9"/>
        <v>#DIV/0!</v>
      </c>
      <c r="AE12" s="4" t="e">
        <f>100*(AA12/TOTAL_BASIC!$C$81)</f>
        <v>#DIV/0!</v>
      </c>
      <c r="AF12" s="4" t="e">
        <f>100*AC12/TOTAL_BASIC!$C$82</f>
        <v>#DIV/0!</v>
      </c>
      <c r="AG12" s="4" t="e">
        <f>100*N12/TOTAL_BASIC!$C$87</f>
        <v>#DIV/0!</v>
      </c>
      <c r="AH12" s="4" t="e">
        <f>100*AD12/TOTAL_BASIC!$C$86</f>
        <v>#DIV/0!</v>
      </c>
      <c r="AI12" s="3" t="e">
        <f t="shared" si="10"/>
        <v>#DIV/0!</v>
      </c>
      <c r="AJ12" s="3"/>
      <c r="AM12" s="4" t="e">
        <f t="shared" si="11"/>
        <v>#N/A</v>
      </c>
      <c r="AN12" s="4" t="e">
        <f t="shared" si="0"/>
        <v>#N/A</v>
      </c>
      <c r="AO12" s="4" t="e">
        <f t="shared" si="0"/>
        <v>#N/A</v>
      </c>
      <c r="AP12" s="4" t="e">
        <f t="shared" si="0"/>
        <v>#N/A</v>
      </c>
      <c r="AQ12" s="4" t="e">
        <f t="shared" si="0"/>
        <v>#N/A</v>
      </c>
      <c r="AR12" s="4" t="e">
        <f t="shared" si="0"/>
        <v>#N/A</v>
      </c>
      <c r="AS12" s="4" t="e">
        <f t="shared" si="0"/>
        <v>#N/A</v>
      </c>
      <c r="AT12" s="4" t="e">
        <f t="shared" si="0"/>
        <v>#N/A</v>
      </c>
      <c r="AU12" s="4" t="e">
        <f t="shared" si="0"/>
        <v>#N/A</v>
      </c>
      <c r="AV12" s="4" t="e">
        <f t="shared" si="0"/>
        <v>#N/A</v>
      </c>
      <c r="AW12" s="4" t="e">
        <f t="shared" si="0"/>
        <v>#N/A</v>
      </c>
      <c r="AX12" s="4" t="e">
        <f t="shared" si="0"/>
        <v>#N/A</v>
      </c>
      <c r="AY12" s="4" t="e">
        <f t="shared" si="0"/>
        <v>#N/A</v>
      </c>
      <c r="AZ12" s="4" t="e">
        <f t="shared" si="0"/>
        <v>#N/A</v>
      </c>
      <c r="BA12" s="4" t="e">
        <f t="shared" si="0"/>
        <v>#N/A</v>
      </c>
      <c r="BB12" s="4" t="e">
        <f t="shared" si="0"/>
        <v>#N/A</v>
      </c>
      <c r="BC12" s="4" t="e">
        <f t="shared" si="12"/>
        <v>#N/A</v>
      </c>
      <c r="BD12" s="4" t="e">
        <f t="shared" si="13"/>
        <v>#N/A</v>
      </c>
      <c r="BE12" s="4" t="e">
        <f t="shared" si="14"/>
        <v>#N/A</v>
      </c>
      <c r="BF12" s="4">
        <f t="shared" si="12"/>
        <v>0</v>
      </c>
      <c r="BG12" s="4">
        <f t="shared" si="12"/>
        <v>0</v>
      </c>
      <c r="BH12" s="4" t="e">
        <f t="shared" si="12"/>
        <v>#N/A</v>
      </c>
      <c r="BI12" s="4" t="e">
        <f t="shared" si="15"/>
        <v>#N/A</v>
      </c>
      <c r="BJ12" s="4" t="e">
        <f t="shared" si="15"/>
        <v>#DIV/0!</v>
      </c>
      <c r="BK12" s="4" t="e">
        <f t="shared" si="15"/>
        <v>#DIV/0!</v>
      </c>
      <c r="BL12" s="4" t="e">
        <f t="shared" si="15"/>
        <v>#DIV/0!</v>
      </c>
      <c r="BM12" s="4" t="e">
        <f t="shared" si="15"/>
        <v>#DIV/0!</v>
      </c>
      <c r="BN12" s="4" t="e">
        <f t="shared" si="1"/>
        <v>#DIV/0!</v>
      </c>
      <c r="BO12" s="4" t="e">
        <f t="shared" si="16"/>
        <v>#N/A</v>
      </c>
    </row>
    <row r="13" spans="1:67">
      <c r="A13" s="2"/>
      <c r="B13" s="5"/>
      <c r="C13" s="2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>
        <f t="shared" si="2"/>
        <v>0</v>
      </c>
      <c r="X13" s="9">
        <f t="shared" si="3"/>
        <v>0</v>
      </c>
      <c r="Y13" s="9" t="str">
        <f t="shared" si="4"/>
        <v>0</v>
      </c>
      <c r="Z13" s="6" t="str">
        <f t="shared" si="5"/>
        <v>0</v>
      </c>
      <c r="AA13" s="9" t="e">
        <f t="shared" si="6"/>
        <v>#DIV/0!</v>
      </c>
      <c r="AB13" s="6" t="e">
        <f t="shared" si="7"/>
        <v>#DIV/0!</v>
      </c>
      <c r="AC13" s="6" t="e">
        <f t="shared" si="8"/>
        <v>#DIV/0!</v>
      </c>
      <c r="AD13" s="9" t="e">
        <f t="shared" si="9"/>
        <v>#DIV/0!</v>
      </c>
      <c r="AE13" s="4" t="e">
        <f>100*(AA13/TOTAL_BASIC!$C$81)</f>
        <v>#DIV/0!</v>
      </c>
      <c r="AF13" s="4" t="e">
        <f>100*AC13/TOTAL_BASIC!$C$82</f>
        <v>#DIV/0!</v>
      </c>
      <c r="AG13" s="4" t="e">
        <f>100*N13/TOTAL_BASIC!$C$87</f>
        <v>#DIV/0!</v>
      </c>
      <c r="AH13" s="4" t="e">
        <f>100*AD13/TOTAL_BASIC!$C$86</f>
        <v>#DIV/0!</v>
      </c>
      <c r="AI13" s="3" t="e">
        <f t="shared" si="10"/>
        <v>#DIV/0!</v>
      </c>
      <c r="AJ13" s="3"/>
      <c r="AM13" s="4" t="e">
        <f t="shared" si="11"/>
        <v>#N/A</v>
      </c>
      <c r="AN13" s="4" t="e">
        <f t="shared" si="0"/>
        <v>#N/A</v>
      </c>
      <c r="AO13" s="4" t="e">
        <f t="shared" si="0"/>
        <v>#N/A</v>
      </c>
      <c r="AP13" s="4" t="e">
        <f t="shared" si="0"/>
        <v>#N/A</v>
      </c>
      <c r="AQ13" s="4" t="e">
        <f t="shared" si="0"/>
        <v>#N/A</v>
      </c>
      <c r="AR13" s="4" t="e">
        <f t="shared" si="0"/>
        <v>#N/A</v>
      </c>
      <c r="AS13" s="4" t="e">
        <f t="shared" si="0"/>
        <v>#N/A</v>
      </c>
      <c r="AT13" s="4" t="e">
        <f t="shared" si="0"/>
        <v>#N/A</v>
      </c>
      <c r="AU13" s="4" t="e">
        <f t="shared" si="0"/>
        <v>#N/A</v>
      </c>
      <c r="AV13" s="4" t="e">
        <f t="shared" si="0"/>
        <v>#N/A</v>
      </c>
      <c r="AW13" s="4" t="e">
        <f t="shared" si="0"/>
        <v>#N/A</v>
      </c>
      <c r="AX13" s="4" t="e">
        <f t="shared" si="0"/>
        <v>#N/A</v>
      </c>
      <c r="AY13" s="4" t="e">
        <f t="shared" si="0"/>
        <v>#N/A</v>
      </c>
      <c r="AZ13" s="4" t="e">
        <f t="shared" si="0"/>
        <v>#N/A</v>
      </c>
      <c r="BA13" s="4" t="e">
        <f t="shared" si="0"/>
        <v>#N/A</v>
      </c>
      <c r="BB13" s="4" t="e">
        <f t="shared" si="0"/>
        <v>#N/A</v>
      </c>
      <c r="BC13" s="4" t="e">
        <f t="shared" si="12"/>
        <v>#N/A</v>
      </c>
      <c r="BD13" s="4" t="e">
        <f t="shared" si="13"/>
        <v>#N/A</v>
      </c>
      <c r="BE13" s="4" t="e">
        <f t="shared" si="14"/>
        <v>#N/A</v>
      </c>
      <c r="BF13" s="4">
        <f t="shared" si="12"/>
        <v>0</v>
      </c>
      <c r="BG13" s="4">
        <f t="shared" si="12"/>
        <v>0</v>
      </c>
      <c r="BH13" s="4" t="e">
        <f t="shared" si="12"/>
        <v>#N/A</v>
      </c>
      <c r="BI13" s="4" t="e">
        <f t="shared" si="15"/>
        <v>#N/A</v>
      </c>
      <c r="BJ13" s="4" t="e">
        <f t="shared" si="15"/>
        <v>#DIV/0!</v>
      </c>
      <c r="BK13" s="4" t="e">
        <f t="shared" si="15"/>
        <v>#DIV/0!</v>
      </c>
      <c r="BL13" s="4" t="e">
        <f t="shared" si="15"/>
        <v>#DIV/0!</v>
      </c>
      <c r="BM13" s="4" t="e">
        <f t="shared" si="15"/>
        <v>#DIV/0!</v>
      </c>
      <c r="BN13" s="4" t="e">
        <f t="shared" si="1"/>
        <v>#DIV/0!</v>
      </c>
      <c r="BO13" s="4" t="e">
        <f t="shared" si="16"/>
        <v>#N/A</v>
      </c>
    </row>
    <row r="14" spans="1:67">
      <c r="A14" s="2"/>
      <c r="B14" s="5"/>
      <c r="C14" s="2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>
        <f t="shared" si="2"/>
        <v>0</v>
      </c>
      <c r="X14" s="9">
        <f t="shared" si="3"/>
        <v>0</v>
      </c>
      <c r="Y14" s="9" t="str">
        <f t="shared" si="4"/>
        <v>0</v>
      </c>
      <c r="Z14" s="6" t="str">
        <f t="shared" si="5"/>
        <v>0</v>
      </c>
      <c r="AA14" s="9" t="e">
        <f t="shared" si="6"/>
        <v>#DIV/0!</v>
      </c>
      <c r="AB14" s="6" t="e">
        <f t="shared" si="7"/>
        <v>#DIV/0!</v>
      </c>
      <c r="AC14" s="6" t="e">
        <f t="shared" si="8"/>
        <v>#DIV/0!</v>
      </c>
      <c r="AD14" s="9" t="e">
        <f t="shared" si="9"/>
        <v>#DIV/0!</v>
      </c>
      <c r="AE14" s="4" t="e">
        <f>100*(AA14/TOTAL_BASIC!$C$81)</f>
        <v>#DIV/0!</v>
      </c>
      <c r="AF14" s="4" t="e">
        <f>100*AC14/TOTAL_BASIC!$C$82</f>
        <v>#DIV/0!</v>
      </c>
      <c r="AG14" s="4" t="e">
        <f>100*N14/TOTAL_BASIC!$C$87</f>
        <v>#DIV/0!</v>
      </c>
      <c r="AH14" s="4" t="e">
        <f>100*AD14/TOTAL_BASIC!$C$86</f>
        <v>#DIV/0!</v>
      </c>
      <c r="AI14" s="3" t="e">
        <f t="shared" si="10"/>
        <v>#DIV/0!</v>
      </c>
      <c r="AJ14" s="3"/>
      <c r="AM14" s="4" t="e">
        <f t="shared" si="11"/>
        <v>#N/A</v>
      </c>
      <c r="AN14" s="4" t="e">
        <f t="shared" si="0"/>
        <v>#N/A</v>
      </c>
      <c r="AO14" s="4" t="e">
        <f t="shared" si="0"/>
        <v>#N/A</v>
      </c>
      <c r="AP14" s="4" t="e">
        <f t="shared" si="0"/>
        <v>#N/A</v>
      </c>
      <c r="AQ14" s="4" t="e">
        <f t="shared" si="0"/>
        <v>#N/A</v>
      </c>
      <c r="AR14" s="4" t="e">
        <f t="shared" si="0"/>
        <v>#N/A</v>
      </c>
      <c r="AS14" s="4" t="e">
        <f t="shared" si="0"/>
        <v>#N/A</v>
      </c>
      <c r="AT14" s="4" t="e">
        <f t="shared" si="0"/>
        <v>#N/A</v>
      </c>
      <c r="AU14" s="4" t="e">
        <f t="shared" si="0"/>
        <v>#N/A</v>
      </c>
      <c r="AV14" s="4" t="e">
        <f t="shared" si="0"/>
        <v>#N/A</v>
      </c>
      <c r="AW14" s="4" t="e">
        <f t="shared" si="0"/>
        <v>#N/A</v>
      </c>
      <c r="AX14" s="4" t="e">
        <f t="shared" si="0"/>
        <v>#N/A</v>
      </c>
      <c r="AY14" s="4" t="e">
        <f t="shared" si="0"/>
        <v>#N/A</v>
      </c>
      <c r="AZ14" s="4" t="e">
        <f t="shared" si="0"/>
        <v>#N/A</v>
      </c>
      <c r="BA14" s="4" t="e">
        <f t="shared" si="0"/>
        <v>#N/A</v>
      </c>
      <c r="BB14" s="4" t="e">
        <f t="shared" si="0"/>
        <v>#N/A</v>
      </c>
      <c r="BC14" s="4" t="e">
        <f t="shared" si="12"/>
        <v>#N/A</v>
      </c>
      <c r="BD14" s="4" t="e">
        <f t="shared" si="13"/>
        <v>#N/A</v>
      </c>
      <c r="BE14" s="4" t="e">
        <f t="shared" si="14"/>
        <v>#N/A</v>
      </c>
      <c r="BF14" s="4">
        <f t="shared" si="12"/>
        <v>0</v>
      </c>
      <c r="BG14" s="4">
        <f t="shared" si="12"/>
        <v>0</v>
      </c>
      <c r="BH14" s="4" t="e">
        <f t="shared" si="12"/>
        <v>#N/A</v>
      </c>
      <c r="BI14" s="4" t="e">
        <f t="shared" si="15"/>
        <v>#N/A</v>
      </c>
      <c r="BJ14" s="4" t="e">
        <f t="shared" si="15"/>
        <v>#DIV/0!</v>
      </c>
      <c r="BK14" s="4" t="e">
        <f t="shared" si="15"/>
        <v>#DIV/0!</v>
      </c>
      <c r="BL14" s="4" t="e">
        <f t="shared" si="15"/>
        <v>#DIV/0!</v>
      </c>
      <c r="BM14" s="4" t="e">
        <f t="shared" si="15"/>
        <v>#DIV/0!</v>
      </c>
      <c r="BN14" s="4" t="e">
        <f t="shared" si="1"/>
        <v>#DIV/0!</v>
      </c>
      <c r="BO14" s="4" t="e">
        <f t="shared" si="16"/>
        <v>#N/A</v>
      </c>
    </row>
    <row r="15" spans="1:67">
      <c r="A15" s="2"/>
      <c r="B15" s="5"/>
      <c r="C15" s="2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>
        <f t="shared" si="2"/>
        <v>0</v>
      </c>
      <c r="X15" s="9">
        <f t="shared" si="3"/>
        <v>0</v>
      </c>
      <c r="Y15" s="9" t="str">
        <f t="shared" si="4"/>
        <v>0</v>
      </c>
      <c r="Z15" s="6" t="str">
        <f t="shared" si="5"/>
        <v>0</v>
      </c>
      <c r="AA15" s="9" t="e">
        <f t="shared" si="6"/>
        <v>#DIV/0!</v>
      </c>
      <c r="AB15" s="6" t="e">
        <f t="shared" si="7"/>
        <v>#DIV/0!</v>
      </c>
      <c r="AC15" s="6" t="e">
        <f t="shared" si="8"/>
        <v>#DIV/0!</v>
      </c>
      <c r="AD15" s="9" t="e">
        <f t="shared" si="9"/>
        <v>#DIV/0!</v>
      </c>
      <c r="AE15" s="4" t="e">
        <f>100*(AA15/TOTAL_BASIC!$C$81)</f>
        <v>#DIV/0!</v>
      </c>
      <c r="AF15" s="4" t="e">
        <f>100*AC15/TOTAL_BASIC!$C$82</f>
        <v>#DIV/0!</v>
      </c>
      <c r="AG15" s="4" t="e">
        <f>100*N15/TOTAL_BASIC!$C$87</f>
        <v>#DIV/0!</v>
      </c>
      <c r="AH15" s="4" t="e">
        <f>100*AD15/TOTAL_BASIC!$C$86</f>
        <v>#DIV/0!</v>
      </c>
      <c r="AI15" s="3" t="e">
        <f t="shared" si="10"/>
        <v>#DIV/0!</v>
      </c>
      <c r="AJ15" s="3"/>
      <c r="AM15" s="4" t="e">
        <f t="shared" si="11"/>
        <v>#N/A</v>
      </c>
      <c r="AN15" s="4" t="e">
        <f t="shared" si="0"/>
        <v>#N/A</v>
      </c>
      <c r="AO15" s="4" t="e">
        <f t="shared" si="0"/>
        <v>#N/A</v>
      </c>
      <c r="AP15" s="4" t="e">
        <f t="shared" si="0"/>
        <v>#N/A</v>
      </c>
      <c r="AQ15" s="4" t="e">
        <f t="shared" si="0"/>
        <v>#N/A</v>
      </c>
      <c r="AR15" s="4" t="e">
        <f t="shared" si="0"/>
        <v>#N/A</v>
      </c>
      <c r="AS15" s="4" t="e">
        <f t="shared" si="0"/>
        <v>#N/A</v>
      </c>
      <c r="AT15" s="4" t="e">
        <f t="shared" si="0"/>
        <v>#N/A</v>
      </c>
      <c r="AU15" s="4" t="e">
        <f t="shared" si="0"/>
        <v>#N/A</v>
      </c>
      <c r="AV15" s="4" t="e">
        <f t="shared" si="0"/>
        <v>#N/A</v>
      </c>
      <c r="AW15" s="4" t="e">
        <f t="shared" si="0"/>
        <v>#N/A</v>
      </c>
      <c r="AX15" s="4" t="e">
        <f t="shared" si="0"/>
        <v>#N/A</v>
      </c>
      <c r="AY15" s="4" t="e">
        <f t="shared" si="0"/>
        <v>#N/A</v>
      </c>
      <c r="AZ15" s="4" t="e">
        <f t="shared" si="0"/>
        <v>#N/A</v>
      </c>
      <c r="BA15" s="4" t="e">
        <f t="shared" si="0"/>
        <v>#N/A</v>
      </c>
      <c r="BB15" s="4" t="e">
        <f t="shared" si="0"/>
        <v>#N/A</v>
      </c>
      <c r="BC15" s="4" t="e">
        <f t="shared" si="12"/>
        <v>#N/A</v>
      </c>
      <c r="BD15" s="4" t="e">
        <f t="shared" si="13"/>
        <v>#N/A</v>
      </c>
      <c r="BE15" s="4" t="e">
        <f t="shared" si="14"/>
        <v>#N/A</v>
      </c>
      <c r="BF15" s="4">
        <f t="shared" si="12"/>
        <v>0</v>
      </c>
      <c r="BG15" s="4">
        <f t="shared" si="12"/>
        <v>0</v>
      </c>
      <c r="BH15" s="4" t="e">
        <f t="shared" si="12"/>
        <v>#N/A</v>
      </c>
      <c r="BI15" s="4" t="e">
        <f t="shared" si="15"/>
        <v>#N/A</v>
      </c>
      <c r="BJ15" s="4" t="e">
        <f t="shared" si="15"/>
        <v>#DIV/0!</v>
      </c>
      <c r="BK15" s="4" t="e">
        <f t="shared" si="15"/>
        <v>#DIV/0!</v>
      </c>
      <c r="BL15" s="4" t="e">
        <f t="shared" si="15"/>
        <v>#DIV/0!</v>
      </c>
      <c r="BM15" s="4" t="e">
        <f t="shared" si="15"/>
        <v>#DIV/0!</v>
      </c>
      <c r="BN15" s="4" t="e">
        <f t="shared" si="1"/>
        <v>#DIV/0!</v>
      </c>
      <c r="BO15" s="4" t="e">
        <f t="shared" si="16"/>
        <v>#N/A</v>
      </c>
    </row>
    <row r="16" spans="1:67">
      <c r="A16" s="2"/>
      <c r="B16" s="5"/>
      <c r="C16" s="2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>
        <f t="shared" si="2"/>
        <v>0</v>
      </c>
      <c r="X16" s="9">
        <f t="shared" si="3"/>
        <v>0</v>
      </c>
      <c r="Y16" s="9" t="str">
        <f t="shared" si="4"/>
        <v>0</v>
      </c>
      <c r="Z16" s="6" t="str">
        <f t="shared" si="5"/>
        <v>0</v>
      </c>
      <c r="AA16" s="9" t="e">
        <f t="shared" si="6"/>
        <v>#DIV/0!</v>
      </c>
      <c r="AB16" s="6" t="e">
        <f t="shared" si="7"/>
        <v>#DIV/0!</v>
      </c>
      <c r="AC16" s="6" t="e">
        <f t="shared" si="8"/>
        <v>#DIV/0!</v>
      </c>
      <c r="AD16" s="9" t="e">
        <f t="shared" si="9"/>
        <v>#DIV/0!</v>
      </c>
      <c r="AE16" s="4" t="e">
        <f>100*(AA16/TOTAL_BASIC!$C$81)</f>
        <v>#DIV/0!</v>
      </c>
      <c r="AF16" s="4" t="e">
        <f>100*AC16/TOTAL_BASIC!$C$82</f>
        <v>#DIV/0!</v>
      </c>
      <c r="AG16" s="4" t="e">
        <f>100*N16/TOTAL_BASIC!$C$87</f>
        <v>#DIV/0!</v>
      </c>
      <c r="AH16" s="4" t="e">
        <f>100*AD16/TOTAL_BASIC!$C$86</f>
        <v>#DIV/0!</v>
      </c>
      <c r="AI16" s="3" t="e">
        <f t="shared" si="10"/>
        <v>#DIV/0!</v>
      </c>
      <c r="AJ16" s="3"/>
      <c r="AM16" s="4" t="e">
        <f t="shared" si="11"/>
        <v>#N/A</v>
      </c>
      <c r="AN16" s="4" t="e">
        <f t="shared" si="0"/>
        <v>#N/A</v>
      </c>
      <c r="AO16" s="4" t="e">
        <f t="shared" si="0"/>
        <v>#N/A</v>
      </c>
      <c r="AP16" s="4" t="e">
        <f t="shared" si="0"/>
        <v>#N/A</v>
      </c>
      <c r="AQ16" s="4" t="e">
        <f t="shared" si="0"/>
        <v>#N/A</v>
      </c>
      <c r="AR16" s="4" t="e">
        <f t="shared" si="0"/>
        <v>#N/A</v>
      </c>
      <c r="AS16" s="4" t="e">
        <f t="shared" si="0"/>
        <v>#N/A</v>
      </c>
      <c r="AT16" s="4" t="e">
        <f t="shared" si="0"/>
        <v>#N/A</v>
      </c>
      <c r="AU16" s="4" t="e">
        <f t="shared" si="0"/>
        <v>#N/A</v>
      </c>
      <c r="AV16" s="4" t="e">
        <f t="shared" si="0"/>
        <v>#N/A</v>
      </c>
      <c r="AW16" s="4" t="e">
        <f t="shared" si="0"/>
        <v>#N/A</v>
      </c>
      <c r="AX16" s="4" t="e">
        <f t="shared" si="0"/>
        <v>#N/A</v>
      </c>
      <c r="AY16" s="4" t="e">
        <f t="shared" si="0"/>
        <v>#N/A</v>
      </c>
      <c r="AZ16" s="4" t="e">
        <f t="shared" si="0"/>
        <v>#N/A</v>
      </c>
      <c r="BA16" s="4" t="e">
        <f t="shared" si="0"/>
        <v>#N/A</v>
      </c>
      <c r="BB16" s="4" t="e">
        <f t="shared" si="0"/>
        <v>#N/A</v>
      </c>
      <c r="BC16" s="4" t="e">
        <f t="shared" si="12"/>
        <v>#N/A</v>
      </c>
      <c r="BD16" s="4" t="e">
        <f t="shared" si="13"/>
        <v>#N/A</v>
      </c>
      <c r="BE16" s="4" t="e">
        <f t="shared" si="14"/>
        <v>#N/A</v>
      </c>
      <c r="BF16" s="4">
        <f t="shared" si="12"/>
        <v>0</v>
      </c>
      <c r="BG16" s="4">
        <f t="shared" si="12"/>
        <v>0</v>
      </c>
      <c r="BH16" s="4" t="e">
        <f t="shared" si="12"/>
        <v>#N/A</v>
      </c>
      <c r="BI16" s="4" t="e">
        <f t="shared" si="15"/>
        <v>#N/A</v>
      </c>
      <c r="BJ16" s="4" t="e">
        <f t="shared" si="15"/>
        <v>#DIV/0!</v>
      </c>
      <c r="BK16" s="4" t="e">
        <f t="shared" si="15"/>
        <v>#DIV/0!</v>
      </c>
      <c r="BL16" s="4" t="e">
        <f t="shared" si="15"/>
        <v>#DIV/0!</v>
      </c>
      <c r="BM16" s="4" t="e">
        <f t="shared" si="15"/>
        <v>#DIV/0!</v>
      </c>
      <c r="BN16" s="4" t="e">
        <f t="shared" si="1"/>
        <v>#DIV/0!</v>
      </c>
      <c r="BO16" s="4" t="e">
        <f t="shared" si="16"/>
        <v>#N/A</v>
      </c>
    </row>
    <row r="17" spans="1:67">
      <c r="A17" s="2"/>
      <c r="B17" s="5"/>
      <c r="C17" s="2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>
        <f t="shared" si="2"/>
        <v>0</v>
      </c>
      <c r="X17" s="9">
        <f t="shared" si="3"/>
        <v>0</v>
      </c>
      <c r="Y17" s="9" t="str">
        <f t="shared" si="4"/>
        <v>0</v>
      </c>
      <c r="Z17" s="6" t="str">
        <f t="shared" si="5"/>
        <v>0</v>
      </c>
      <c r="AA17" s="9" t="e">
        <f t="shared" si="6"/>
        <v>#DIV/0!</v>
      </c>
      <c r="AB17" s="6" t="e">
        <f t="shared" si="7"/>
        <v>#DIV/0!</v>
      </c>
      <c r="AC17" s="6" t="e">
        <f t="shared" si="8"/>
        <v>#DIV/0!</v>
      </c>
      <c r="AD17" s="9" t="e">
        <f t="shared" si="9"/>
        <v>#DIV/0!</v>
      </c>
      <c r="AE17" s="4" t="e">
        <f>100*(AA17/TOTAL_BASIC!$C$81)</f>
        <v>#DIV/0!</v>
      </c>
      <c r="AF17" s="4" t="e">
        <f>100*AC17/TOTAL_BASIC!$C$82</f>
        <v>#DIV/0!</v>
      </c>
      <c r="AG17" s="4" t="e">
        <f>100*N17/TOTAL_BASIC!$C$87</f>
        <v>#DIV/0!</v>
      </c>
      <c r="AH17" s="4" t="e">
        <f>100*AD17/TOTAL_BASIC!$C$86</f>
        <v>#DIV/0!</v>
      </c>
      <c r="AI17" s="3" t="e">
        <f t="shared" si="10"/>
        <v>#DIV/0!</v>
      </c>
      <c r="AJ17" s="3"/>
      <c r="AM17" s="4" t="e">
        <f t="shared" si="11"/>
        <v>#N/A</v>
      </c>
      <c r="AN17" s="4" t="e">
        <f t="shared" si="0"/>
        <v>#N/A</v>
      </c>
      <c r="AO17" s="4" t="e">
        <f t="shared" si="0"/>
        <v>#N/A</v>
      </c>
      <c r="AP17" s="4" t="e">
        <f t="shared" si="0"/>
        <v>#N/A</v>
      </c>
      <c r="AQ17" s="4" t="e">
        <f t="shared" si="0"/>
        <v>#N/A</v>
      </c>
      <c r="AR17" s="4" t="e">
        <f t="shared" si="0"/>
        <v>#N/A</v>
      </c>
      <c r="AS17" s="4" t="e">
        <f t="shared" si="0"/>
        <v>#N/A</v>
      </c>
      <c r="AT17" s="4" t="e">
        <f t="shared" si="0"/>
        <v>#N/A</v>
      </c>
      <c r="AU17" s="4" t="e">
        <f t="shared" si="0"/>
        <v>#N/A</v>
      </c>
      <c r="AV17" s="4" t="e">
        <f t="shared" si="0"/>
        <v>#N/A</v>
      </c>
      <c r="AW17" s="4" t="e">
        <f t="shared" si="0"/>
        <v>#N/A</v>
      </c>
      <c r="AX17" s="4" t="e">
        <f t="shared" si="0"/>
        <v>#N/A</v>
      </c>
      <c r="AY17" s="4" t="e">
        <f t="shared" si="0"/>
        <v>#N/A</v>
      </c>
      <c r="AZ17" s="4" t="e">
        <f t="shared" si="0"/>
        <v>#N/A</v>
      </c>
      <c r="BA17" s="4" t="e">
        <f t="shared" si="0"/>
        <v>#N/A</v>
      </c>
      <c r="BB17" s="4" t="e">
        <f t="shared" si="0"/>
        <v>#N/A</v>
      </c>
      <c r="BC17" s="4" t="e">
        <f t="shared" si="12"/>
        <v>#N/A</v>
      </c>
      <c r="BD17" s="4" t="e">
        <f t="shared" si="13"/>
        <v>#N/A</v>
      </c>
      <c r="BE17" s="4" t="e">
        <f t="shared" si="14"/>
        <v>#N/A</v>
      </c>
      <c r="BF17" s="4">
        <f t="shared" si="12"/>
        <v>0</v>
      </c>
      <c r="BG17" s="4">
        <f t="shared" si="12"/>
        <v>0</v>
      </c>
      <c r="BH17" s="4" t="e">
        <f t="shared" si="12"/>
        <v>#N/A</v>
      </c>
      <c r="BI17" s="4" t="e">
        <f t="shared" si="15"/>
        <v>#N/A</v>
      </c>
      <c r="BJ17" s="4" t="e">
        <f t="shared" si="15"/>
        <v>#DIV/0!</v>
      </c>
      <c r="BK17" s="4" t="e">
        <f t="shared" si="15"/>
        <v>#DIV/0!</v>
      </c>
      <c r="BL17" s="4" t="e">
        <f t="shared" si="15"/>
        <v>#DIV/0!</v>
      </c>
      <c r="BM17" s="4" t="e">
        <f t="shared" si="15"/>
        <v>#DIV/0!</v>
      </c>
      <c r="BN17" s="4" t="e">
        <f t="shared" si="1"/>
        <v>#DIV/0!</v>
      </c>
      <c r="BO17" s="4" t="e">
        <f t="shared" si="16"/>
        <v>#N/A</v>
      </c>
    </row>
    <row r="18" spans="1:67">
      <c r="A18" s="2"/>
      <c r="B18" s="5"/>
      <c r="C18" s="2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>
        <f t="shared" si="2"/>
        <v>0</v>
      </c>
      <c r="X18" s="9">
        <f t="shared" si="3"/>
        <v>0</v>
      </c>
      <c r="Y18" s="9" t="str">
        <f t="shared" si="4"/>
        <v>0</v>
      </c>
      <c r="Z18" s="6" t="str">
        <f t="shared" si="5"/>
        <v>0</v>
      </c>
      <c r="AA18" s="9" t="e">
        <f t="shared" si="6"/>
        <v>#DIV/0!</v>
      </c>
      <c r="AB18" s="6" t="e">
        <f t="shared" si="7"/>
        <v>#DIV/0!</v>
      </c>
      <c r="AC18" s="6" t="e">
        <f t="shared" si="8"/>
        <v>#DIV/0!</v>
      </c>
      <c r="AD18" s="9" t="e">
        <f t="shared" si="9"/>
        <v>#DIV/0!</v>
      </c>
      <c r="AE18" s="4" t="e">
        <f>100*(AA18/TOTAL_BASIC!$C$81)</f>
        <v>#DIV/0!</v>
      </c>
      <c r="AF18" s="4" t="e">
        <f>100*AC18/TOTAL_BASIC!$C$82</f>
        <v>#DIV/0!</v>
      </c>
      <c r="AG18" s="4" t="e">
        <f>100*N18/TOTAL_BASIC!$C$87</f>
        <v>#DIV/0!</v>
      </c>
      <c r="AH18" s="4" t="e">
        <f>100*AD18/TOTAL_BASIC!$C$86</f>
        <v>#DIV/0!</v>
      </c>
      <c r="AI18" s="3" t="e">
        <f t="shared" si="10"/>
        <v>#DIV/0!</v>
      </c>
      <c r="AJ18" s="3"/>
      <c r="AM18" s="4" t="e">
        <f t="shared" si="11"/>
        <v>#N/A</v>
      </c>
      <c r="AN18" s="4" t="e">
        <f t="shared" si="0"/>
        <v>#N/A</v>
      </c>
      <c r="AO18" s="4" t="e">
        <f t="shared" si="0"/>
        <v>#N/A</v>
      </c>
      <c r="AP18" s="4" t="e">
        <f t="shared" si="0"/>
        <v>#N/A</v>
      </c>
      <c r="AQ18" s="4" t="e">
        <f t="shared" si="0"/>
        <v>#N/A</v>
      </c>
      <c r="AR18" s="4" t="e">
        <f t="shared" si="0"/>
        <v>#N/A</v>
      </c>
      <c r="AS18" s="4" t="e">
        <f t="shared" si="0"/>
        <v>#N/A</v>
      </c>
      <c r="AT18" s="4" t="e">
        <f t="shared" si="0"/>
        <v>#N/A</v>
      </c>
      <c r="AU18" s="4" t="e">
        <f t="shared" si="0"/>
        <v>#N/A</v>
      </c>
      <c r="AV18" s="4" t="e">
        <f t="shared" si="0"/>
        <v>#N/A</v>
      </c>
      <c r="AW18" s="4" t="e">
        <f t="shared" si="0"/>
        <v>#N/A</v>
      </c>
      <c r="AX18" s="4" t="e">
        <f t="shared" si="0"/>
        <v>#N/A</v>
      </c>
      <c r="AY18" s="4" t="e">
        <f t="shared" si="0"/>
        <v>#N/A</v>
      </c>
      <c r="AZ18" s="4" t="e">
        <f t="shared" si="0"/>
        <v>#N/A</v>
      </c>
      <c r="BA18" s="4" t="e">
        <f t="shared" si="0"/>
        <v>#N/A</v>
      </c>
      <c r="BB18" s="4" t="e">
        <f t="shared" ref="BB18:BB49" si="17">(PERCENTRANK(S$3:S$78,S18))*100</f>
        <v>#N/A</v>
      </c>
      <c r="BC18" s="4" t="e">
        <f t="shared" si="12"/>
        <v>#N/A</v>
      </c>
      <c r="BD18" s="4" t="e">
        <f t="shared" si="13"/>
        <v>#N/A</v>
      </c>
      <c r="BE18" s="4" t="e">
        <f t="shared" si="14"/>
        <v>#N/A</v>
      </c>
      <c r="BF18" s="4">
        <f t="shared" si="12"/>
        <v>0</v>
      </c>
      <c r="BG18" s="4">
        <f t="shared" si="12"/>
        <v>0</v>
      </c>
      <c r="BH18" s="4" t="e">
        <f t="shared" si="12"/>
        <v>#N/A</v>
      </c>
      <c r="BI18" s="4" t="e">
        <f t="shared" si="15"/>
        <v>#N/A</v>
      </c>
      <c r="BJ18" s="4" t="e">
        <f t="shared" si="15"/>
        <v>#DIV/0!</v>
      </c>
      <c r="BK18" s="4" t="e">
        <f t="shared" si="15"/>
        <v>#DIV/0!</v>
      </c>
      <c r="BL18" s="4" t="e">
        <f t="shared" si="15"/>
        <v>#DIV/0!</v>
      </c>
      <c r="BM18" s="4" t="e">
        <f t="shared" si="15"/>
        <v>#DIV/0!</v>
      </c>
      <c r="BN18" s="4" t="e">
        <f t="shared" si="1"/>
        <v>#DIV/0!</v>
      </c>
      <c r="BO18" s="4" t="e">
        <f t="shared" si="16"/>
        <v>#N/A</v>
      </c>
    </row>
    <row r="19" spans="1:67">
      <c r="A19" s="2"/>
      <c r="B19" s="5"/>
      <c r="C19" s="2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>
        <f t="shared" si="2"/>
        <v>0</v>
      </c>
      <c r="X19" s="9">
        <f t="shared" si="3"/>
        <v>0</v>
      </c>
      <c r="Y19" s="9" t="str">
        <f t="shared" si="4"/>
        <v>0</v>
      </c>
      <c r="Z19" s="6" t="str">
        <f t="shared" si="5"/>
        <v>0</v>
      </c>
      <c r="AA19" s="9" t="e">
        <f t="shared" si="6"/>
        <v>#DIV/0!</v>
      </c>
      <c r="AB19" s="6" t="e">
        <f t="shared" si="7"/>
        <v>#DIV/0!</v>
      </c>
      <c r="AC19" s="6" t="e">
        <f t="shared" si="8"/>
        <v>#DIV/0!</v>
      </c>
      <c r="AD19" s="9" t="e">
        <f t="shared" si="9"/>
        <v>#DIV/0!</v>
      </c>
      <c r="AE19" s="4" t="e">
        <f>100*(AA19/TOTAL_BASIC!$C$81)</f>
        <v>#DIV/0!</v>
      </c>
      <c r="AF19" s="4" t="e">
        <f>100*AC19/TOTAL_BASIC!$C$82</f>
        <v>#DIV/0!</v>
      </c>
      <c r="AG19" s="4" t="e">
        <f>100*N19/TOTAL_BASIC!$C$87</f>
        <v>#DIV/0!</v>
      </c>
      <c r="AH19" s="4" t="e">
        <f>100*AD19/TOTAL_BASIC!$C$86</f>
        <v>#DIV/0!</v>
      </c>
      <c r="AI19" s="3" t="e">
        <f t="shared" si="10"/>
        <v>#DIV/0!</v>
      </c>
      <c r="AJ19" s="3"/>
      <c r="AM19" s="4" t="e">
        <f t="shared" si="11"/>
        <v>#N/A</v>
      </c>
      <c r="AN19" s="4" t="e">
        <f t="shared" si="11"/>
        <v>#N/A</v>
      </c>
      <c r="AO19" s="4" t="e">
        <f t="shared" si="11"/>
        <v>#N/A</v>
      </c>
      <c r="AP19" s="4" t="e">
        <f t="shared" si="11"/>
        <v>#N/A</v>
      </c>
      <c r="AQ19" s="4" t="e">
        <f t="shared" si="11"/>
        <v>#N/A</v>
      </c>
      <c r="AR19" s="4" t="e">
        <f t="shared" si="11"/>
        <v>#N/A</v>
      </c>
      <c r="AS19" s="4" t="e">
        <f t="shared" si="11"/>
        <v>#N/A</v>
      </c>
      <c r="AT19" s="4" t="e">
        <f t="shared" si="11"/>
        <v>#N/A</v>
      </c>
      <c r="AU19" s="4" t="e">
        <f t="shared" ref="AU19:BA49" si="18">(PERCENTRANK(L$3:L$78,L19))*100</f>
        <v>#N/A</v>
      </c>
      <c r="AV19" s="4" t="e">
        <f t="shared" si="18"/>
        <v>#N/A</v>
      </c>
      <c r="AW19" s="4" t="e">
        <f t="shared" si="18"/>
        <v>#N/A</v>
      </c>
      <c r="AX19" s="4" t="e">
        <f t="shared" si="18"/>
        <v>#N/A</v>
      </c>
      <c r="AY19" s="4" t="e">
        <f t="shared" si="18"/>
        <v>#N/A</v>
      </c>
      <c r="AZ19" s="4" t="e">
        <f t="shared" si="18"/>
        <v>#N/A</v>
      </c>
      <c r="BA19" s="4" t="e">
        <f t="shared" si="18"/>
        <v>#N/A</v>
      </c>
      <c r="BB19" s="4" t="e">
        <f t="shared" si="17"/>
        <v>#N/A</v>
      </c>
      <c r="BC19" s="4" t="e">
        <f t="shared" si="12"/>
        <v>#N/A</v>
      </c>
      <c r="BD19" s="4" t="e">
        <f t="shared" si="13"/>
        <v>#N/A</v>
      </c>
      <c r="BE19" s="4" t="e">
        <f t="shared" si="14"/>
        <v>#N/A</v>
      </c>
      <c r="BF19" s="4">
        <f t="shared" si="12"/>
        <v>0</v>
      </c>
      <c r="BG19" s="4">
        <f t="shared" si="12"/>
        <v>0</v>
      </c>
      <c r="BH19" s="4" t="e">
        <f t="shared" si="12"/>
        <v>#N/A</v>
      </c>
      <c r="BI19" s="4" t="e">
        <f t="shared" si="15"/>
        <v>#N/A</v>
      </c>
      <c r="BJ19" s="4" t="e">
        <f t="shared" si="15"/>
        <v>#DIV/0!</v>
      </c>
      <c r="BK19" s="4" t="e">
        <f t="shared" si="15"/>
        <v>#DIV/0!</v>
      </c>
      <c r="BL19" s="4" t="e">
        <f t="shared" si="15"/>
        <v>#DIV/0!</v>
      </c>
      <c r="BM19" s="4" t="e">
        <f t="shared" si="15"/>
        <v>#DIV/0!</v>
      </c>
      <c r="BN19" s="4" t="e">
        <f t="shared" si="1"/>
        <v>#DIV/0!</v>
      </c>
      <c r="BO19" s="4" t="e">
        <f t="shared" si="16"/>
        <v>#N/A</v>
      </c>
    </row>
    <row r="20" spans="1:67">
      <c r="A20" s="2"/>
      <c r="B20" s="5"/>
      <c r="C20" s="2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>
        <f t="shared" si="2"/>
        <v>0</v>
      </c>
      <c r="X20" s="9">
        <f t="shared" si="3"/>
        <v>0</v>
      </c>
      <c r="Y20" s="9" t="str">
        <f t="shared" si="4"/>
        <v>0</v>
      </c>
      <c r="Z20" s="6" t="str">
        <f t="shared" si="5"/>
        <v>0</v>
      </c>
      <c r="AA20" s="9" t="e">
        <f t="shared" si="6"/>
        <v>#DIV/0!</v>
      </c>
      <c r="AB20" s="6" t="e">
        <f t="shared" si="7"/>
        <v>#DIV/0!</v>
      </c>
      <c r="AC20" s="6" t="e">
        <f t="shared" si="8"/>
        <v>#DIV/0!</v>
      </c>
      <c r="AD20" s="9" t="e">
        <f t="shared" si="9"/>
        <v>#DIV/0!</v>
      </c>
      <c r="AE20" s="4" t="e">
        <f>100*(AA20/TOTAL_BASIC!$C$81)</f>
        <v>#DIV/0!</v>
      </c>
      <c r="AF20" s="4" t="e">
        <f>100*AC20/TOTAL_BASIC!$C$82</f>
        <v>#DIV/0!</v>
      </c>
      <c r="AG20" s="4" t="e">
        <f>100*N20/TOTAL_BASIC!$C$87</f>
        <v>#DIV/0!</v>
      </c>
      <c r="AH20" s="4" t="e">
        <f>100*AD20/TOTAL_BASIC!$C$86</f>
        <v>#DIV/0!</v>
      </c>
      <c r="AI20" s="3" t="e">
        <f t="shared" si="10"/>
        <v>#DIV/0!</v>
      </c>
      <c r="AJ20" s="3"/>
      <c r="AM20" s="4" t="e">
        <f t="shared" si="11"/>
        <v>#N/A</v>
      </c>
      <c r="AN20" s="4" t="e">
        <f t="shared" si="11"/>
        <v>#N/A</v>
      </c>
      <c r="AO20" s="4" t="e">
        <f t="shared" si="11"/>
        <v>#N/A</v>
      </c>
      <c r="AP20" s="4" t="e">
        <f t="shared" si="11"/>
        <v>#N/A</v>
      </c>
      <c r="AQ20" s="4" t="e">
        <f t="shared" si="11"/>
        <v>#N/A</v>
      </c>
      <c r="AR20" s="4" t="e">
        <f t="shared" si="11"/>
        <v>#N/A</v>
      </c>
      <c r="AS20" s="4" t="e">
        <f t="shared" si="11"/>
        <v>#N/A</v>
      </c>
      <c r="AT20" s="4" t="e">
        <f t="shared" si="11"/>
        <v>#N/A</v>
      </c>
      <c r="AU20" s="4" t="e">
        <f t="shared" si="18"/>
        <v>#N/A</v>
      </c>
      <c r="AV20" s="4" t="e">
        <f t="shared" si="18"/>
        <v>#N/A</v>
      </c>
      <c r="AW20" s="4" t="e">
        <f t="shared" si="18"/>
        <v>#N/A</v>
      </c>
      <c r="AX20" s="4" t="e">
        <f t="shared" si="18"/>
        <v>#N/A</v>
      </c>
      <c r="AY20" s="4" t="e">
        <f t="shared" si="18"/>
        <v>#N/A</v>
      </c>
      <c r="AZ20" s="4" t="e">
        <f t="shared" si="18"/>
        <v>#N/A</v>
      </c>
      <c r="BA20" s="4" t="e">
        <f t="shared" si="18"/>
        <v>#N/A</v>
      </c>
      <c r="BB20" s="4" t="e">
        <f t="shared" si="17"/>
        <v>#N/A</v>
      </c>
      <c r="BC20" s="4" t="e">
        <f t="shared" si="12"/>
        <v>#N/A</v>
      </c>
      <c r="BD20" s="4" t="e">
        <f t="shared" si="13"/>
        <v>#N/A</v>
      </c>
      <c r="BE20" s="4" t="e">
        <f t="shared" si="14"/>
        <v>#N/A</v>
      </c>
      <c r="BF20" s="4">
        <f t="shared" si="12"/>
        <v>0</v>
      </c>
      <c r="BG20" s="4">
        <f t="shared" si="12"/>
        <v>0</v>
      </c>
      <c r="BH20" s="4" t="e">
        <f t="shared" si="12"/>
        <v>#N/A</v>
      </c>
      <c r="BI20" s="4" t="e">
        <f t="shared" si="15"/>
        <v>#N/A</v>
      </c>
      <c r="BJ20" s="4" t="e">
        <f t="shared" si="15"/>
        <v>#DIV/0!</v>
      </c>
      <c r="BK20" s="4" t="e">
        <f t="shared" si="15"/>
        <v>#DIV/0!</v>
      </c>
      <c r="BL20" s="4" t="e">
        <f t="shared" si="15"/>
        <v>#DIV/0!</v>
      </c>
      <c r="BM20" s="4" t="e">
        <f t="shared" si="15"/>
        <v>#DIV/0!</v>
      </c>
      <c r="BN20" s="4" t="e">
        <f t="shared" si="1"/>
        <v>#DIV/0!</v>
      </c>
      <c r="BO20" s="4" t="e">
        <f t="shared" si="16"/>
        <v>#N/A</v>
      </c>
    </row>
    <row r="21" spans="1:67">
      <c r="A21" s="2"/>
      <c r="B21" s="5"/>
      <c r="C21" s="2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>
        <f t="shared" si="2"/>
        <v>0</v>
      </c>
      <c r="X21" s="9">
        <f t="shared" si="3"/>
        <v>0</v>
      </c>
      <c r="Y21" s="9" t="str">
        <f t="shared" si="4"/>
        <v>0</v>
      </c>
      <c r="Z21" s="6" t="str">
        <f t="shared" si="5"/>
        <v>0</v>
      </c>
      <c r="AA21" s="9" t="e">
        <f t="shared" si="6"/>
        <v>#DIV/0!</v>
      </c>
      <c r="AB21" s="6" t="e">
        <f t="shared" si="7"/>
        <v>#DIV/0!</v>
      </c>
      <c r="AC21" s="6" t="e">
        <f t="shared" si="8"/>
        <v>#DIV/0!</v>
      </c>
      <c r="AD21" s="9" t="e">
        <f t="shared" si="9"/>
        <v>#DIV/0!</v>
      </c>
      <c r="AE21" s="4" t="e">
        <f>100*(AA21/TOTAL_BASIC!$C$81)</f>
        <v>#DIV/0!</v>
      </c>
      <c r="AF21" s="4" t="e">
        <f>100*AC21/TOTAL_BASIC!$C$82</f>
        <v>#DIV/0!</v>
      </c>
      <c r="AG21" s="4" t="e">
        <f>100*N21/TOTAL_BASIC!$C$87</f>
        <v>#DIV/0!</v>
      </c>
      <c r="AH21" s="4" t="e">
        <f>100*AD21/TOTAL_BASIC!$C$86</f>
        <v>#DIV/0!</v>
      </c>
      <c r="AI21" s="3" t="e">
        <f t="shared" si="10"/>
        <v>#DIV/0!</v>
      </c>
      <c r="AJ21" s="3"/>
      <c r="AM21" s="4" t="e">
        <f t="shared" si="11"/>
        <v>#N/A</v>
      </c>
      <c r="AN21" s="4" t="e">
        <f t="shared" si="11"/>
        <v>#N/A</v>
      </c>
      <c r="AO21" s="4" t="e">
        <f t="shared" si="11"/>
        <v>#N/A</v>
      </c>
      <c r="AP21" s="4" t="e">
        <f t="shared" si="11"/>
        <v>#N/A</v>
      </c>
      <c r="AQ21" s="4" t="e">
        <f t="shared" si="11"/>
        <v>#N/A</v>
      </c>
      <c r="AR21" s="4" t="e">
        <f t="shared" si="11"/>
        <v>#N/A</v>
      </c>
      <c r="AS21" s="4" t="e">
        <f t="shared" si="11"/>
        <v>#N/A</v>
      </c>
      <c r="AT21" s="4" t="e">
        <f t="shared" si="11"/>
        <v>#N/A</v>
      </c>
      <c r="AU21" s="4" t="e">
        <f t="shared" si="18"/>
        <v>#N/A</v>
      </c>
      <c r="AV21" s="4" t="e">
        <f t="shared" si="18"/>
        <v>#N/A</v>
      </c>
      <c r="AW21" s="4" t="e">
        <f t="shared" si="18"/>
        <v>#N/A</v>
      </c>
      <c r="AX21" s="4" t="e">
        <f t="shared" si="18"/>
        <v>#N/A</v>
      </c>
      <c r="AY21" s="4" t="e">
        <f t="shared" si="18"/>
        <v>#N/A</v>
      </c>
      <c r="AZ21" s="4" t="e">
        <f t="shared" si="18"/>
        <v>#N/A</v>
      </c>
      <c r="BA21" s="4" t="e">
        <f t="shared" si="18"/>
        <v>#N/A</v>
      </c>
      <c r="BB21" s="4" t="e">
        <f t="shared" si="17"/>
        <v>#N/A</v>
      </c>
      <c r="BC21" s="4" t="e">
        <f t="shared" si="12"/>
        <v>#N/A</v>
      </c>
      <c r="BD21" s="4" t="e">
        <f t="shared" si="13"/>
        <v>#N/A</v>
      </c>
      <c r="BE21" s="4" t="e">
        <f t="shared" si="14"/>
        <v>#N/A</v>
      </c>
      <c r="BF21" s="4">
        <f t="shared" si="12"/>
        <v>0</v>
      </c>
      <c r="BG21" s="4">
        <f t="shared" si="12"/>
        <v>0</v>
      </c>
      <c r="BH21" s="4" t="e">
        <f t="shared" si="12"/>
        <v>#N/A</v>
      </c>
      <c r="BI21" s="4" t="e">
        <f t="shared" si="15"/>
        <v>#N/A</v>
      </c>
      <c r="BJ21" s="4" t="e">
        <f t="shared" si="15"/>
        <v>#DIV/0!</v>
      </c>
      <c r="BK21" s="4" t="e">
        <f t="shared" si="15"/>
        <v>#DIV/0!</v>
      </c>
      <c r="BL21" s="4" t="e">
        <f t="shared" si="15"/>
        <v>#DIV/0!</v>
      </c>
      <c r="BM21" s="4" t="e">
        <f t="shared" si="15"/>
        <v>#DIV/0!</v>
      </c>
      <c r="BN21" s="4" t="e">
        <f t="shared" si="1"/>
        <v>#DIV/0!</v>
      </c>
      <c r="BO21" s="4" t="e">
        <f t="shared" si="16"/>
        <v>#N/A</v>
      </c>
    </row>
    <row r="22" spans="1:67">
      <c r="A22" s="2"/>
      <c r="B22" s="5"/>
      <c r="C22" s="2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>
        <f t="shared" si="2"/>
        <v>0</v>
      </c>
      <c r="X22" s="9">
        <f t="shared" si="3"/>
        <v>0</v>
      </c>
      <c r="Y22" s="9" t="str">
        <f t="shared" si="4"/>
        <v>0</v>
      </c>
      <c r="Z22" s="6" t="str">
        <f t="shared" si="5"/>
        <v>0</v>
      </c>
      <c r="AA22" s="9" t="e">
        <f t="shared" si="6"/>
        <v>#DIV/0!</v>
      </c>
      <c r="AB22" s="6" t="e">
        <f t="shared" si="7"/>
        <v>#DIV/0!</v>
      </c>
      <c r="AC22" s="6" t="e">
        <f t="shared" si="8"/>
        <v>#DIV/0!</v>
      </c>
      <c r="AD22" s="9" t="e">
        <f t="shared" si="9"/>
        <v>#DIV/0!</v>
      </c>
      <c r="AE22" s="4" t="e">
        <f>100*(AA22/TOTAL_BASIC!$C$81)</f>
        <v>#DIV/0!</v>
      </c>
      <c r="AF22" s="4" t="e">
        <f>100*AC22/TOTAL_BASIC!$C$82</f>
        <v>#DIV/0!</v>
      </c>
      <c r="AG22" s="4" t="e">
        <f>100*N22/TOTAL_BASIC!$C$87</f>
        <v>#DIV/0!</v>
      </c>
      <c r="AH22" s="4" t="e">
        <f>100*AD22/TOTAL_BASIC!$C$86</f>
        <v>#DIV/0!</v>
      </c>
      <c r="AI22" s="3" t="e">
        <f t="shared" si="10"/>
        <v>#DIV/0!</v>
      </c>
      <c r="AJ22" s="3"/>
      <c r="AM22" s="4" t="e">
        <f t="shared" si="11"/>
        <v>#N/A</v>
      </c>
      <c r="AN22" s="4" t="e">
        <f t="shared" si="11"/>
        <v>#N/A</v>
      </c>
      <c r="AO22" s="4" t="e">
        <f t="shared" si="11"/>
        <v>#N/A</v>
      </c>
      <c r="AP22" s="4" t="e">
        <f t="shared" si="11"/>
        <v>#N/A</v>
      </c>
      <c r="AQ22" s="4" t="e">
        <f t="shared" si="11"/>
        <v>#N/A</v>
      </c>
      <c r="AR22" s="4" t="e">
        <f t="shared" si="11"/>
        <v>#N/A</v>
      </c>
      <c r="AS22" s="4" t="e">
        <f t="shared" si="11"/>
        <v>#N/A</v>
      </c>
      <c r="AT22" s="4" t="e">
        <f t="shared" si="11"/>
        <v>#N/A</v>
      </c>
      <c r="AU22" s="4" t="e">
        <f t="shared" si="18"/>
        <v>#N/A</v>
      </c>
      <c r="AV22" s="4" t="e">
        <f t="shared" si="18"/>
        <v>#N/A</v>
      </c>
      <c r="AW22" s="4" t="e">
        <f t="shared" si="18"/>
        <v>#N/A</v>
      </c>
      <c r="AX22" s="4" t="e">
        <f t="shared" si="18"/>
        <v>#N/A</v>
      </c>
      <c r="AY22" s="4" t="e">
        <f t="shared" si="18"/>
        <v>#N/A</v>
      </c>
      <c r="AZ22" s="4" t="e">
        <f t="shared" si="18"/>
        <v>#N/A</v>
      </c>
      <c r="BA22" s="4" t="e">
        <f t="shared" si="18"/>
        <v>#N/A</v>
      </c>
      <c r="BB22" s="4" t="e">
        <f t="shared" si="17"/>
        <v>#N/A</v>
      </c>
      <c r="BC22" s="4" t="e">
        <f t="shared" si="12"/>
        <v>#N/A</v>
      </c>
      <c r="BD22" s="4" t="e">
        <f t="shared" si="13"/>
        <v>#N/A</v>
      </c>
      <c r="BE22" s="4" t="e">
        <f t="shared" si="14"/>
        <v>#N/A</v>
      </c>
      <c r="BF22" s="4">
        <f t="shared" si="12"/>
        <v>0</v>
      </c>
      <c r="BG22" s="4">
        <f t="shared" si="12"/>
        <v>0</v>
      </c>
      <c r="BH22" s="4" t="e">
        <f t="shared" si="12"/>
        <v>#N/A</v>
      </c>
      <c r="BI22" s="4" t="e">
        <f t="shared" si="15"/>
        <v>#N/A</v>
      </c>
      <c r="BJ22" s="4" t="e">
        <f t="shared" si="15"/>
        <v>#DIV/0!</v>
      </c>
      <c r="BK22" s="4" t="e">
        <f t="shared" si="15"/>
        <v>#DIV/0!</v>
      </c>
      <c r="BL22" s="4" t="e">
        <f t="shared" si="15"/>
        <v>#DIV/0!</v>
      </c>
      <c r="BM22" s="4" t="e">
        <f t="shared" si="15"/>
        <v>#DIV/0!</v>
      </c>
      <c r="BN22" s="4" t="e">
        <f t="shared" si="1"/>
        <v>#DIV/0!</v>
      </c>
      <c r="BO22" s="4" t="e">
        <f t="shared" si="16"/>
        <v>#N/A</v>
      </c>
    </row>
    <row r="23" spans="1:67">
      <c r="A23" s="2"/>
      <c r="B23" s="5"/>
      <c r="C23" s="2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>
        <f t="shared" si="2"/>
        <v>0</v>
      </c>
      <c r="X23" s="9">
        <f t="shared" si="3"/>
        <v>0</v>
      </c>
      <c r="Y23" s="9" t="str">
        <f t="shared" si="4"/>
        <v>0</v>
      </c>
      <c r="Z23" s="6" t="str">
        <f t="shared" si="5"/>
        <v>0</v>
      </c>
      <c r="AA23" s="9" t="e">
        <f t="shared" si="6"/>
        <v>#DIV/0!</v>
      </c>
      <c r="AB23" s="6" t="e">
        <f t="shared" si="7"/>
        <v>#DIV/0!</v>
      </c>
      <c r="AC23" s="6" t="e">
        <f t="shared" si="8"/>
        <v>#DIV/0!</v>
      </c>
      <c r="AD23" s="9" t="e">
        <f t="shared" si="9"/>
        <v>#DIV/0!</v>
      </c>
      <c r="AE23" s="4" t="e">
        <f>100*(AA23/TOTAL_BASIC!$C$81)</f>
        <v>#DIV/0!</v>
      </c>
      <c r="AF23" s="4" t="e">
        <f>100*AC23/TOTAL_BASIC!$C$82</f>
        <v>#DIV/0!</v>
      </c>
      <c r="AG23" s="4" t="e">
        <f>100*N23/TOTAL_BASIC!$C$87</f>
        <v>#DIV/0!</v>
      </c>
      <c r="AH23" s="4" t="e">
        <f>100*AD23/TOTAL_BASIC!$C$86</f>
        <v>#DIV/0!</v>
      </c>
      <c r="AI23" s="3" t="e">
        <f t="shared" si="10"/>
        <v>#DIV/0!</v>
      </c>
      <c r="AJ23" s="3"/>
      <c r="AM23" s="4" t="e">
        <f t="shared" si="11"/>
        <v>#N/A</v>
      </c>
      <c r="AN23" s="4" t="e">
        <f t="shared" si="11"/>
        <v>#N/A</v>
      </c>
      <c r="AO23" s="4" t="e">
        <f t="shared" si="11"/>
        <v>#N/A</v>
      </c>
      <c r="AP23" s="4" t="e">
        <f t="shared" si="11"/>
        <v>#N/A</v>
      </c>
      <c r="AQ23" s="4" t="e">
        <f t="shared" si="11"/>
        <v>#N/A</v>
      </c>
      <c r="AR23" s="4" t="e">
        <f t="shared" si="11"/>
        <v>#N/A</v>
      </c>
      <c r="AS23" s="4" t="e">
        <f t="shared" si="11"/>
        <v>#N/A</v>
      </c>
      <c r="AT23" s="4" t="e">
        <f t="shared" si="11"/>
        <v>#N/A</v>
      </c>
      <c r="AU23" s="4" t="e">
        <f t="shared" si="18"/>
        <v>#N/A</v>
      </c>
      <c r="AV23" s="4" t="e">
        <f t="shared" si="18"/>
        <v>#N/A</v>
      </c>
      <c r="AW23" s="4" t="e">
        <f t="shared" si="18"/>
        <v>#N/A</v>
      </c>
      <c r="AX23" s="4" t="e">
        <f t="shared" si="18"/>
        <v>#N/A</v>
      </c>
      <c r="AY23" s="4" t="e">
        <f t="shared" si="18"/>
        <v>#N/A</v>
      </c>
      <c r="AZ23" s="4" t="e">
        <f t="shared" si="18"/>
        <v>#N/A</v>
      </c>
      <c r="BA23" s="4" t="e">
        <f t="shared" si="18"/>
        <v>#N/A</v>
      </c>
      <c r="BB23" s="4" t="e">
        <f t="shared" si="17"/>
        <v>#N/A</v>
      </c>
      <c r="BC23" s="4" t="e">
        <f t="shared" si="12"/>
        <v>#N/A</v>
      </c>
      <c r="BD23" s="4" t="e">
        <f t="shared" si="13"/>
        <v>#N/A</v>
      </c>
      <c r="BE23" s="4" t="e">
        <f t="shared" si="14"/>
        <v>#N/A</v>
      </c>
      <c r="BF23" s="4">
        <f t="shared" si="12"/>
        <v>0</v>
      </c>
      <c r="BG23" s="4">
        <f t="shared" si="12"/>
        <v>0</v>
      </c>
      <c r="BH23" s="4" t="e">
        <f t="shared" si="12"/>
        <v>#N/A</v>
      </c>
      <c r="BI23" s="4" t="e">
        <f t="shared" si="15"/>
        <v>#N/A</v>
      </c>
      <c r="BJ23" s="4" t="e">
        <f t="shared" si="15"/>
        <v>#DIV/0!</v>
      </c>
      <c r="BK23" s="4" t="e">
        <f t="shared" si="15"/>
        <v>#DIV/0!</v>
      </c>
      <c r="BL23" s="4" t="e">
        <f t="shared" si="15"/>
        <v>#DIV/0!</v>
      </c>
      <c r="BM23" s="4" t="e">
        <f t="shared" si="15"/>
        <v>#DIV/0!</v>
      </c>
      <c r="BN23" s="4" t="e">
        <f t="shared" si="1"/>
        <v>#DIV/0!</v>
      </c>
      <c r="BO23" s="4" t="e">
        <f t="shared" si="16"/>
        <v>#N/A</v>
      </c>
    </row>
    <row r="24" spans="1:67">
      <c r="A24" s="2"/>
      <c r="B24" s="5"/>
      <c r="C24" s="2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>
        <f t="shared" si="2"/>
        <v>0</v>
      </c>
      <c r="X24" s="9">
        <f t="shared" si="3"/>
        <v>0</v>
      </c>
      <c r="Y24" s="9" t="str">
        <f t="shared" si="4"/>
        <v>0</v>
      </c>
      <c r="Z24" s="6" t="str">
        <f t="shared" si="5"/>
        <v>0</v>
      </c>
      <c r="AA24" s="9" t="e">
        <f t="shared" si="6"/>
        <v>#DIV/0!</v>
      </c>
      <c r="AB24" s="6" t="e">
        <f t="shared" si="7"/>
        <v>#DIV/0!</v>
      </c>
      <c r="AC24" s="6" t="e">
        <f t="shared" si="8"/>
        <v>#DIV/0!</v>
      </c>
      <c r="AD24" s="9" t="e">
        <f t="shared" si="9"/>
        <v>#DIV/0!</v>
      </c>
      <c r="AE24" s="4" t="e">
        <f>100*(AA24/TOTAL_BASIC!$C$81)</f>
        <v>#DIV/0!</v>
      </c>
      <c r="AF24" s="4" t="e">
        <f>100*AC24/TOTAL_BASIC!$C$82</f>
        <v>#DIV/0!</v>
      </c>
      <c r="AG24" s="4" t="e">
        <f>100*N24/TOTAL_BASIC!$C$87</f>
        <v>#DIV/0!</v>
      </c>
      <c r="AH24" s="4" t="e">
        <f>100*AD24/TOTAL_BASIC!$C$86</f>
        <v>#DIV/0!</v>
      </c>
      <c r="AI24" s="3" t="e">
        <f t="shared" si="10"/>
        <v>#DIV/0!</v>
      </c>
      <c r="AJ24" s="3"/>
      <c r="AM24" s="4" t="e">
        <f t="shared" si="11"/>
        <v>#N/A</v>
      </c>
      <c r="AN24" s="4" t="e">
        <f t="shared" si="11"/>
        <v>#N/A</v>
      </c>
      <c r="AO24" s="4" t="e">
        <f t="shared" si="11"/>
        <v>#N/A</v>
      </c>
      <c r="AP24" s="4" t="e">
        <f t="shared" si="11"/>
        <v>#N/A</v>
      </c>
      <c r="AQ24" s="4" t="e">
        <f t="shared" si="11"/>
        <v>#N/A</v>
      </c>
      <c r="AR24" s="4" t="e">
        <f t="shared" si="11"/>
        <v>#N/A</v>
      </c>
      <c r="AS24" s="4" t="e">
        <f t="shared" si="11"/>
        <v>#N/A</v>
      </c>
      <c r="AT24" s="4" t="e">
        <f t="shared" si="11"/>
        <v>#N/A</v>
      </c>
      <c r="AU24" s="4" t="e">
        <f t="shared" si="18"/>
        <v>#N/A</v>
      </c>
      <c r="AV24" s="4" t="e">
        <f t="shared" si="18"/>
        <v>#N/A</v>
      </c>
      <c r="AW24" s="4" t="e">
        <f t="shared" si="18"/>
        <v>#N/A</v>
      </c>
      <c r="AX24" s="4" t="e">
        <f t="shared" si="18"/>
        <v>#N/A</v>
      </c>
      <c r="AY24" s="4" t="e">
        <f t="shared" si="18"/>
        <v>#N/A</v>
      </c>
      <c r="AZ24" s="4" t="e">
        <f t="shared" si="18"/>
        <v>#N/A</v>
      </c>
      <c r="BA24" s="4" t="e">
        <f t="shared" si="18"/>
        <v>#N/A</v>
      </c>
      <c r="BB24" s="4" t="e">
        <f t="shared" si="17"/>
        <v>#N/A</v>
      </c>
      <c r="BC24" s="4" t="e">
        <f t="shared" si="12"/>
        <v>#N/A</v>
      </c>
      <c r="BD24" s="4" t="e">
        <f t="shared" si="13"/>
        <v>#N/A</v>
      </c>
      <c r="BE24" s="4" t="e">
        <f t="shared" si="14"/>
        <v>#N/A</v>
      </c>
      <c r="BF24" s="4">
        <f t="shared" si="12"/>
        <v>0</v>
      </c>
      <c r="BG24" s="4">
        <f t="shared" si="12"/>
        <v>0</v>
      </c>
      <c r="BH24" s="4" t="e">
        <f t="shared" si="12"/>
        <v>#N/A</v>
      </c>
      <c r="BI24" s="4" t="e">
        <f t="shared" si="15"/>
        <v>#N/A</v>
      </c>
      <c r="BJ24" s="4" t="e">
        <f t="shared" si="15"/>
        <v>#DIV/0!</v>
      </c>
      <c r="BK24" s="4" t="e">
        <f t="shared" si="15"/>
        <v>#DIV/0!</v>
      </c>
      <c r="BL24" s="4" t="e">
        <f t="shared" si="15"/>
        <v>#DIV/0!</v>
      </c>
      <c r="BM24" s="4" t="e">
        <f t="shared" si="15"/>
        <v>#DIV/0!</v>
      </c>
      <c r="BN24" s="4" t="e">
        <f t="shared" si="1"/>
        <v>#DIV/0!</v>
      </c>
      <c r="BO24" s="4" t="e">
        <f t="shared" si="16"/>
        <v>#N/A</v>
      </c>
    </row>
    <row r="25" spans="1:67">
      <c r="A25" s="2"/>
      <c r="B25" s="5"/>
      <c r="C25" s="2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>
        <f t="shared" si="2"/>
        <v>0</v>
      </c>
      <c r="X25" s="9">
        <f t="shared" si="3"/>
        <v>0</v>
      </c>
      <c r="Y25" s="9" t="str">
        <f t="shared" si="4"/>
        <v>0</v>
      </c>
      <c r="Z25" s="6" t="str">
        <f t="shared" si="5"/>
        <v>0</v>
      </c>
      <c r="AA25" s="9" t="e">
        <f t="shared" si="6"/>
        <v>#DIV/0!</v>
      </c>
      <c r="AB25" s="6" t="e">
        <f t="shared" si="7"/>
        <v>#DIV/0!</v>
      </c>
      <c r="AC25" s="6" t="e">
        <f t="shared" si="8"/>
        <v>#DIV/0!</v>
      </c>
      <c r="AD25" s="9" t="e">
        <f t="shared" si="9"/>
        <v>#DIV/0!</v>
      </c>
      <c r="AE25" s="4" t="e">
        <f>100*(AA25/TOTAL_BASIC!$C$81)</f>
        <v>#DIV/0!</v>
      </c>
      <c r="AF25" s="4" t="e">
        <f>100*AC25/TOTAL_BASIC!$C$82</f>
        <v>#DIV/0!</v>
      </c>
      <c r="AG25" s="4" t="e">
        <f>100*N25/TOTAL_BASIC!$C$87</f>
        <v>#DIV/0!</v>
      </c>
      <c r="AH25" s="4" t="e">
        <f>100*AD25/TOTAL_BASIC!$C$86</f>
        <v>#DIV/0!</v>
      </c>
      <c r="AI25" s="3" t="e">
        <f t="shared" si="10"/>
        <v>#DIV/0!</v>
      </c>
      <c r="AJ25" s="3"/>
      <c r="AM25" s="4" t="e">
        <f t="shared" si="11"/>
        <v>#N/A</v>
      </c>
      <c r="AN25" s="4" t="e">
        <f t="shared" si="11"/>
        <v>#N/A</v>
      </c>
      <c r="AO25" s="4" t="e">
        <f t="shared" si="11"/>
        <v>#N/A</v>
      </c>
      <c r="AP25" s="4" t="e">
        <f t="shared" si="11"/>
        <v>#N/A</v>
      </c>
      <c r="AQ25" s="4" t="e">
        <f t="shared" si="11"/>
        <v>#N/A</v>
      </c>
      <c r="AR25" s="4" t="e">
        <f t="shared" si="11"/>
        <v>#N/A</v>
      </c>
      <c r="AS25" s="4" t="e">
        <f t="shared" si="11"/>
        <v>#N/A</v>
      </c>
      <c r="AT25" s="4" t="e">
        <f t="shared" si="11"/>
        <v>#N/A</v>
      </c>
      <c r="AU25" s="4" t="e">
        <f t="shared" si="18"/>
        <v>#N/A</v>
      </c>
      <c r="AV25" s="4" t="e">
        <f t="shared" si="18"/>
        <v>#N/A</v>
      </c>
      <c r="AW25" s="4" t="e">
        <f t="shared" si="18"/>
        <v>#N/A</v>
      </c>
      <c r="AX25" s="4" t="e">
        <f t="shared" si="18"/>
        <v>#N/A</v>
      </c>
      <c r="AY25" s="4" t="e">
        <f t="shared" si="18"/>
        <v>#N/A</v>
      </c>
      <c r="AZ25" s="4" t="e">
        <f t="shared" si="18"/>
        <v>#N/A</v>
      </c>
      <c r="BA25" s="4" t="e">
        <f t="shared" si="18"/>
        <v>#N/A</v>
      </c>
      <c r="BB25" s="4" t="e">
        <f t="shared" si="17"/>
        <v>#N/A</v>
      </c>
      <c r="BC25" s="4" t="e">
        <f t="shared" si="12"/>
        <v>#N/A</v>
      </c>
      <c r="BD25" s="4" t="e">
        <f t="shared" si="13"/>
        <v>#N/A</v>
      </c>
      <c r="BE25" s="4" t="e">
        <f t="shared" si="14"/>
        <v>#N/A</v>
      </c>
      <c r="BF25" s="4">
        <f t="shared" si="12"/>
        <v>0</v>
      </c>
      <c r="BG25" s="4">
        <f t="shared" si="12"/>
        <v>0</v>
      </c>
      <c r="BH25" s="4" t="e">
        <f t="shared" si="12"/>
        <v>#N/A</v>
      </c>
      <c r="BI25" s="4" t="e">
        <f t="shared" si="15"/>
        <v>#N/A</v>
      </c>
      <c r="BJ25" s="4" t="e">
        <f t="shared" si="15"/>
        <v>#DIV/0!</v>
      </c>
      <c r="BK25" s="4" t="e">
        <f t="shared" si="15"/>
        <v>#DIV/0!</v>
      </c>
      <c r="BL25" s="4" t="e">
        <f t="shared" si="15"/>
        <v>#DIV/0!</v>
      </c>
      <c r="BM25" s="4" t="e">
        <f t="shared" si="15"/>
        <v>#DIV/0!</v>
      </c>
      <c r="BN25" s="4" t="e">
        <f t="shared" si="1"/>
        <v>#DIV/0!</v>
      </c>
      <c r="BO25" s="4" t="e">
        <f t="shared" si="16"/>
        <v>#N/A</v>
      </c>
    </row>
    <row r="26" spans="1:67">
      <c r="A26" s="2"/>
      <c r="B26" s="5"/>
      <c r="C26" s="2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>
        <f t="shared" si="2"/>
        <v>0</v>
      </c>
      <c r="X26" s="9">
        <f t="shared" si="3"/>
        <v>0</v>
      </c>
      <c r="Y26" s="9" t="str">
        <f t="shared" si="4"/>
        <v>0</v>
      </c>
      <c r="Z26" s="6" t="str">
        <f t="shared" si="5"/>
        <v>0</v>
      </c>
      <c r="AA26" s="9" t="e">
        <f t="shared" si="6"/>
        <v>#DIV/0!</v>
      </c>
      <c r="AB26" s="6" t="e">
        <f t="shared" si="7"/>
        <v>#DIV/0!</v>
      </c>
      <c r="AC26" s="6" t="e">
        <f t="shared" si="8"/>
        <v>#DIV/0!</v>
      </c>
      <c r="AD26" s="9" t="e">
        <f t="shared" si="9"/>
        <v>#DIV/0!</v>
      </c>
      <c r="AE26" s="4" t="e">
        <f>100*(AA26/TOTAL_BASIC!$C$81)</f>
        <v>#DIV/0!</v>
      </c>
      <c r="AF26" s="4" t="e">
        <f>100*AC26/TOTAL_BASIC!$C$82</f>
        <v>#DIV/0!</v>
      </c>
      <c r="AG26" s="4" t="e">
        <f>100*N26/TOTAL_BASIC!$C$87</f>
        <v>#DIV/0!</v>
      </c>
      <c r="AH26" s="4" t="e">
        <f>100*AD26/TOTAL_BASIC!$C$86</f>
        <v>#DIV/0!</v>
      </c>
      <c r="AI26" s="3" t="e">
        <f t="shared" si="10"/>
        <v>#DIV/0!</v>
      </c>
      <c r="AJ26" s="3"/>
      <c r="AM26" s="4" t="e">
        <f t="shared" si="11"/>
        <v>#N/A</v>
      </c>
      <c r="AN26" s="4" t="e">
        <f t="shared" si="11"/>
        <v>#N/A</v>
      </c>
      <c r="AO26" s="4" t="e">
        <f t="shared" si="11"/>
        <v>#N/A</v>
      </c>
      <c r="AP26" s="4" t="e">
        <f t="shared" si="11"/>
        <v>#N/A</v>
      </c>
      <c r="AQ26" s="4" t="e">
        <f t="shared" si="11"/>
        <v>#N/A</v>
      </c>
      <c r="AR26" s="4" t="e">
        <f t="shared" si="11"/>
        <v>#N/A</v>
      </c>
      <c r="AS26" s="4" t="e">
        <f t="shared" si="11"/>
        <v>#N/A</v>
      </c>
      <c r="AT26" s="4" t="e">
        <f t="shared" si="11"/>
        <v>#N/A</v>
      </c>
      <c r="AU26" s="4" t="e">
        <f t="shared" si="18"/>
        <v>#N/A</v>
      </c>
      <c r="AV26" s="4" t="e">
        <f t="shared" si="18"/>
        <v>#N/A</v>
      </c>
      <c r="AW26" s="4" t="e">
        <f t="shared" si="18"/>
        <v>#N/A</v>
      </c>
      <c r="AX26" s="4" t="e">
        <f t="shared" si="18"/>
        <v>#N/A</v>
      </c>
      <c r="AY26" s="4" t="e">
        <f t="shared" si="18"/>
        <v>#N/A</v>
      </c>
      <c r="AZ26" s="4" t="e">
        <f t="shared" si="18"/>
        <v>#N/A</v>
      </c>
      <c r="BA26" s="4" t="e">
        <f t="shared" si="18"/>
        <v>#N/A</v>
      </c>
      <c r="BB26" s="4" t="e">
        <f t="shared" si="17"/>
        <v>#N/A</v>
      </c>
      <c r="BC26" s="4" t="e">
        <f t="shared" si="12"/>
        <v>#N/A</v>
      </c>
      <c r="BD26" s="4" t="e">
        <f t="shared" si="13"/>
        <v>#N/A</v>
      </c>
      <c r="BE26" s="4" t="e">
        <f t="shared" si="14"/>
        <v>#N/A</v>
      </c>
      <c r="BF26" s="4">
        <f t="shared" si="12"/>
        <v>0</v>
      </c>
      <c r="BG26" s="4">
        <f t="shared" si="12"/>
        <v>0</v>
      </c>
      <c r="BH26" s="4" t="e">
        <f t="shared" si="12"/>
        <v>#N/A</v>
      </c>
      <c r="BI26" s="4" t="e">
        <f t="shared" si="15"/>
        <v>#N/A</v>
      </c>
      <c r="BJ26" s="4" t="e">
        <f t="shared" si="15"/>
        <v>#DIV/0!</v>
      </c>
      <c r="BK26" s="4" t="e">
        <f t="shared" si="15"/>
        <v>#DIV/0!</v>
      </c>
      <c r="BL26" s="4" t="e">
        <f t="shared" si="15"/>
        <v>#DIV/0!</v>
      </c>
      <c r="BM26" s="4" t="e">
        <f t="shared" si="15"/>
        <v>#DIV/0!</v>
      </c>
      <c r="BN26" s="4" t="e">
        <f t="shared" si="1"/>
        <v>#DIV/0!</v>
      </c>
      <c r="BO26" s="4" t="e">
        <f t="shared" si="16"/>
        <v>#N/A</v>
      </c>
    </row>
    <row r="27" spans="1:67">
      <c r="A27" s="2"/>
      <c r="B27" s="5"/>
      <c r="C27" s="2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>
        <f t="shared" si="2"/>
        <v>0</v>
      </c>
      <c r="X27" s="9">
        <f t="shared" si="3"/>
        <v>0</v>
      </c>
      <c r="Y27" s="9" t="str">
        <f t="shared" si="4"/>
        <v>0</v>
      </c>
      <c r="Z27" s="6" t="str">
        <f t="shared" si="5"/>
        <v>0</v>
      </c>
      <c r="AA27" s="9" t="e">
        <f t="shared" si="6"/>
        <v>#DIV/0!</v>
      </c>
      <c r="AB27" s="6" t="e">
        <f t="shared" si="7"/>
        <v>#DIV/0!</v>
      </c>
      <c r="AC27" s="6" t="e">
        <f t="shared" si="8"/>
        <v>#DIV/0!</v>
      </c>
      <c r="AD27" s="9" t="e">
        <f t="shared" si="9"/>
        <v>#DIV/0!</v>
      </c>
      <c r="AE27" s="4" t="e">
        <f>100*(AA27/TOTAL_BASIC!$C$81)</f>
        <v>#DIV/0!</v>
      </c>
      <c r="AF27" s="4" t="e">
        <f>100*AC27/TOTAL_BASIC!$C$82</f>
        <v>#DIV/0!</v>
      </c>
      <c r="AG27" s="4" t="e">
        <f>100*N27/TOTAL_BASIC!$C$87</f>
        <v>#DIV/0!</v>
      </c>
      <c r="AH27" s="4" t="e">
        <f>100*AD27/TOTAL_BASIC!$C$86</f>
        <v>#DIV/0!</v>
      </c>
      <c r="AI27" s="3" t="e">
        <f t="shared" si="10"/>
        <v>#DIV/0!</v>
      </c>
      <c r="AJ27" s="3"/>
      <c r="AM27" s="4" t="e">
        <f t="shared" si="11"/>
        <v>#N/A</v>
      </c>
      <c r="AN27" s="4" t="e">
        <f t="shared" si="11"/>
        <v>#N/A</v>
      </c>
      <c r="AO27" s="4" t="e">
        <f t="shared" si="11"/>
        <v>#N/A</v>
      </c>
      <c r="AP27" s="4" t="e">
        <f t="shared" si="11"/>
        <v>#N/A</v>
      </c>
      <c r="AQ27" s="4" t="e">
        <f t="shared" si="11"/>
        <v>#N/A</v>
      </c>
      <c r="AR27" s="4" t="e">
        <f t="shared" si="11"/>
        <v>#N/A</v>
      </c>
      <c r="AS27" s="4" t="e">
        <f t="shared" si="11"/>
        <v>#N/A</v>
      </c>
      <c r="AT27" s="4" t="e">
        <f t="shared" si="11"/>
        <v>#N/A</v>
      </c>
      <c r="AU27" s="4" t="e">
        <f t="shared" si="18"/>
        <v>#N/A</v>
      </c>
      <c r="AV27" s="4" t="e">
        <f t="shared" si="18"/>
        <v>#N/A</v>
      </c>
      <c r="AW27" s="4" t="e">
        <f t="shared" si="18"/>
        <v>#N/A</v>
      </c>
      <c r="AX27" s="4" t="e">
        <f t="shared" si="18"/>
        <v>#N/A</v>
      </c>
      <c r="AY27" s="4" t="e">
        <f t="shared" si="18"/>
        <v>#N/A</v>
      </c>
      <c r="AZ27" s="4" t="e">
        <f t="shared" si="18"/>
        <v>#N/A</v>
      </c>
      <c r="BA27" s="4" t="e">
        <f t="shared" si="18"/>
        <v>#N/A</v>
      </c>
      <c r="BB27" s="4" t="e">
        <f t="shared" si="17"/>
        <v>#N/A</v>
      </c>
      <c r="BC27" s="4" t="e">
        <f t="shared" si="12"/>
        <v>#N/A</v>
      </c>
      <c r="BD27" s="4" t="e">
        <f t="shared" si="13"/>
        <v>#N/A</v>
      </c>
      <c r="BE27" s="4" t="e">
        <f t="shared" si="14"/>
        <v>#N/A</v>
      </c>
      <c r="BF27" s="4">
        <f t="shared" si="12"/>
        <v>0</v>
      </c>
      <c r="BG27" s="4">
        <f t="shared" si="12"/>
        <v>0</v>
      </c>
      <c r="BH27" s="4" t="e">
        <f t="shared" si="12"/>
        <v>#N/A</v>
      </c>
      <c r="BI27" s="4" t="e">
        <f t="shared" si="15"/>
        <v>#N/A</v>
      </c>
      <c r="BJ27" s="4" t="e">
        <f t="shared" si="15"/>
        <v>#DIV/0!</v>
      </c>
      <c r="BK27" s="4" t="e">
        <f t="shared" si="15"/>
        <v>#DIV/0!</v>
      </c>
      <c r="BL27" s="4" t="e">
        <f t="shared" si="15"/>
        <v>#DIV/0!</v>
      </c>
      <c r="BM27" s="4" t="e">
        <f t="shared" si="15"/>
        <v>#DIV/0!</v>
      </c>
      <c r="BN27" s="4" t="e">
        <f t="shared" si="1"/>
        <v>#DIV/0!</v>
      </c>
      <c r="BO27" s="4" t="e">
        <f t="shared" si="16"/>
        <v>#N/A</v>
      </c>
    </row>
    <row r="28" spans="1:67">
      <c r="A28" s="2"/>
      <c r="B28" s="5"/>
      <c r="C28" s="2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>
        <f t="shared" si="2"/>
        <v>0</v>
      </c>
      <c r="X28" s="9">
        <f t="shared" si="3"/>
        <v>0</v>
      </c>
      <c r="Y28" s="9" t="str">
        <f t="shared" si="4"/>
        <v>0</v>
      </c>
      <c r="Z28" s="6" t="str">
        <f t="shared" si="5"/>
        <v>0</v>
      </c>
      <c r="AA28" s="9" t="e">
        <f t="shared" si="6"/>
        <v>#DIV/0!</v>
      </c>
      <c r="AB28" s="6" t="e">
        <f t="shared" si="7"/>
        <v>#DIV/0!</v>
      </c>
      <c r="AC28" s="6" t="e">
        <f t="shared" si="8"/>
        <v>#DIV/0!</v>
      </c>
      <c r="AD28" s="9" t="e">
        <f t="shared" si="9"/>
        <v>#DIV/0!</v>
      </c>
      <c r="AE28" s="4" t="e">
        <f>100*(AA28/TOTAL_BASIC!$C$81)</f>
        <v>#DIV/0!</v>
      </c>
      <c r="AF28" s="4" t="e">
        <f>100*AC28/TOTAL_BASIC!$C$82</f>
        <v>#DIV/0!</v>
      </c>
      <c r="AG28" s="4" t="e">
        <f>100*N28/TOTAL_BASIC!$C$87</f>
        <v>#DIV/0!</v>
      </c>
      <c r="AH28" s="4" t="e">
        <f>100*AD28/TOTAL_BASIC!$C$86</f>
        <v>#DIV/0!</v>
      </c>
      <c r="AI28" s="3" t="e">
        <f t="shared" si="10"/>
        <v>#DIV/0!</v>
      </c>
      <c r="AJ28" s="3"/>
      <c r="AM28" s="4" t="e">
        <f t="shared" si="11"/>
        <v>#N/A</v>
      </c>
      <c r="AN28" s="4" t="e">
        <f t="shared" si="11"/>
        <v>#N/A</v>
      </c>
      <c r="AO28" s="4" t="e">
        <f t="shared" si="11"/>
        <v>#N/A</v>
      </c>
      <c r="AP28" s="4" t="e">
        <f t="shared" si="11"/>
        <v>#N/A</v>
      </c>
      <c r="AQ28" s="4" t="e">
        <f t="shared" si="11"/>
        <v>#N/A</v>
      </c>
      <c r="AR28" s="4" t="e">
        <f t="shared" si="11"/>
        <v>#N/A</v>
      </c>
      <c r="AS28" s="4" t="e">
        <f t="shared" si="11"/>
        <v>#N/A</v>
      </c>
      <c r="AT28" s="4" t="e">
        <f t="shared" si="11"/>
        <v>#N/A</v>
      </c>
      <c r="AU28" s="4" t="e">
        <f t="shared" si="18"/>
        <v>#N/A</v>
      </c>
      <c r="AV28" s="4" t="e">
        <f t="shared" si="18"/>
        <v>#N/A</v>
      </c>
      <c r="AW28" s="4" t="e">
        <f t="shared" si="18"/>
        <v>#N/A</v>
      </c>
      <c r="AX28" s="4" t="e">
        <f t="shared" si="18"/>
        <v>#N/A</v>
      </c>
      <c r="AY28" s="4" t="e">
        <f t="shared" si="18"/>
        <v>#N/A</v>
      </c>
      <c r="AZ28" s="4" t="e">
        <f t="shared" si="18"/>
        <v>#N/A</v>
      </c>
      <c r="BA28" s="4" t="e">
        <f t="shared" si="18"/>
        <v>#N/A</v>
      </c>
      <c r="BB28" s="4" t="e">
        <f t="shared" si="17"/>
        <v>#N/A</v>
      </c>
      <c r="BC28" s="4" t="e">
        <f t="shared" si="12"/>
        <v>#N/A</v>
      </c>
      <c r="BD28" s="4" t="e">
        <f t="shared" si="13"/>
        <v>#N/A</v>
      </c>
      <c r="BE28" s="4" t="e">
        <f t="shared" si="14"/>
        <v>#N/A</v>
      </c>
      <c r="BF28" s="4">
        <f t="shared" si="12"/>
        <v>0</v>
      </c>
      <c r="BG28" s="4">
        <f t="shared" si="12"/>
        <v>0</v>
      </c>
      <c r="BH28" s="4" t="e">
        <f t="shared" si="12"/>
        <v>#N/A</v>
      </c>
      <c r="BI28" s="4" t="e">
        <f t="shared" si="15"/>
        <v>#N/A</v>
      </c>
      <c r="BJ28" s="4" t="e">
        <f t="shared" si="15"/>
        <v>#DIV/0!</v>
      </c>
      <c r="BK28" s="4" t="e">
        <f t="shared" si="15"/>
        <v>#DIV/0!</v>
      </c>
      <c r="BL28" s="4" t="e">
        <f t="shared" si="15"/>
        <v>#DIV/0!</v>
      </c>
      <c r="BM28" s="4" t="e">
        <f t="shared" si="15"/>
        <v>#DIV/0!</v>
      </c>
      <c r="BN28" s="4" t="e">
        <f t="shared" si="1"/>
        <v>#DIV/0!</v>
      </c>
      <c r="BO28" s="4" t="e">
        <f t="shared" si="16"/>
        <v>#N/A</v>
      </c>
    </row>
    <row r="29" spans="1:67">
      <c r="A29" s="2"/>
      <c r="B29" s="5"/>
      <c r="C29" s="2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>
        <f t="shared" si="2"/>
        <v>0</v>
      </c>
      <c r="X29" s="9">
        <f t="shared" si="3"/>
        <v>0</v>
      </c>
      <c r="Y29" s="9" t="str">
        <f t="shared" si="4"/>
        <v>0</v>
      </c>
      <c r="Z29" s="6" t="str">
        <f t="shared" si="5"/>
        <v>0</v>
      </c>
      <c r="AA29" s="9" t="e">
        <f t="shared" si="6"/>
        <v>#DIV/0!</v>
      </c>
      <c r="AB29" s="6" t="e">
        <f t="shared" si="7"/>
        <v>#DIV/0!</v>
      </c>
      <c r="AC29" s="6" t="e">
        <f t="shared" si="8"/>
        <v>#DIV/0!</v>
      </c>
      <c r="AD29" s="9" t="e">
        <f t="shared" si="9"/>
        <v>#DIV/0!</v>
      </c>
      <c r="AE29" s="4" t="e">
        <f>100*(AA29/TOTAL_BASIC!$C$81)</f>
        <v>#DIV/0!</v>
      </c>
      <c r="AF29" s="4" t="e">
        <f>100*AC29/TOTAL_BASIC!$C$82</f>
        <v>#DIV/0!</v>
      </c>
      <c r="AG29" s="4" t="e">
        <f>100*N29/TOTAL_BASIC!$C$87</f>
        <v>#DIV/0!</v>
      </c>
      <c r="AH29" s="4" t="e">
        <f>100*AD29/TOTAL_BASIC!$C$86</f>
        <v>#DIV/0!</v>
      </c>
      <c r="AI29" s="3" t="e">
        <f t="shared" si="10"/>
        <v>#DIV/0!</v>
      </c>
      <c r="AJ29" s="3"/>
      <c r="AM29" s="4" t="e">
        <f t="shared" si="11"/>
        <v>#N/A</v>
      </c>
      <c r="AN29" s="4" t="e">
        <f t="shared" si="11"/>
        <v>#N/A</v>
      </c>
      <c r="AO29" s="4" t="e">
        <f t="shared" si="11"/>
        <v>#N/A</v>
      </c>
      <c r="AP29" s="4" t="e">
        <f t="shared" si="11"/>
        <v>#N/A</v>
      </c>
      <c r="AQ29" s="4" t="e">
        <f t="shared" si="11"/>
        <v>#N/A</v>
      </c>
      <c r="AR29" s="4" t="e">
        <f t="shared" si="11"/>
        <v>#N/A</v>
      </c>
      <c r="AS29" s="4" t="e">
        <f t="shared" si="11"/>
        <v>#N/A</v>
      </c>
      <c r="AT29" s="4" t="e">
        <f t="shared" si="11"/>
        <v>#N/A</v>
      </c>
      <c r="AU29" s="4" t="e">
        <f t="shared" si="18"/>
        <v>#N/A</v>
      </c>
      <c r="AV29" s="4" t="e">
        <f t="shared" si="18"/>
        <v>#N/A</v>
      </c>
      <c r="AW29" s="4" t="e">
        <f t="shared" si="18"/>
        <v>#N/A</v>
      </c>
      <c r="AX29" s="4" t="e">
        <f t="shared" si="18"/>
        <v>#N/A</v>
      </c>
      <c r="AY29" s="4" t="e">
        <f t="shared" si="18"/>
        <v>#N/A</v>
      </c>
      <c r="AZ29" s="4" t="e">
        <f t="shared" si="18"/>
        <v>#N/A</v>
      </c>
      <c r="BA29" s="4" t="e">
        <f t="shared" si="18"/>
        <v>#N/A</v>
      </c>
      <c r="BB29" s="4" t="e">
        <f t="shared" si="17"/>
        <v>#N/A</v>
      </c>
      <c r="BC29" s="4" t="e">
        <f t="shared" si="12"/>
        <v>#N/A</v>
      </c>
      <c r="BD29" s="4" t="e">
        <f t="shared" si="13"/>
        <v>#N/A</v>
      </c>
      <c r="BE29" s="4" t="e">
        <f t="shared" si="14"/>
        <v>#N/A</v>
      </c>
      <c r="BF29" s="4">
        <f t="shared" si="12"/>
        <v>0</v>
      </c>
      <c r="BG29" s="4">
        <f t="shared" si="12"/>
        <v>0</v>
      </c>
      <c r="BH29" s="4" t="e">
        <f t="shared" ref="BH29:BH49" si="19">(PERCENTRANK(Y$3:Y$78,Y29))*100</f>
        <v>#N/A</v>
      </c>
      <c r="BI29" s="4" t="e">
        <f t="shared" si="15"/>
        <v>#N/A</v>
      </c>
      <c r="BJ29" s="4" t="e">
        <f t="shared" si="15"/>
        <v>#DIV/0!</v>
      </c>
      <c r="BK29" s="4" t="e">
        <f t="shared" si="15"/>
        <v>#DIV/0!</v>
      </c>
      <c r="BL29" s="4" t="e">
        <f t="shared" si="15"/>
        <v>#DIV/0!</v>
      </c>
      <c r="BM29" s="4" t="e">
        <f t="shared" si="15"/>
        <v>#DIV/0!</v>
      </c>
      <c r="BN29" s="4" t="e">
        <f t="shared" si="1"/>
        <v>#DIV/0!</v>
      </c>
      <c r="BO29" s="4" t="e">
        <f t="shared" si="16"/>
        <v>#N/A</v>
      </c>
    </row>
    <row r="30" spans="1:67">
      <c r="A30" s="2"/>
      <c r="B30" s="5"/>
      <c r="C30" s="2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>
        <f t="shared" si="2"/>
        <v>0</v>
      </c>
      <c r="X30" s="9">
        <f t="shared" si="3"/>
        <v>0</v>
      </c>
      <c r="Y30" s="9" t="str">
        <f t="shared" si="4"/>
        <v>0</v>
      </c>
      <c r="Z30" s="6" t="str">
        <f t="shared" si="5"/>
        <v>0</v>
      </c>
      <c r="AA30" s="9" t="e">
        <f t="shared" si="6"/>
        <v>#DIV/0!</v>
      </c>
      <c r="AB30" s="6" t="e">
        <f t="shared" si="7"/>
        <v>#DIV/0!</v>
      </c>
      <c r="AC30" s="6" t="e">
        <f t="shared" si="8"/>
        <v>#DIV/0!</v>
      </c>
      <c r="AD30" s="9" t="e">
        <f t="shared" si="9"/>
        <v>#DIV/0!</v>
      </c>
      <c r="AE30" s="4" t="e">
        <f>100*(AA30/TOTAL_BASIC!$C$81)</f>
        <v>#DIV/0!</v>
      </c>
      <c r="AF30" s="4" t="e">
        <f>100*AC30/TOTAL_BASIC!$C$82</f>
        <v>#DIV/0!</v>
      </c>
      <c r="AG30" s="4" t="e">
        <f>100*N30/TOTAL_BASIC!$C$87</f>
        <v>#DIV/0!</v>
      </c>
      <c r="AH30" s="4" t="e">
        <f>100*AD30/TOTAL_BASIC!$C$86</f>
        <v>#DIV/0!</v>
      </c>
      <c r="AI30" s="3" t="e">
        <f t="shared" si="10"/>
        <v>#DIV/0!</v>
      </c>
      <c r="AJ30" s="3"/>
      <c r="AM30" s="4" t="e">
        <f t="shared" si="11"/>
        <v>#N/A</v>
      </c>
      <c r="AN30" s="4" t="e">
        <f t="shared" si="11"/>
        <v>#N/A</v>
      </c>
      <c r="AO30" s="4" t="e">
        <f t="shared" si="11"/>
        <v>#N/A</v>
      </c>
      <c r="AP30" s="4" t="e">
        <f t="shared" si="11"/>
        <v>#N/A</v>
      </c>
      <c r="AQ30" s="4" t="e">
        <f t="shared" si="11"/>
        <v>#N/A</v>
      </c>
      <c r="AR30" s="4" t="e">
        <f t="shared" si="11"/>
        <v>#N/A</v>
      </c>
      <c r="AS30" s="4" t="e">
        <f t="shared" si="11"/>
        <v>#N/A</v>
      </c>
      <c r="AT30" s="4" t="e">
        <f t="shared" si="11"/>
        <v>#N/A</v>
      </c>
      <c r="AU30" s="4" t="e">
        <f t="shared" si="18"/>
        <v>#N/A</v>
      </c>
      <c r="AV30" s="4" t="e">
        <f t="shared" si="18"/>
        <v>#N/A</v>
      </c>
      <c r="AW30" s="4" t="e">
        <f t="shared" si="18"/>
        <v>#N/A</v>
      </c>
      <c r="AX30" s="4" t="e">
        <f t="shared" si="18"/>
        <v>#N/A</v>
      </c>
      <c r="AY30" s="4" t="e">
        <f t="shared" si="18"/>
        <v>#N/A</v>
      </c>
      <c r="AZ30" s="4" t="e">
        <f t="shared" si="18"/>
        <v>#N/A</v>
      </c>
      <c r="BA30" s="4" t="e">
        <f t="shared" si="18"/>
        <v>#N/A</v>
      </c>
      <c r="BB30" s="4" t="e">
        <f t="shared" si="17"/>
        <v>#N/A</v>
      </c>
      <c r="BC30" s="4" t="e">
        <f t="shared" si="12"/>
        <v>#N/A</v>
      </c>
      <c r="BD30" s="4" t="e">
        <f t="shared" si="13"/>
        <v>#N/A</v>
      </c>
      <c r="BE30" s="4" t="e">
        <f t="shared" si="14"/>
        <v>#N/A</v>
      </c>
      <c r="BF30" s="4">
        <f t="shared" si="12"/>
        <v>0</v>
      </c>
      <c r="BG30" s="4">
        <f t="shared" si="12"/>
        <v>0</v>
      </c>
      <c r="BH30" s="4" t="e">
        <f t="shared" si="19"/>
        <v>#N/A</v>
      </c>
      <c r="BI30" s="4" t="e">
        <f t="shared" si="15"/>
        <v>#N/A</v>
      </c>
      <c r="BJ30" s="4" t="e">
        <f t="shared" si="15"/>
        <v>#DIV/0!</v>
      </c>
      <c r="BK30" s="4" t="e">
        <f t="shared" si="15"/>
        <v>#DIV/0!</v>
      </c>
      <c r="BL30" s="4" t="e">
        <f t="shared" si="15"/>
        <v>#DIV/0!</v>
      </c>
      <c r="BM30" s="4" t="e">
        <f t="shared" si="15"/>
        <v>#DIV/0!</v>
      </c>
      <c r="BN30" s="4" t="e">
        <f t="shared" si="1"/>
        <v>#DIV/0!</v>
      </c>
      <c r="BO30" s="4" t="e">
        <f t="shared" si="16"/>
        <v>#N/A</v>
      </c>
    </row>
    <row r="31" spans="1:67">
      <c r="A31" s="2"/>
      <c r="B31" s="5"/>
      <c r="C31" s="2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>
        <f t="shared" si="2"/>
        <v>0</v>
      </c>
      <c r="X31" s="9">
        <f t="shared" si="3"/>
        <v>0</v>
      </c>
      <c r="Y31" s="9" t="str">
        <f t="shared" si="4"/>
        <v>0</v>
      </c>
      <c r="Z31" s="6" t="str">
        <f t="shared" si="5"/>
        <v>0</v>
      </c>
      <c r="AA31" s="9" t="e">
        <f t="shared" si="6"/>
        <v>#DIV/0!</v>
      </c>
      <c r="AB31" s="6" t="e">
        <f t="shared" si="7"/>
        <v>#DIV/0!</v>
      </c>
      <c r="AC31" s="6" t="e">
        <f t="shared" si="8"/>
        <v>#DIV/0!</v>
      </c>
      <c r="AD31" s="9" t="e">
        <f t="shared" si="9"/>
        <v>#DIV/0!</v>
      </c>
      <c r="AE31" s="4" t="e">
        <f>100*(AA31/TOTAL_BASIC!$C$81)</f>
        <v>#DIV/0!</v>
      </c>
      <c r="AF31" s="4" t="e">
        <f>100*AC31/TOTAL_BASIC!$C$82</f>
        <v>#DIV/0!</v>
      </c>
      <c r="AG31" s="4" t="e">
        <f>100*N31/TOTAL_BASIC!$C$87</f>
        <v>#DIV/0!</v>
      </c>
      <c r="AH31" s="4" t="e">
        <f>100*AD31/TOTAL_BASIC!$C$86</f>
        <v>#DIV/0!</v>
      </c>
      <c r="AI31" s="3" t="e">
        <f t="shared" si="10"/>
        <v>#DIV/0!</v>
      </c>
      <c r="AJ31" s="3"/>
      <c r="AM31" s="4" t="e">
        <f t="shared" si="11"/>
        <v>#N/A</v>
      </c>
      <c r="AN31" s="4" t="e">
        <f t="shared" si="11"/>
        <v>#N/A</v>
      </c>
      <c r="AO31" s="4" t="e">
        <f t="shared" si="11"/>
        <v>#N/A</v>
      </c>
      <c r="AP31" s="4" t="e">
        <f t="shared" si="11"/>
        <v>#N/A</v>
      </c>
      <c r="AQ31" s="4" t="e">
        <f t="shared" si="11"/>
        <v>#N/A</v>
      </c>
      <c r="AR31" s="4" t="e">
        <f t="shared" si="11"/>
        <v>#N/A</v>
      </c>
      <c r="AS31" s="4" t="e">
        <f t="shared" si="11"/>
        <v>#N/A</v>
      </c>
      <c r="AT31" s="4" t="e">
        <f t="shared" si="11"/>
        <v>#N/A</v>
      </c>
      <c r="AU31" s="4" t="e">
        <f t="shared" si="18"/>
        <v>#N/A</v>
      </c>
      <c r="AV31" s="4" t="e">
        <f t="shared" si="18"/>
        <v>#N/A</v>
      </c>
      <c r="AW31" s="4" t="e">
        <f t="shared" si="18"/>
        <v>#N/A</v>
      </c>
      <c r="AX31" s="4" t="e">
        <f t="shared" si="18"/>
        <v>#N/A</v>
      </c>
      <c r="AY31" s="4" t="e">
        <f t="shared" si="18"/>
        <v>#N/A</v>
      </c>
      <c r="AZ31" s="4" t="e">
        <f t="shared" si="18"/>
        <v>#N/A</v>
      </c>
      <c r="BA31" s="4" t="e">
        <f t="shared" si="18"/>
        <v>#N/A</v>
      </c>
      <c r="BB31" s="4" t="e">
        <f t="shared" si="17"/>
        <v>#N/A</v>
      </c>
      <c r="BC31" s="4" t="e">
        <f t="shared" si="12"/>
        <v>#N/A</v>
      </c>
      <c r="BD31" s="4" t="e">
        <f t="shared" si="13"/>
        <v>#N/A</v>
      </c>
      <c r="BE31" s="4" t="e">
        <f t="shared" si="14"/>
        <v>#N/A</v>
      </c>
      <c r="BF31" s="4">
        <f t="shared" si="12"/>
        <v>0</v>
      </c>
      <c r="BG31" s="4">
        <f t="shared" si="12"/>
        <v>0</v>
      </c>
      <c r="BH31" s="4" t="e">
        <f t="shared" si="19"/>
        <v>#N/A</v>
      </c>
      <c r="BI31" s="4" t="e">
        <f t="shared" si="15"/>
        <v>#N/A</v>
      </c>
      <c r="BJ31" s="4" t="e">
        <f t="shared" si="15"/>
        <v>#DIV/0!</v>
      </c>
      <c r="BK31" s="4" t="e">
        <f t="shared" si="15"/>
        <v>#DIV/0!</v>
      </c>
      <c r="BL31" s="4" t="e">
        <f t="shared" si="15"/>
        <v>#DIV/0!</v>
      </c>
      <c r="BM31" s="4" t="e">
        <f t="shared" si="15"/>
        <v>#DIV/0!</v>
      </c>
      <c r="BN31" s="4" t="e">
        <f t="shared" si="1"/>
        <v>#DIV/0!</v>
      </c>
      <c r="BO31" s="4" t="e">
        <f t="shared" si="16"/>
        <v>#N/A</v>
      </c>
    </row>
    <row r="32" spans="1:67">
      <c r="A32" s="2"/>
      <c r="B32" s="5"/>
      <c r="C32" s="2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>
        <f t="shared" si="2"/>
        <v>0</v>
      </c>
      <c r="X32" s="9">
        <f t="shared" si="3"/>
        <v>0</v>
      </c>
      <c r="Y32" s="9" t="str">
        <f t="shared" si="4"/>
        <v>0</v>
      </c>
      <c r="Z32" s="6" t="str">
        <f t="shared" si="5"/>
        <v>0</v>
      </c>
      <c r="AA32" s="9" t="e">
        <f t="shared" si="6"/>
        <v>#DIV/0!</v>
      </c>
      <c r="AB32" s="6" t="e">
        <f t="shared" si="7"/>
        <v>#DIV/0!</v>
      </c>
      <c r="AC32" s="6" t="e">
        <f t="shared" si="8"/>
        <v>#DIV/0!</v>
      </c>
      <c r="AD32" s="9" t="e">
        <f t="shared" si="9"/>
        <v>#DIV/0!</v>
      </c>
      <c r="AE32" s="4" t="e">
        <f>100*(AA32/TOTAL_BASIC!$C$81)</f>
        <v>#DIV/0!</v>
      </c>
      <c r="AF32" s="4" t="e">
        <f>100*AC32/TOTAL_BASIC!$C$82</f>
        <v>#DIV/0!</v>
      </c>
      <c r="AG32" s="4" t="e">
        <f>100*N32/TOTAL_BASIC!$C$87</f>
        <v>#DIV/0!</v>
      </c>
      <c r="AH32" s="4" t="e">
        <f>100*AD32/TOTAL_BASIC!$C$86</f>
        <v>#DIV/0!</v>
      </c>
      <c r="AI32" s="3" t="e">
        <f t="shared" si="10"/>
        <v>#DIV/0!</v>
      </c>
      <c r="AJ32" s="3"/>
      <c r="AM32" s="4" t="e">
        <f t="shared" si="11"/>
        <v>#N/A</v>
      </c>
      <c r="AN32" s="4" t="e">
        <f t="shared" si="11"/>
        <v>#N/A</v>
      </c>
      <c r="AO32" s="4" t="e">
        <f t="shared" si="11"/>
        <v>#N/A</v>
      </c>
      <c r="AP32" s="4" t="e">
        <f t="shared" si="11"/>
        <v>#N/A</v>
      </c>
      <c r="AQ32" s="4" t="e">
        <f t="shared" si="11"/>
        <v>#N/A</v>
      </c>
      <c r="AR32" s="4" t="e">
        <f t="shared" si="11"/>
        <v>#N/A</v>
      </c>
      <c r="AS32" s="4" t="e">
        <f t="shared" si="11"/>
        <v>#N/A</v>
      </c>
      <c r="AT32" s="4" t="e">
        <f t="shared" si="11"/>
        <v>#N/A</v>
      </c>
      <c r="AU32" s="4" t="e">
        <f t="shared" si="18"/>
        <v>#N/A</v>
      </c>
      <c r="AV32" s="4" t="e">
        <f t="shared" si="18"/>
        <v>#N/A</v>
      </c>
      <c r="AW32" s="4" t="e">
        <f t="shared" si="18"/>
        <v>#N/A</v>
      </c>
      <c r="AX32" s="4" t="e">
        <f t="shared" si="18"/>
        <v>#N/A</v>
      </c>
      <c r="AY32" s="4" t="e">
        <f t="shared" si="18"/>
        <v>#N/A</v>
      </c>
      <c r="AZ32" s="4" t="e">
        <f t="shared" si="18"/>
        <v>#N/A</v>
      </c>
      <c r="BA32" s="4" t="e">
        <f t="shared" si="18"/>
        <v>#N/A</v>
      </c>
      <c r="BB32" s="4" t="e">
        <f t="shared" si="17"/>
        <v>#N/A</v>
      </c>
      <c r="BC32" s="4" t="e">
        <f t="shared" si="12"/>
        <v>#N/A</v>
      </c>
      <c r="BD32" s="4" t="e">
        <f t="shared" si="13"/>
        <v>#N/A</v>
      </c>
      <c r="BE32" s="4" t="e">
        <f t="shared" si="14"/>
        <v>#N/A</v>
      </c>
      <c r="BF32" s="4">
        <f t="shared" si="12"/>
        <v>0</v>
      </c>
      <c r="BG32" s="4">
        <f t="shared" si="12"/>
        <v>0</v>
      </c>
      <c r="BH32" s="4" t="e">
        <f t="shared" si="19"/>
        <v>#N/A</v>
      </c>
      <c r="BI32" s="4" t="e">
        <f t="shared" si="15"/>
        <v>#N/A</v>
      </c>
      <c r="BJ32" s="4" t="e">
        <f t="shared" si="15"/>
        <v>#DIV/0!</v>
      </c>
      <c r="BK32" s="4" t="e">
        <f t="shared" si="15"/>
        <v>#DIV/0!</v>
      </c>
      <c r="BL32" s="4" t="e">
        <f t="shared" si="15"/>
        <v>#DIV/0!</v>
      </c>
      <c r="BM32" s="4" t="e">
        <f t="shared" si="15"/>
        <v>#DIV/0!</v>
      </c>
      <c r="BN32" s="4" t="e">
        <f t="shared" si="1"/>
        <v>#DIV/0!</v>
      </c>
      <c r="BO32" s="4" t="e">
        <f t="shared" si="16"/>
        <v>#N/A</v>
      </c>
    </row>
    <row r="33" spans="1:67">
      <c r="A33" s="2"/>
      <c r="B33" s="5"/>
      <c r="C33" s="2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>
        <f t="shared" si="2"/>
        <v>0</v>
      </c>
      <c r="X33" s="9">
        <f t="shared" si="3"/>
        <v>0</v>
      </c>
      <c r="Y33" s="9" t="str">
        <f t="shared" si="4"/>
        <v>0</v>
      </c>
      <c r="Z33" s="6" t="str">
        <f t="shared" si="5"/>
        <v>0</v>
      </c>
      <c r="AA33" s="9" t="e">
        <f t="shared" si="6"/>
        <v>#DIV/0!</v>
      </c>
      <c r="AB33" s="6" t="e">
        <f t="shared" si="7"/>
        <v>#DIV/0!</v>
      </c>
      <c r="AC33" s="6" t="e">
        <f t="shared" si="8"/>
        <v>#DIV/0!</v>
      </c>
      <c r="AD33" s="9" t="e">
        <f t="shared" si="9"/>
        <v>#DIV/0!</v>
      </c>
      <c r="AE33" s="4" t="e">
        <f>100*(AA33/TOTAL_BASIC!$C$81)</f>
        <v>#DIV/0!</v>
      </c>
      <c r="AF33" s="4" t="e">
        <f>100*AC33/TOTAL_BASIC!$C$82</f>
        <v>#DIV/0!</v>
      </c>
      <c r="AG33" s="4" t="e">
        <f>100*N33/TOTAL_BASIC!$C$87</f>
        <v>#DIV/0!</v>
      </c>
      <c r="AH33" s="4" t="e">
        <f>100*AD33/TOTAL_BASIC!$C$86</f>
        <v>#DIV/0!</v>
      </c>
      <c r="AI33" s="3" t="e">
        <f t="shared" si="10"/>
        <v>#DIV/0!</v>
      </c>
      <c r="AJ33" s="3"/>
      <c r="AM33" s="4" t="e">
        <f t="shared" si="11"/>
        <v>#N/A</v>
      </c>
      <c r="AN33" s="4" t="e">
        <f t="shared" si="11"/>
        <v>#N/A</v>
      </c>
      <c r="AO33" s="4" t="e">
        <f t="shared" si="11"/>
        <v>#N/A</v>
      </c>
      <c r="AP33" s="4" t="e">
        <f t="shared" si="11"/>
        <v>#N/A</v>
      </c>
      <c r="AQ33" s="4" t="e">
        <f t="shared" si="11"/>
        <v>#N/A</v>
      </c>
      <c r="AR33" s="4" t="e">
        <f t="shared" si="11"/>
        <v>#N/A</v>
      </c>
      <c r="AS33" s="4" t="e">
        <f t="shared" si="11"/>
        <v>#N/A</v>
      </c>
      <c r="AT33" s="4" t="e">
        <f t="shared" si="11"/>
        <v>#N/A</v>
      </c>
      <c r="AU33" s="4" t="e">
        <f t="shared" si="18"/>
        <v>#N/A</v>
      </c>
      <c r="AV33" s="4" t="e">
        <f t="shared" si="18"/>
        <v>#N/A</v>
      </c>
      <c r="AW33" s="4" t="e">
        <f t="shared" si="18"/>
        <v>#N/A</v>
      </c>
      <c r="AX33" s="4" t="e">
        <f t="shared" si="18"/>
        <v>#N/A</v>
      </c>
      <c r="AY33" s="4" t="e">
        <f t="shared" si="18"/>
        <v>#N/A</v>
      </c>
      <c r="AZ33" s="4" t="e">
        <f t="shared" si="18"/>
        <v>#N/A</v>
      </c>
      <c r="BA33" s="4" t="e">
        <f t="shared" si="18"/>
        <v>#N/A</v>
      </c>
      <c r="BB33" s="4" t="e">
        <f t="shared" si="17"/>
        <v>#N/A</v>
      </c>
      <c r="BC33" s="4" t="e">
        <f t="shared" si="12"/>
        <v>#N/A</v>
      </c>
      <c r="BD33" s="4" t="e">
        <f t="shared" si="13"/>
        <v>#N/A</v>
      </c>
      <c r="BE33" s="4" t="e">
        <f t="shared" si="14"/>
        <v>#N/A</v>
      </c>
      <c r="BF33" s="4">
        <f t="shared" si="12"/>
        <v>0</v>
      </c>
      <c r="BG33" s="4">
        <f t="shared" si="12"/>
        <v>0</v>
      </c>
      <c r="BH33" s="4" t="e">
        <f t="shared" si="19"/>
        <v>#N/A</v>
      </c>
      <c r="BI33" s="4" t="e">
        <f t="shared" si="15"/>
        <v>#N/A</v>
      </c>
      <c r="BJ33" s="4" t="e">
        <f t="shared" si="15"/>
        <v>#DIV/0!</v>
      </c>
      <c r="BK33" s="4" t="e">
        <f t="shared" si="15"/>
        <v>#DIV/0!</v>
      </c>
      <c r="BL33" s="4" t="e">
        <f t="shared" si="15"/>
        <v>#DIV/0!</v>
      </c>
      <c r="BM33" s="4" t="e">
        <f t="shared" si="15"/>
        <v>#DIV/0!</v>
      </c>
      <c r="BN33" s="4" t="e">
        <f t="shared" si="1"/>
        <v>#DIV/0!</v>
      </c>
      <c r="BO33" s="4" t="e">
        <f t="shared" si="16"/>
        <v>#N/A</v>
      </c>
    </row>
    <row r="34" spans="1:67">
      <c r="A34" s="2"/>
      <c r="B34" s="5"/>
      <c r="C34" s="2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>
        <f t="shared" si="2"/>
        <v>0</v>
      </c>
      <c r="X34" s="9">
        <f t="shared" si="3"/>
        <v>0</v>
      </c>
      <c r="Y34" s="9" t="str">
        <f t="shared" si="4"/>
        <v>0</v>
      </c>
      <c r="Z34" s="6" t="str">
        <f t="shared" si="5"/>
        <v>0</v>
      </c>
      <c r="AA34" s="9" t="e">
        <f t="shared" si="6"/>
        <v>#DIV/0!</v>
      </c>
      <c r="AB34" s="6" t="e">
        <f t="shared" si="7"/>
        <v>#DIV/0!</v>
      </c>
      <c r="AC34" s="6" t="e">
        <f t="shared" si="8"/>
        <v>#DIV/0!</v>
      </c>
      <c r="AD34" s="9" t="e">
        <f t="shared" si="9"/>
        <v>#DIV/0!</v>
      </c>
      <c r="AE34" s="4" t="e">
        <f>100*(AA34/TOTAL_BASIC!$C$81)</f>
        <v>#DIV/0!</v>
      </c>
      <c r="AF34" s="4" t="e">
        <f>100*AC34/TOTAL_BASIC!$C$82</f>
        <v>#DIV/0!</v>
      </c>
      <c r="AG34" s="4" t="e">
        <f>100*N34/TOTAL_BASIC!$C$87</f>
        <v>#DIV/0!</v>
      </c>
      <c r="AH34" s="4" t="e">
        <f>100*AD34/TOTAL_BASIC!$C$86</f>
        <v>#DIV/0!</v>
      </c>
      <c r="AI34" s="3" t="e">
        <f t="shared" si="10"/>
        <v>#DIV/0!</v>
      </c>
      <c r="AJ34" s="3"/>
      <c r="AM34" s="4" t="e">
        <f t="shared" si="11"/>
        <v>#N/A</v>
      </c>
      <c r="AN34" s="4" t="e">
        <f t="shared" si="11"/>
        <v>#N/A</v>
      </c>
      <c r="AO34" s="4" t="e">
        <f t="shared" si="11"/>
        <v>#N/A</v>
      </c>
      <c r="AP34" s="4" t="e">
        <f t="shared" si="11"/>
        <v>#N/A</v>
      </c>
      <c r="AQ34" s="4" t="e">
        <f t="shared" si="11"/>
        <v>#N/A</v>
      </c>
      <c r="AR34" s="4" t="e">
        <f t="shared" si="11"/>
        <v>#N/A</v>
      </c>
      <c r="AS34" s="4" t="e">
        <f t="shared" si="11"/>
        <v>#N/A</v>
      </c>
      <c r="AT34" s="4" t="e">
        <f t="shared" si="11"/>
        <v>#N/A</v>
      </c>
      <c r="AU34" s="4" t="e">
        <f t="shared" si="18"/>
        <v>#N/A</v>
      </c>
      <c r="AV34" s="4" t="e">
        <f t="shared" si="18"/>
        <v>#N/A</v>
      </c>
      <c r="AW34" s="4" t="e">
        <f t="shared" si="18"/>
        <v>#N/A</v>
      </c>
      <c r="AX34" s="4" t="e">
        <f t="shared" si="18"/>
        <v>#N/A</v>
      </c>
      <c r="AY34" s="4" t="e">
        <f t="shared" si="18"/>
        <v>#N/A</v>
      </c>
      <c r="AZ34" s="4" t="e">
        <f t="shared" si="18"/>
        <v>#N/A</v>
      </c>
      <c r="BA34" s="4" t="e">
        <f t="shared" si="18"/>
        <v>#N/A</v>
      </c>
      <c r="BB34" s="4" t="e">
        <f t="shared" si="17"/>
        <v>#N/A</v>
      </c>
      <c r="BC34" s="4" t="e">
        <f t="shared" si="12"/>
        <v>#N/A</v>
      </c>
      <c r="BD34" s="4" t="e">
        <f t="shared" si="13"/>
        <v>#N/A</v>
      </c>
      <c r="BE34" s="4" t="e">
        <f t="shared" si="14"/>
        <v>#N/A</v>
      </c>
      <c r="BF34" s="4">
        <f t="shared" si="12"/>
        <v>0</v>
      </c>
      <c r="BG34" s="4">
        <f t="shared" si="12"/>
        <v>0</v>
      </c>
      <c r="BH34" s="4" t="e">
        <f t="shared" si="19"/>
        <v>#N/A</v>
      </c>
      <c r="BI34" s="4" t="e">
        <f t="shared" si="15"/>
        <v>#N/A</v>
      </c>
      <c r="BJ34" s="4" t="e">
        <f t="shared" si="15"/>
        <v>#DIV/0!</v>
      </c>
      <c r="BK34" s="4" t="e">
        <f t="shared" si="15"/>
        <v>#DIV/0!</v>
      </c>
      <c r="BL34" s="4" t="e">
        <f t="shared" si="15"/>
        <v>#DIV/0!</v>
      </c>
      <c r="BM34" s="4" t="e">
        <f t="shared" si="15"/>
        <v>#DIV/0!</v>
      </c>
      <c r="BN34" s="4" t="e">
        <f t="shared" si="1"/>
        <v>#DIV/0!</v>
      </c>
      <c r="BO34" s="4" t="e">
        <f t="shared" si="16"/>
        <v>#N/A</v>
      </c>
    </row>
    <row r="35" spans="1:67">
      <c r="A35" s="2"/>
      <c r="B35" s="5"/>
      <c r="C35" s="2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>
        <f t="shared" si="2"/>
        <v>0</v>
      </c>
      <c r="X35" s="9">
        <f t="shared" si="3"/>
        <v>0</v>
      </c>
      <c r="Y35" s="9" t="str">
        <f t="shared" si="4"/>
        <v>0</v>
      </c>
      <c r="Z35" s="6" t="str">
        <f t="shared" si="5"/>
        <v>0</v>
      </c>
      <c r="AA35" s="9" t="e">
        <f t="shared" si="6"/>
        <v>#DIV/0!</v>
      </c>
      <c r="AB35" s="6" t="e">
        <f t="shared" si="7"/>
        <v>#DIV/0!</v>
      </c>
      <c r="AC35" s="6" t="e">
        <f t="shared" si="8"/>
        <v>#DIV/0!</v>
      </c>
      <c r="AD35" s="9" t="e">
        <f t="shared" si="9"/>
        <v>#DIV/0!</v>
      </c>
      <c r="AE35" s="4" t="e">
        <f>100*(AA35/TOTAL_BASIC!$C$81)</f>
        <v>#DIV/0!</v>
      </c>
      <c r="AF35" s="4" t="e">
        <f>100*AC35/TOTAL_BASIC!$C$82</f>
        <v>#DIV/0!</v>
      </c>
      <c r="AG35" s="4" t="e">
        <f>100*N35/TOTAL_BASIC!$C$87</f>
        <v>#DIV/0!</v>
      </c>
      <c r="AH35" s="4" t="e">
        <f>100*AD35/TOTAL_BASIC!$C$86</f>
        <v>#DIV/0!</v>
      </c>
      <c r="AI35" s="3" t="e">
        <f t="shared" si="10"/>
        <v>#DIV/0!</v>
      </c>
      <c r="AJ35" s="3"/>
      <c r="AM35" s="4" t="e">
        <f t="shared" si="11"/>
        <v>#N/A</v>
      </c>
      <c r="AN35" s="4" t="e">
        <f t="shared" si="11"/>
        <v>#N/A</v>
      </c>
      <c r="AO35" s="4" t="e">
        <f t="shared" si="11"/>
        <v>#N/A</v>
      </c>
      <c r="AP35" s="4" t="e">
        <f t="shared" si="11"/>
        <v>#N/A</v>
      </c>
      <c r="AQ35" s="4" t="e">
        <f t="shared" si="11"/>
        <v>#N/A</v>
      </c>
      <c r="AR35" s="4" t="e">
        <f t="shared" si="11"/>
        <v>#N/A</v>
      </c>
      <c r="AS35" s="4" t="e">
        <f t="shared" si="11"/>
        <v>#N/A</v>
      </c>
      <c r="AT35" s="4" t="e">
        <f t="shared" si="11"/>
        <v>#N/A</v>
      </c>
      <c r="AU35" s="4" t="e">
        <f t="shared" si="18"/>
        <v>#N/A</v>
      </c>
      <c r="AV35" s="4" t="e">
        <f t="shared" si="18"/>
        <v>#N/A</v>
      </c>
      <c r="AW35" s="4" t="e">
        <f t="shared" si="18"/>
        <v>#N/A</v>
      </c>
      <c r="AX35" s="4" t="e">
        <f t="shared" si="18"/>
        <v>#N/A</v>
      </c>
      <c r="AY35" s="4" t="e">
        <f t="shared" si="18"/>
        <v>#N/A</v>
      </c>
      <c r="AZ35" s="4" t="e">
        <f t="shared" si="18"/>
        <v>#N/A</v>
      </c>
      <c r="BA35" s="4" t="e">
        <f t="shared" si="18"/>
        <v>#N/A</v>
      </c>
      <c r="BB35" s="4" t="e">
        <f t="shared" si="17"/>
        <v>#N/A</v>
      </c>
      <c r="BC35" s="4" t="e">
        <f t="shared" si="12"/>
        <v>#N/A</v>
      </c>
      <c r="BD35" s="4" t="e">
        <f t="shared" si="13"/>
        <v>#N/A</v>
      </c>
      <c r="BE35" s="4" t="e">
        <f t="shared" si="14"/>
        <v>#N/A</v>
      </c>
      <c r="BF35" s="4">
        <f t="shared" si="12"/>
        <v>0</v>
      </c>
      <c r="BG35" s="4">
        <f t="shared" si="12"/>
        <v>0</v>
      </c>
      <c r="BH35" s="4" t="e">
        <f t="shared" si="19"/>
        <v>#N/A</v>
      </c>
      <c r="BI35" s="4" t="e">
        <f t="shared" si="15"/>
        <v>#N/A</v>
      </c>
      <c r="BJ35" s="4" t="e">
        <f t="shared" si="15"/>
        <v>#DIV/0!</v>
      </c>
      <c r="BK35" s="4" t="e">
        <f t="shared" si="15"/>
        <v>#DIV/0!</v>
      </c>
      <c r="BL35" s="4" t="e">
        <f t="shared" si="15"/>
        <v>#DIV/0!</v>
      </c>
      <c r="BM35" s="4" t="e">
        <f t="shared" si="15"/>
        <v>#DIV/0!</v>
      </c>
      <c r="BN35" s="4" t="e">
        <f t="shared" si="1"/>
        <v>#DIV/0!</v>
      </c>
      <c r="BO35" s="4" t="e">
        <f t="shared" si="16"/>
        <v>#N/A</v>
      </c>
    </row>
    <row r="36" spans="1:67">
      <c r="A36" s="2"/>
      <c r="B36" s="5"/>
      <c r="C36" s="2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>
        <f t="shared" si="2"/>
        <v>0</v>
      </c>
      <c r="X36" s="9">
        <f t="shared" si="3"/>
        <v>0</v>
      </c>
      <c r="Y36" s="9" t="str">
        <f t="shared" si="4"/>
        <v>0</v>
      </c>
      <c r="Z36" s="6" t="str">
        <f t="shared" si="5"/>
        <v>0</v>
      </c>
      <c r="AA36" s="9" t="e">
        <f t="shared" si="6"/>
        <v>#DIV/0!</v>
      </c>
      <c r="AB36" s="6" t="e">
        <f t="shared" si="7"/>
        <v>#DIV/0!</v>
      </c>
      <c r="AC36" s="6" t="e">
        <f t="shared" si="8"/>
        <v>#DIV/0!</v>
      </c>
      <c r="AD36" s="9" t="e">
        <f t="shared" si="9"/>
        <v>#DIV/0!</v>
      </c>
      <c r="AE36" s="4" t="e">
        <f>100*(AA36/TOTAL_BASIC!$C$81)</f>
        <v>#DIV/0!</v>
      </c>
      <c r="AF36" s="4" t="e">
        <f>100*AC36/TOTAL_BASIC!$C$82</f>
        <v>#DIV/0!</v>
      </c>
      <c r="AG36" s="4" t="e">
        <f>100*N36/TOTAL_BASIC!$C$87</f>
        <v>#DIV/0!</v>
      </c>
      <c r="AH36" s="4" t="e">
        <f>100*AD36/TOTAL_BASIC!$C$86</f>
        <v>#DIV/0!</v>
      </c>
      <c r="AI36" s="3" t="e">
        <f t="shared" si="10"/>
        <v>#DIV/0!</v>
      </c>
      <c r="AJ36" s="3"/>
      <c r="AM36" s="4" t="e">
        <f t="shared" si="11"/>
        <v>#N/A</v>
      </c>
      <c r="AN36" s="4" t="e">
        <f t="shared" si="11"/>
        <v>#N/A</v>
      </c>
      <c r="AO36" s="4" t="e">
        <f t="shared" si="11"/>
        <v>#N/A</v>
      </c>
      <c r="AP36" s="4" t="e">
        <f t="shared" si="11"/>
        <v>#N/A</v>
      </c>
      <c r="AQ36" s="4" t="e">
        <f t="shared" si="11"/>
        <v>#N/A</v>
      </c>
      <c r="AR36" s="4" t="e">
        <f t="shared" si="11"/>
        <v>#N/A</v>
      </c>
      <c r="AS36" s="4" t="e">
        <f t="shared" si="11"/>
        <v>#N/A</v>
      </c>
      <c r="AT36" s="4" t="e">
        <f t="shared" si="11"/>
        <v>#N/A</v>
      </c>
      <c r="AU36" s="4" t="e">
        <f t="shared" si="18"/>
        <v>#N/A</v>
      </c>
      <c r="AV36" s="4" t="e">
        <f t="shared" si="18"/>
        <v>#N/A</v>
      </c>
      <c r="AW36" s="4" t="e">
        <f t="shared" si="18"/>
        <v>#N/A</v>
      </c>
      <c r="AX36" s="4" t="e">
        <f t="shared" si="18"/>
        <v>#N/A</v>
      </c>
      <c r="AY36" s="4" t="e">
        <f t="shared" si="18"/>
        <v>#N/A</v>
      </c>
      <c r="AZ36" s="4" t="e">
        <f t="shared" si="18"/>
        <v>#N/A</v>
      </c>
      <c r="BA36" s="4" t="e">
        <f t="shared" si="18"/>
        <v>#N/A</v>
      </c>
      <c r="BB36" s="4" t="e">
        <f t="shared" si="17"/>
        <v>#N/A</v>
      </c>
      <c r="BC36" s="4" t="e">
        <f t="shared" si="12"/>
        <v>#N/A</v>
      </c>
      <c r="BD36" s="4" t="e">
        <f t="shared" si="13"/>
        <v>#N/A</v>
      </c>
      <c r="BE36" s="4" t="e">
        <f t="shared" si="14"/>
        <v>#N/A</v>
      </c>
      <c r="BF36" s="4">
        <f t="shared" si="12"/>
        <v>0</v>
      </c>
      <c r="BG36" s="4">
        <f t="shared" si="12"/>
        <v>0</v>
      </c>
      <c r="BH36" s="4" t="e">
        <f t="shared" si="19"/>
        <v>#N/A</v>
      </c>
      <c r="BI36" s="4" t="e">
        <f t="shared" si="15"/>
        <v>#N/A</v>
      </c>
      <c r="BJ36" s="4" t="e">
        <f t="shared" si="15"/>
        <v>#DIV/0!</v>
      </c>
      <c r="BK36" s="4" t="e">
        <f t="shared" si="15"/>
        <v>#DIV/0!</v>
      </c>
      <c r="BL36" s="4" t="e">
        <f t="shared" si="15"/>
        <v>#DIV/0!</v>
      </c>
      <c r="BM36" s="4" t="e">
        <f t="shared" si="15"/>
        <v>#DIV/0!</v>
      </c>
      <c r="BN36" s="4" t="e">
        <f t="shared" si="1"/>
        <v>#DIV/0!</v>
      </c>
      <c r="BO36" s="4" t="e">
        <f t="shared" si="16"/>
        <v>#N/A</v>
      </c>
    </row>
    <row r="37" spans="1:67">
      <c r="A37" s="2"/>
      <c r="B37" s="5"/>
      <c r="C37" s="2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>
        <f t="shared" si="2"/>
        <v>0</v>
      </c>
      <c r="X37" s="9">
        <f t="shared" si="3"/>
        <v>0</v>
      </c>
      <c r="Y37" s="9" t="str">
        <f t="shared" si="4"/>
        <v>0</v>
      </c>
      <c r="Z37" s="6" t="str">
        <f t="shared" si="5"/>
        <v>0</v>
      </c>
      <c r="AA37" s="9" t="e">
        <f t="shared" si="6"/>
        <v>#DIV/0!</v>
      </c>
      <c r="AB37" s="6" t="e">
        <f t="shared" si="7"/>
        <v>#DIV/0!</v>
      </c>
      <c r="AC37" s="6" t="e">
        <f t="shared" si="8"/>
        <v>#DIV/0!</v>
      </c>
      <c r="AD37" s="9" t="e">
        <f t="shared" si="9"/>
        <v>#DIV/0!</v>
      </c>
      <c r="AE37" s="4" t="e">
        <f>100*(AA37/TOTAL_BASIC!$C$81)</f>
        <v>#DIV/0!</v>
      </c>
      <c r="AF37" s="4" t="e">
        <f>100*AC37/TOTAL_BASIC!$C$82</f>
        <v>#DIV/0!</v>
      </c>
      <c r="AG37" s="4" t="e">
        <f>100*N37/TOTAL_BASIC!$C$87</f>
        <v>#DIV/0!</v>
      </c>
      <c r="AH37" s="4" t="e">
        <f>100*AD37/TOTAL_BASIC!$C$86</f>
        <v>#DIV/0!</v>
      </c>
      <c r="AI37" s="3" t="e">
        <f t="shared" si="10"/>
        <v>#DIV/0!</v>
      </c>
      <c r="AJ37" s="3"/>
      <c r="AM37" s="4" t="e">
        <f t="shared" si="11"/>
        <v>#N/A</v>
      </c>
      <c r="AN37" s="4" t="e">
        <f t="shared" si="11"/>
        <v>#N/A</v>
      </c>
      <c r="AO37" s="4" t="e">
        <f t="shared" si="11"/>
        <v>#N/A</v>
      </c>
      <c r="AP37" s="4" t="e">
        <f t="shared" si="11"/>
        <v>#N/A</v>
      </c>
      <c r="AQ37" s="4" t="e">
        <f t="shared" si="11"/>
        <v>#N/A</v>
      </c>
      <c r="AR37" s="4" t="e">
        <f t="shared" si="11"/>
        <v>#N/A</v>
      </c>
      <c r="AS37" s="4" t="e">
        <f t="shared" si="11"/>
        <v>#N/A</v>
      </c>
      <c r="AT37" s="4" t="e">
        <f t="shared" si="11"/>
        <v>#N/A</v>
      </c>
      <c r="AU37" s="4" t="e">
        <f t="shared" si="18"/>
        <v>#N/A</v>
      </c>
      <c r="AV37" s="4" t="e">
        <f t="shared" si="18"/>
        <v>#N/A</v>
      </c>
      <c r="AW37" s="4" t="e">
        <f t="shared" si="18"/>
        <v>#N/A</v>
      </c>
      <c r="AX37" s="4" t="e">
        <f t="shared" si="18"/>
        <v>#N/A</v>
      </c>
      <c r="AY37" s="4" t="e">
        <f t="shared" si="18"/>
        <v>#N/A</v>
      </c>
      <c r="AZ37" s="4" t="e">
        <f t="shared" si="18"/>
        <v>#N/A</v>
      </c>
      <c r="BA37" s="4" t="e">
        <f t="shared" si="18"/>
        <v>#N/A</v>
      </c>
      <c r="BB37" s="4" t="e">
        <f t="shared" si="17"/>
        <v>#N/A</v>
      </c>
      <c r="BC37" s="4" t="e">
        <f t="shared" si="12"/>
        <v>#N/A</v>
      </c>
      <c r="BD37" s="4" t="e">
        <f t="shared" si="13"/>
        <v>#N/A</v>
      </c>
      <c r="BE37" s="4" t="e">
        <f t="shared" si="14"/>
        <v>#N/A</v>
      </c>
      <c r="BF37" s="4">
        <f t="shared" si="12"/>
        <v>0</v>
      </c>
      <c r="BG37" s="4">
        <f t="shared" si="12"/>
        <v>0</v>
      </c>
      <c r="BH37" s="4" t="e">
        <f t="shared" si="19"/>
        <v>#N/A</v>
      </c>
      <c r="BI37" s="4" t="e">
        <f t="shared" si="15"/>
        <v>#N/A</v>
      </c>
      <c r="BJ37" s="4" t="e">
        <f t="shared" si="15"/>
        <v>#DIV/0!</v>
      </c>
      <c r="BK37" s="4" t="e">
        <f t="shared" si="15"/>
        <v>#DIV/0!</v>
      </c>
      <c r="BL37" s="4" t="e">
        <f t="shared" si="15"/>
        <v>#DIV/0!</v>
      </c>
      <c r="BM37" s="4" t="e">
        <f t="shared" si="15"/>
        <v>#DIV/0!</v>
      </c>
      <c r="BN37" s="4" t="e">
        <f t="shared" si="1"/>
        <v>#DIV/0!</v>
      </c>
      <c r="BO37" s="4" t="e">
        <f t="shared" si="16"/>
        <v>#N/A</v>
      </c>
    </row>
    <row r="38" spans="1:67">
      <c r="A38" s="2"/>
      <c r="B38" s="5"/>
      <c r="C38" s="2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>
        <f t="shared" si="2"/>
        <v>0</v>
      </c>
      <c r="X38" s="9">
        <f t="shared" si="3"/>
        <v>0</v>
      </c>
      <c r="Y38" s="9" t="str">
        <f t="shared" si="4"/>
        <v>0</v>
      </c>
      <c r="Z38" s="6" t="str">
        <f t="shared" si="5"/>
        <v>0</v>
      </c>
      <c r="AA38" s="9" t="e">
        <f t="shared" si="6"/>
        <v>#DIV/0!</v>
      </c>
      <c r="AB38" s="6" t="e">
        <f t="shared" si="7"/>
        <v>#DIV/0!</v>
      </c>
      <c r="AC38" s="6" t="e">
        <f t="shared" si="8"/>
        <v>#DIV/0!</v>
      </c>
      <c r="AD38" s="9" t="e">
        <f t="shared" si="9"/>
        <v>#DIV/0!</v>
      </c>
      <c r="AE38" s="4" t="e">
        <f>100*(AA38/TOTAL_BASIC!$C$81)</f>
        <v>#DIV/0!</v>
      </c>
      <c r="AF38" s="4" t="e">
        <f>100*AC38/TOTAL_BASIC!$C$82</f>
        <v>#DIV/0!</v>
      </c>
      <c r="AG38" s="4" t="e">
        <f>100*N38/TOTAL_BASIC!$C$87</f>
        <v>#DIV/0!</v>
      </c>
      <c r="AH38" s="4" t="e">
        <f>100*AD38/TOTAL_BASIC!$C$86</f>
        <v>#DIV/0!</v>
      </c>
      <c r="AI38" s="3" t="e">
        <f t="shared" si="10"/>
        <v>#DIV/0!</v>
      </c>
      <c r="AJ38" s="3"/>
      <c r="AM38" s="4" t="e">
        <f t="shared" si="11"/>
        <v>#N/A</v>
      </c>
      <c r="AN38" s="4" t="e">
        <f t="shared" si="11"/>
        <v>#N/A</v>
      </c>
      <c r="AO38" s="4" t="e">
        <f t="shared" si="11"/>
        <v>#N/A</v>
      </c>
      <c r="AP38" s="4" t="e">
        <f t="shared" si="11"/>
        <v>#N/A</v>
      </c>
      <c r="AQ38" s="4" t="e">
        <f t="shared" si="11"/>
        <v>#N/A</v>
      </c>
      <c r="AR38" s="4" t="e">
        <f t="shared" si="11"/>
        <v>#N/A</v>
      </c>
      <c r="AS38" s="4" t="e">
        <f t="shared" si="11"/>
        <v>#N/A</v>
      </c>
      <c r="AT38" s="4" t="e">
        <f t="shared" si="11"/>
        <v>#N/A</v>
      </c>
      <c r="AU38" s="4" t="e">
        <f t="shared" si="18"/>
        <v>#N/A</v>
      </c>
      <c r="AV38" s="4" t="e">
        <f t="shared" si="18"/>
        <v>#N/A</v>
      </c>
      <c r="AW38" s="4" t="e">
        <f t="shared" si="18"/>
        <v>#N/A</v>
      </c>
      <c r="AX38" s="4" t="e">
        <f t="shared" si="18"/>
        <v>#N/A</v>
      </c>
      <c r="AY38" s="4" t="e">
        <f t="shared" si="18"/>
        <v>#N/A</v>
      </c>
      <c r="AZ38" s="4" t="e">
        <f t="shared" si="18"/>
        <v>#N/A</v>
      </c>
      <c r="BA38" s="4" t="e">
        <f t="shared" si="18"/>
        <v>#N/A</v>
      </c>
      <c r="BB38" s="4" t="e">
        <f t="shared" si="17"/>
        <v>#N/A</v>
      </c>
      <c r="BC38" s="4" t="e">
        <f t="shared" si="12"/>
        <v>#N/A</v>
      </c>
      <c r="BD38" s="4" t="e">
        <f t="shared" si="13"/>
        <v>#N/A</v>
      </c>
      <c r="BE38" s="4" t="e">
        <f t="shared" si="14"/>
        <v>#N/A</v>
      </c>
      <c r="BF38" s="4">
        <f t="shared" si="12"/>
        <v>0</v>
      </c>
      <c r="BG38" s="4">
        <f t="shared" si="12"/>
        <v>0</v>
      </c>
      <c r="BH38" s="4" t="e">
        <f t="shared" si="19"/>
        <v>#N/A</v>
      </c>
      <c r="BI38" s="4" t="e">
        <f t="shared" si="15"/>
        <v>#N/A</v>
      </c>
      <c r="BJ38" s="4" t="e">
        <f t="shared" si="15"/>
        <v>#DIV/0!</v>
      </c>
      <c r="BK38" s="4" t="e">
        <f t="shared" si="15"/>
        <v>#DIV/0!</v>
      </c>
      <c r="BL38" s="4" t="e">
        <f t="shared" si="15"/>
        <v>#DIV/0!</v>
      </c>
      <c r="BM38" s="4" t="e">
        <f t="shared" si="15"/>
        <v>#DIV/0!</v>
      </c>
      <c r="BN38" s="4" t="e">
        <f t="shared" si="1"/>
        <v>#DIV/0!</v>
      </c>
      <c r="BO38" s="4" t="e">
        <f t="shared" si="16"/>
        <v>#N/A</v>
      </c>
    </row>
    <row r="39" spans="1:67">
      <c r="A39" s="2"/>
      <c r="B39" s="5"/>
      <c r="C39" s="2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>
        <f t="shared" si="2"/>
        <v>0</v>
      </c>
      <c r="X39" s="9">
        <f t="shared" si="3"/>
        <v>0</v>
      </c>
      <c r="Y39" s="9" t="str">
        <f t="shared" si="4"/>
        <v>0</v>
      </c>
      <c r="Z39" s="6" t="str">
        <f t="shared" si="5"/>
        <v>0</v>
      </c>
      <c r="AA39" s="9" t="e">
        <f t="shared" si="6"/>
        <v>#DIV/0!</v>
      </c>
      <c r="AB39" s="6" t="e">
        <f t="shared" si="7"/>
        <v>#DIV/0!</v>
      </c>
      <c r="AC39" s="6" t="e">
        <f t="shared" si="8"/>
        <v>#DIV/0!</v>
      </c>
      <c r="AD39" s="9" t="e">
        <f t="shared" si="9"/>
        <v>#DIV/0!</v>
      </c>
      <c r="AE39" s="4" t="e">
        <f>100*(AA39/TOTAL_BASIC!$C$81)</f>
        <v>#DIV/0!</v>
      </c>
      <c r="AF39" s="4" t="e">
        <f>100*AC39/TOTAL_BASIC!$C$82</f>
        <v>#DIV/0!</v>
      </c>
      <c r="AG39" s="4" t="e">
        <f>100*N39/TOTAL_BASIC!$C$87</f>
        <v>#DIV/0!</v>
      </c>
      <c r="AH39" s="4" t="e">
        <f>100*AD39/TOTAL_BASIC!$C$86</f>
        <v>#DIV/0!</v>
      </c>
      <c r="AI39" s="3" t="e">
        <f t="shared" si="10"/>
        <v>#DIV/0!</v>
      </c>
      <c r="AJ39" s="3"/>
      <c r="AM39" s="4" t="e">
        <f t="shared" si="11"/>
        <v>#N/A</v>
      </c>
      <c r="AN39" s="4" t="e">
        <f t="shared" si="11"/>
        <v>#N/A</v>
      </c>
      <c r="AO39" s="4" t="e">
        <f t="shared" si="11"/>
        <v>#N/A</v>
      </c>
      <c r="AP39" s="4" t="e">
        <f t="shared" si="11"/>
        <v>#N/A</v>
      </c>
      <c r="AQ39" s="4" t="e">
        <f t="shared" si="11"/>
        <v>#N/A</v>
      </c>
      <c r="AR39" s="4" t="e">
        <f t="shared" si="11"/>
        <v>#N/A</v>
      </c>
      <c r="AS39" s="4" t="e">
        <f t="shared" si="11"/>
        <v>#N/A</v>
      </c>
      <c r="AT39" s="4" t="e">
        <f t="shared" si="11"/>
        <v>#N/A</v>
      </c>
      <c r="AU39" s="4" t="e">
        <f t="shared" si="18"/>
        <v>#N/A</v>
      </c>
      <c r="AV39" s="4" t="e">
        <f t="shared" si="18"/>
        <v>#N/A</v>
      </c>
      <c r="AW39" s="4" t="e">
        <f t="shared" si="18"/>
        <v>#N/A</v>
      </c>
      <c r="AX39" s="4" t="e">
        <f t="shared" si="18"/>
        <v>#N/A</v>
      </c>
      <c r="AY39" s="4" t="e">
        <f t="shared" si="18"/>
        <v>#N/A</v>
      </c>
      <c r="AZ39" s="4" t="e">
        <f t="shared" si="18"/>
        <v>#N/A</v>
      </c>
      <c r="BA39" s="4" t="e">
        <f t="shared" si="18"/>
        <v>#N/A</v>
      </c>
      <c r="BB39" s="4" t="e">
        <f t="shared" si="17"/>
        <v>#N/A</v>
      </c>
      <c r="BC39" s="4" t="e">
        <f t="shared" si="12"/>
        <v>#N/A</v>
      </c>
      <c r="BD39" s="4" t="e">
        <f t="shared" si="13"/>
        <v>#N/A</v>
      </c>
      <c r="BE39" s="4" t="e">
        <f t="shared" si="14"/>
        <v>#N/A</v>
      </c>
      <c r="BF39" s="4">
        <f t="shared" si="12"/>
        <v>0</v>
      </c>
      <c r="BG39" s="4">
        <f t="shared" si="12"/>
        <v>0</v>
      </c>
      <c r="BH39" s="4" t="e">
        <f t="shared" si="19"/>
        <v>#N/A</v>
      </c>
      <c r="BI39" s="4" t="e">
        <f t="shared" si="15"/>
        <v>#N/A</v>
      </c>
      <c r="BJ39" s="4" t="e">
        <f t="shared" si="15"/>
        <v>#DIV/0!</v>
      </c>
      <c r="BK39" s="4" t="e">
        <f t="shared" si="15"/>
        <v>#DIV/0!</v>
      </c>
      <c r="BL39" s="4" t="e">
        <f t="shared" si="15"/>
        <v>#DIV/0!</v>
      </c>
      <c r="BM39" s="4" t="e">
        <f t="shared" si="15"/>
        <v>#DIV/0!</v>
      </c>
      <c r="BN39" s="4" t="e">
        <f t="shared" si="1"/>
        <v>#DIV/0!</v>
      </c>
      <c r="BO39" s="4" t="e">
        <f t="shared" si="16"/>
        <v>#N/A</v>
      </c>
    </row>
    <row r="40" spans="1:67">
      <c r="A40" s="2"/>
      <c r="B40" s="5"/>
      <c r="C40" s="2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>
        <f t="shared" si="2"/>
        <v>0</v>
      </c>
      <c r="X40" s="9">
        <f t="shared" si="3"/>
        <v>0</v>
      </c>
      <c r="Y40" s="9" t="str">
        <f t="shared" si="4"/>
        <v>0</v>
      </c>
      <c r="Z40" s="6" t="str">
        <f t="shared" si="5"/>
        <v>0</v>
      </c>
      <c r="AA40" s="9" t="e">
        <f t="shared" si="6"/>
        <v>#DIV/0!</v>
      </c>
      <c r="AB40" s="6" t="e">
        <f t="shared" si="7"/>
        <v>#DIV/0!</v>
      </c>
      <c r="AC40" s="6" t="e">
        <f t="shared" si="8"/>
        <v>#DIV/0!</v>
      </c>
      <c r="AD40" s="9" t="e">
        <f t="shared" si="9"/>
        <v>#DIV/0!</v>
      </c>
      <c r="AE40" s="4" t="e">
        <f>100*(AA40/TOTAL_BASIC!$C$81)</f>
        <v>#DIV/0!</v>
      </c>
      <c r="AF40" s="4" t="e">
        <f>100*AC40/TOTAL_BASIC!$C$82</f>
        <v>#DIV/0!</v>
      </c>
      <c r="AG40" s="4" t="e">
        <f>100*N40/TOTAL_BASIC!$C$87</f>
        <v>#DIV/0!</v>
      </c>
      <c r="AH40" s="4" t="e">
        <f>100*AD40/TOTAL_BASIC!$C$86</f>
        <v>#DIV/0!</v>
      </c>
      <c r="AI40" s="3" t="e">
        <f t="shared" si="10"/>
        <v>#DIV/0!</v>
      </c>
      <c r="AJ40" s="3"/>
      <c r="AM40" s="4" t="e">
        <f t="shared" si="11"/>
        <v>#N/A</v>
      </c>
      <c r="AN40" s="4" t="e">
        <f t="shared" si="11"/>
        <v>#N/A</v>
      </c>
      <c r="AO40" s="4" t="e">
        <f t="shared" si="11"/>
        <v>#N/A</v>
      </c>
      <c r="AP40" s="4" t="e">
        <f t="shared" si="11"/>
        <v>#N/A</v>
      </c>
      <c r="AQ40" s="4" t="e">
        <f t="shared" si="11"/>
        <v>#N/A</v>
      </c>
      <c r="AR40" s="4" t="e">
        <f t="shared" si="11"/>
        <v>#N/A</v>
      </c>
      <c r="AS40" s="4" t="e">
        <f t="shared" si="11"/>
        <v>#N/A</v>
      </c>
      <c r="AT40" s="4" t="e">
        <f t="shared" si="11"/>
        <v>#N/A</v>
      </c>
      <c r="AU40" s="4" t="e">
        <f t="shared" si="18"/>
        <v>#N/A</v>
      </c>
      <c r="AV40" s="4" t="e">
        <f t="shared" si="18"/>
        <v>#N/A</v>
      </c>
      <c r="AW40" s="4" t="e">
        <f t="shared" si="18"/>
        <v>#N/A</v>
      </c>
      <c r="AX40" s="4" t="e">
        <f t="shared" si="18"/>
        <v>#N/A</v>
      </c>
      <c r="AY40" s="4" t="e">
        <f t="shared" si="18"/>
        <v>#N/A</v>
      </c>
      <c r="AZ40" s="4" t="e">
        <f t="shared" si="18"/>
        <v>#N/A</v>
      </c>
      <c r="BA40" s="4" t="e">
        <f t="shared" si="18"/>
        <v>#N/A</v>
      </c>
      <c r="BB40" s="4" t="e">
        <f t="shared" si="17"/>
        <v>#N/A</v>
      </c>
      <c r="BC40" s="4" t="e">
        <f t="shared" si="12"/>
        <v>#N/A</v>
      </c>
      <c r="BD40" s="4" t="e">
        <f t="shared" si="13"/>
        <v>#N/A</v>
      </c>
      <c r="BE40" s="4" t="e">
        <f t="shared" si="14"/>
        <v>#N/A</v>
      </c>
      <c r="BF40" s="4">
        <f t="shared" si="12"/>
        <v>0</v>
      </c>
      <c r="BG40" s="4">
        <f t="shared" si="12"/>
        <v>0</v>
      </c>
      <c r="BH40" s="4" t="e">
        <f t="shared" si="19"/>
        <v>#N/A</v>
      </c>
      <c r="BI40" s="4" t="e">
        <f t="shared" si="15"/>
        <v>#N/A</v>
      </c>
      <c r="BJ40" s="4" t="e">
        <f t="shared" si="15"/>
        <v>#DIV/0!</v>
      </c>
      <c r="BK40" s="4" t="e">
        <f t="shared" si="15"/>
        <v>#DIV/0!</v>
      </c>
      <c r="BL40" s="4" t="e">
        <f t="shared" si="15"/>
        <v>#DIV/0!</v>
      </c>
      <c r="BM40" s="4" t="e">
        <f t="shared" si="15"/>
        <v>#DIV/0!</v>
      </c>
      <c r="BN40" s="4" t="e">
        <f t="shared" si="1"/>
        <v>#DIV/0!</v>
      </c>
      <c r="BO40" s="4" t="e">
        <f t="shared" si="16"/>
        <v>#N/A</v>
      </c>
    </row>
    <row r="41" spans="1:67">
      <c r="A41" s="2"/>
      <c r="B41" s="5"/>
      <c r="C41" s="2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>
        <f t="shared" si="2"/>
        <v>0</v>
      </c>
      <c r="X41" s="9">
        <f t="shared" si="3"/>
        <v>0</v>
      </c>
      <c r="Y41" s="9" t="str">
        <f t="shared" si="4"/>
        <v>0</v>
      </c>
      <c r="Z41" s="6" t="str">
        <f t="shared" si="5"/>
        <v>0</v>
      </c>
      <c r="AA41" s="9" t="e">
        <f t="shared" si="6"/>
        <v>#DIV/0!</v>
      </c>
      <c r="AB41" s="6" t="e">
        <f t="shared" si="7"/>
        <v>#DIV/0!</v>
      </c>
      <c r="AC41" s="6" t="e">
        <f t="shared" si="8"/>
        <v>#DIV/0!</v>
      </c>
      <c r="AD41" s="9" t="e">
        <f t="shared" si="9"/>
        <v>#DIV/0!</v>
      </c>
      <c r="AE41" s="4" t="e">
        <f>100*(AA41/TOTAL_BASIC!$C$81)</f>
        <v>#DIV/0!</v>
      </c>
      <c r="AF41" s="4" t="e">
        <f>100*AC41/TOTAL_BASIC!$C$82</f>
        <v>#DIV/0!</v>
      </c>
      <c r="AG41" s="4" t="e">
        <f>100*N41/TOTAL_BASIC!$C$87</f>
        <v>#DIV/0!</v>
      </c>
      <c r="AH41" s="4" t="e">
        <f>100*AD41/TOTAL_BASIC!$C$86</f>
        <v>#DIV/0!</v>
      </c>
      <c r="AI41" s="3" t="e">
        <f t="shared" si="10"/>
        <v>#DIV/0!</v>
      </c>
      <c r="AJ41" s="3"/>
      <c r="AM41" s="4" t="e">
        <f t="shared" si="11"/>
        <v>#N/A</v>
      </c>
      <c r="AN41" s="4" t="e">
        <f t="shared" si="11"/>
        <v>#N/A</v>
      </c>
      <c r="AO41" s="4" t="e">
        <f t="shared" si="11"/>
        <v>#N/A</v>
      </c>
      <c r="AP41" s="4" t="e">
        <f t="shared" si="11"/>
        <v>#N/A</v>
      </c>
      <c r="AQ41" s="4" t="e">
        <f t="shared" si="11"/>
        <v>#N/A</v>
      </c>
      <c r="AR41" s="4" t="e">
        <f t="shared" si="11"/>
        <v>#N/A</v>
      </c>
      <c r="AS41" s="4" t="e">
        <f t="shared" si="11"/>
        <v>#N/A</v>
      </c>
      <c r="AT41" s="4" t="e">
        <f t="shared" si="11"/>
        <v>#N/A</v>
      </c>
      <c r="AU41" s="4" t="e">
        <f t="shared" si="18"/>
        <v>#N/A</v>
      </c>
      <c r="AV41" s="4" t="e">
        <f t="shared" si="18"/>
        <v>#N/A</v>
      </c>
      <c r="AW41" s="4" t="e">
        <f t="shared" si="18"/>
        <v>#N/A</v>
      </c>
      <c r="AX41" s="4" t="e">
        <f t="shared" si="18"/>
        <v>#N/A</v>
      </c>
      <c r="AY41" s="4" t="e">
        <f t="shared" si="18"/>
        <v>#N/A</v>
      </c>
      <c r="AZ41" s="4" t="e">
        <f t="shared" si="18"/>
        <v>#N/A</v>
      </c>
      <c r="BA41" s="4" t="e">
        <f t="shared" si="18"/>
        <v>#N/A</v>
      </c>
      <c r="BB41" s="4" t="e">
        <f t="shared" si="17"/>
        <v>#N/A</v>
      </c>
      <c r="BC41" s="4" t="e">
        <f t="shared" si="12"/>
        <v>#N/A</v>
      </c>
      <c r="BD41" s="4" t="e">
        <f t="shared" si="13"/>
        <v>#N/A</v>
      </c>
      <c r="BE41" s="4" t="e">
        <f t="shared" si="14"/>
        <v>#N/A</v>
      </c>
      <c r="BF41" s="4">
        <f t="shared" si="12"/>
        <v>0</v>
      </c>
      <c r="BG41" s="4">
        <f t="shared" si="12"/>
        <v>0</v>
      </c>
      <c r="BH41" s="4" t="e">
        <f t="shared" si="19"/>
        <v>#N/A</v>
      </c>
      <c r="BI41" s="4" t="e">
        <f t="shared" si="15"/>
        <v>#N/A</v>
      </c>
      <c r="BJ41" s="4" t="e">
        <f t="shared" si="15"/>
        <v>#DIV/0!</v>
      </c>
      <c r="BK41" s="4" t="e">
        <f t="shared" si="15"/>
        <v>#DIV/0!</v>
      </c>
      <c r="BL41" s="4" t="e">
        <f t="shared" si="15"/>
        <v>#DIV/0!</v>
      </c>
      <c r="BM41" s="4" t="e">
        <f t="shared" si="15"/>
        <v>#DIV/0!</v>
      </c>
      <c r="BN41" s="4" t="e">
        <f t="shared" si="1"/>
        <v>#DIV/0!</v>
      </c>
      <c r="BO41" s="4" t="e">
        <f t="shared" si="16"/>
        <v>#N/A</v>
      </c>
    </row>
    <row r="42" spans="1:67">
      <c r="A42" s="2"/>
      <c r="B42" s="5"/>
      <c r="C42" s="2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>
        <f t="shared" si="2"/>
        <v>0</v>
      </c>
      <c r="X42" s="9">
        <f t="shared" si="3"/>
        <v>0</v>
      </c>
      <c r="Y42" s="9" t="str">
        <f t="shared" si="4"/>
        <v>0</v>
      </c>
      <c r="Z42" s="6" t="str">
        <f t="shared" si="5"/>
        <v>0</v>
      </c>
      <c r="AA42" s="9" t="e">
        <f t="shared" si="6"/>
        <v>#DIV/0!</v>
      </c>
      <c r="AB42" s="6" t="e">
        <f t="shared" si="7"/>
        <v>#DIV/0!</v>
      </c>
      <c r="AC42" s="6" t="e">
        <f t="shared" si="8"/>
        <v>#DIV/0!</v>
      </c>
      <c r="AD42" s="9" t="e">
        <f t="shared" si="9"/>
        <v>#DIV/0!</v>
      </c>
      <c r="AE42" s="4" t="e">
        <f>100*(AA42/TOTAL_BASIC!$C$81)</f>
        <v>#DIV/0!</v>
      </c>
      <c r="AF42" s="4" t="e">
        <f>100*AC42/TOTAL_BASIC!$C$82</f>
        <v>#DIV/0!</v>
      </c>
      <c r="AG42" s="4" t="e">
        <f>100*N42/TOTAL_BASIC!$C$87</f>
        <v>#DIV/0!</v>
      </c>
      <c r="AH42" s="4" t="e">
        <f>100*AD42/TOTAL_BASIC!$C$86</f>
        <v>#DIV/0!</v>
      </c>
      <c r="AI42" s="3" t="e">
        <f t="shared" si="10"/>
        <v>#DIV/0!</v>
      </c>
      <c r="AJ42" s="3"/>
      <c r="AM42" s="4" t="e">
        <f t="shared" si="11"/>
        <v>#N/A</v>
      </c>
      <c r="AN42" s="4" t="e">
        <f t="shared" si="11"/>
        <v>#N/A</v>
      </c>
      <c r="AO42" s="4" t="e">
        <f t="shared" si="11"/>
        <v>#N/A</v>
      </c>
      <c r="AP42" s="4" t="e">
        <f t="shared" si="11"/>
        <v>#N/A</v>
      </c>
      <c r="AQ42" s="4" t="e">
        <f t="shared" si="11"/>
        <v>#N/A</v>
      </c>
      <c r="AR42" s="4" t="e">
        <f t="shared" si="11"/>
        <v>#N/A</v>
      </c>
      <c r="AS42" s="4" t="e">
        <f t="shared" si="11"/>
        <v>#N/A</v>
      </c>
      <c r="AT42" s="4" t="e">
        <f t="shared" ref="AT42:AT49" si="20">(PERCENTRANK(K$3:K$78,K42))*100</f>
        <v>#N/A</v>
      </c>
      <c r="AU42" s="4" t="e">
        <f t="shared" si="18"/>
        <v>#N/A</v>
      </c>
      <c r="AV42" s="4" t="e">
        <f t="shared" si="18"/>
        <v>#N/A</v>
      </c>
      <c r="AW42" s="4" t="e">
        <f t="shared" si="18"/>
        <v>#N/A</v>
      </c>
      <c r="AX42" s="4" t="e">
        <f t="shared" si="18"/>
        <v>#N/A</v>
      </c>
      <c r="AY42" s="4" t="e">
        <f t="shared" si="18"/>
        <v>#N/A</v>
      </c>
      <c r="AZ42" s="4" t="e">
        <f t="shared" si="18"/>
        <v>#N/A</v>
      </c>
      <c r="BA42" s="4" t="e">
        <f t="shared" si="18"/>
        <v>#N/A</v>
      </c>
      <c r="BB42" s="4" t="e">
        <f t="shared" si="17"/>
        <v>#N/A</v>
      </c>
      <c r="BC42" s="4" t="e">
        <f t="shared" si="12"/>
        <v>#N/A</v>
      </c>
      <c r="BD42" s="4" t="e">
        <f t="shared" si="13"/>
        <v>#N/A</v>
      </c>
      <c r="BE42" s="4" t="e">
        <f t="shared" si="14"/>
        <v>#N/A</v>
      </c>
      <c r="BF42" s="4">
        <f t="shared" si="12"/>
        <v>0</v>
      </c>
      <c r="BG42" s="4">
        <f t="shared" si="12"/>
        <v>0</v>
      </c>
      <c r="BH42" s="4" t="e">
        <f t="shared" si="19"/>
        <v>#N/A</v>
      </c>
      <c r="BI42" s="4" t="e">
        <f t="shared" si="15"/>
        <v>#N/A</v>
      </c>
      <c r="BJ42" s="4" t="e">
        <f t="shared" si="15"/>
        <v>#DIV/0!</v>
      </c>
      <c r="BK42" s="4" t="e">
        <f t="shared" si="15"/>
        <v>#DIV/0!</v>
      </c>
      <c r="BL42" s="4" t="e">
        <f t="shared" si="15"/>
        <v>#DIV/0!</v>
      </c>
      <c r="BM42" s="4" t="e">
        <f t="shared" si="15"/>
        <v>#DIV/0!</v>
      </c>
      <c r="BN42" s="4" t="e">
        <f t="shared" si="1"/>
        <v>#DIV/0!</v>
      </c>
      <c r="BO42" s="4" t="e">
        <f t="shared" si="16"/>
        <v>#N/A</v>
      </c>
    </row>
    <row r="43" spans="1:67">
      <c r="A43" s="2"/>
      <c r="B43" s="5"/>
      <c r="C43" s="2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>
        <f t="shared" si="2"/>
        <v>0</v>
      </c>
      <c r="X43" s="9">
        <f t="shared" si="3"/>
        <v>0</v>
      </c>
      <c r="Y43" s="9" t="str">
        <f t="shared" si="4"/>
        <v>0</v>
      </c>
      <c r="Z43" s="6" t="str">
        <f t="shared" si="5"/>
        <v>0</v>
      </c>
      <c r="AA43" s="9" t="e">
        <f t="shared" si="6"/>
        <v>#DIV/0!</v>
      </c>
      <c r="AB43" s="6" t="e">
        <f t="shared" si="7"/>
        <v>#DIV/0!</v>
      </c>
      <c r="AC43" s="6" t="e">
        <f t="shared" si="8"/>
        <v>#DIV/0!</v>
      </c>
      <c r="AD43" s="9" t="e">
        <f t="shared" si="9"/>
        <v>#DIV/0!</v>
      </c>
      <c r="AE43" s="4" t="e">
        <f>100*(AA43/TOTAL_BASIC!$C$81)</f>
        <v>#DIV/0!</v>
      </c>
      <c r="AF43" s="4" t="e">
        <f>100*AC43/TOTAL_BASIC!$C$82</f>
        <v>#DIV/0!</v>
      </c>
      <c r="AG43" s="4" t="e">
        <f>100*N43/TOTAL_BASIC!$C$87</f>
        <v>#DIV/0!</v>
      </c>
      <c r="AH43" s="4" t="e">
        <f>100*AD43/TOTAL_BASIC!$C$86</f>
        <v>#DIV/0!</v>
      </c>
      <c r="AI43" s="3" t="e">
        <f t="shared" si="10"/>
        <v>#DIV/0!</v>
      </c>
      <c r="AJ43" s="3"/>
      <c r="AM43" s="4" t="e">
        <f t="shared" si="11"/>
        <v>#N/A</v>
      </c>
      <c r="AN43" s="4" t="e">
        <f t="shared" si="11"/>
        <v>#N/A</v>
      </c>
      <c r="AO43" s="4" t="e">
        <f t="shared" si="11"/>
        <v>#N/A</v>
      </c>
      <c r="AP43" s="4" t="e">
        <f t="shared" si="11"/>
        <v>#N/A</v>
      </c>
      <c r="AQ43" s="4" t="e">
        <f t="shared" si="11"/>
        <v>#N/A</v>
      </c>
      <c r="AR43" s="4" t="e">
        <f t="shared" si="11"/>
        <v>#N/A</v>
      </c>
      <c r="AS43" s="4" t="e">
        <f t="shared" si="11"/>
        <v>#N/A</v>
      </c>
      <c r="AT43" s="4" t="e">
        <f t="shared" si="20"/>
        <v>#N/A</v>
      </c>
      <c r="AU43" s="4" t="e">
        <f t="shared" si="18"/>
        <v>#N/A</v>
      </c>
      <c r="AV43" s="4" t="e">
        <f t="shared" si="18"/>
        <v>#N/A</v>
      </c>
      <c r="AW43" s="4" t="e">
        <f t="shared" si="18"/>
        <v>#N/A</v>
      </c>
      <c r="AX43" s="4" t="e">
        <f t="shared" si="18"/>
        <v>#N/A</v>
      </c>
      <c r="AY43" s="4" t="e">
        <f t="shared" si="18"/>
        <v>#N/A</v>
      </c>
      <c r="AZ43" s="4" t="e">
        <f t="shared" si="18"/>
        <v>#N/A</v>
      </c>
      <c r="BA43" s="4" t="e">
        <f t="shared" si="18"/>
        <v>#N/A</v>
      </c>
      <c r="BB43" s="4" t="e">
        <f t="shared" si="17"/>
        <v>#N/A</v>
      </c>
      <c r="BC43" s="4" t="e">
        <f t="shared" si="12"/>
        <v>#N/A</v>
      </c>
      <c r="BD43" s="4" t="e">
        <f t="shared" si="13"/>
        <v>#N/A</v>
      </c>
      <c r="BE43" s="4" t="e">
        <f t="shared" si="14"/>
        <v>#N/A</v>
      </c>
      <c r="BF43" s="4">
        <f t="shared" si="12"/>
        <v>0</v>
      </c>
      <c r="BG43" s="4">
        <f t="shared" si="12"/>
        <v>0</v>
      </c>
      <c r="BH43" s="4" t="e">
        <f t="shared" si="19"/>
        <v>#N/A</v>
      </c>
      <c r="BI43" s="4" t="e">
        <f t="shared" si="15"/>
        <v>#N/A</v>
      </c>
      <c r="BJ43" s="4" t="e">
        <f t="shared" si="15"/>
        <v>#DIV/0!</v>
      </c>
      <c r="BK43" s="4" t="e">
        <f t="shared" si="15"/>
        <v>#DIV/0!</v>
      </c>
      <c r="BL43" s="4" t="e">
        <f t="shared" si="15"/>
        <v>#DIV/0!</v>
      </c>
      <c r="BM43" s="4" t="e">
        <f t="shared" si="15"/>
        <v>#DIV/0!</v>
      </c>
      <c r="BN43" s="4" t="e">
        <f t="shared" si="1"/>
        <v>#DIV/0!</v>
      </c>
      <c r="BO43" s="4" t="e">
        <f t="shared" si="16"/>
        <v>#N/A</v>
      </c>
    </row>
    <row r="44" spans="1:67">
      <c r="A44" s="2"/>
      <c r="B44" s="5"/>
      <c r="C44" s="2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>
        <f t="shared" si="2"/>
        <v>0</v>
      </c>
      <c r="X44" s="9">
        <f t="shared" si="3"/>
        <v>0</v>
      </c>
      <c r="Y44" s="9" t="str">
        <f t="shared" si="4"/>
        <v>0</v>
      </c>
      <c r="Z44" s="6" t="str">
        <f t="shared" si="5"/>
        <v>0</v>
      </c>
      <c r="AA44" s="9" t="e">
        <f t="shared" si="6"/>
        <v>#DIV/0!</v>
      </c>
      <c r="AB44" s="6" t="e">
        <f t="shared" si="7"/>
        <v>#DIV/0!</v>
      </c>
      <c r="AC44" s="6" t="e">
        <f t="shared" si="8"/>
        <v>#DIV/0!</v>
      </c>
      <c r="AD44" s="9" t="e">
        <f t="shared" si="9"/>
        <v>#DIV/0!</v>
      </c>
      <c r="AE44" s="4" t="e">
        <f>100*(AA44/TOTAL_BASIC!$C$81)</f>
        <v>#DIV/0!</v>
      </c>
      <c r="AF44" s="4" t="e">
        <f>100*AC44/TOTAL_BASIC!$C$82</f>
        <v>#DIV/0!</v>
      </c>
      <c r="AG44" s="4" t="e">
        <f>100*N44/TOTAL_BASIC!$C$87</f>
        <v>#DIV/0!</v>
      </c>
      <c r="AH44" s="4" t="e">
        <f>100*AD44/TOTAL_BASIC!$C$86</f>
        <v>#DIV/0!</v>
      </c>
      <c r="AI44" s="3" t="e">
        <f t="shared" si="10"/>
        <v>#DIV/0!</v>
      </c>
      <c r="AJ44" s="3"/>
      <c r="AM44" s="4" t="e">
        <f t="shared" si="11"/>
        <v>#N/A</v>
      </c>
      <c r="AN44" s="4" t="e">
        <f t="shared" si="11"/>
        <v>#N/A</v>
      </c>
      <c r="AO44" s="4" t="e">
        <f t="shared" si="11"/>
        <v>#N/A</v>
      </c>
      <c r="AP44" s="4" t="e">
        <f t="shared" si="11"/>
        <v>#N/A</v>
      </c>
      <c r="AQ44" s="4" t="e">
        <f t="shared" si="11"/>
        <v>#N/A</v>
      </c>
      <c r="AR44" s="4" t="e">
        <f t="shared" si="11"/>
        <v>#N/A</v>
      </c>
      <c r="AS44" s="4" t="e">
        <f t="shared" si="11"/>
        <v>#N/A</v>
      </c>
      <c r="AT44" s="4" t="e">
        <f t="shared" si="20"/>
        <v>#N/A</v>
      </c>
      <c r="AU44" s="4" t="e">
        <f t="shared" si="18"/>
        <v>#N/A</v>
      </c>
      <c r="AV44" s="4" t="e">
        <f t="shared" si="18"/>
        <v>#N/A</v>
      </c>
      <c r="AW44" s="4" t="e">
        <f t="shared" si="18"/>
        <v>#N/A</v>
      </c>
      <c r="AX44" s="4" t="e">
        <f t="shared" si="18"/>
        <v>#N/A</v>
      </c>
      <c r="AY44" s="4" t="e">
        <f t="shared" si="18"/>
        <v>#N/A</v>
      </c>
      <c r="AZ44" s="4" t="e">
        <f t="shared" si="18"/>
        <v>#N/A</v>
      </c>
      <c r="BA44" s="4" t="e">
        <f t="shared" si="18"/>
        <v>#N/A</v>
      </c>
      <c r="BB44" s="4" t="e">
        <f t="shared" si="17"/>
        <v>#N/A</v>
      </c>
      <c r="BC44" s="4" t="e">
        <f t="shared" si="12"/>
        <v>#N/A</v>
      </c>
      <c r="BD44" s="4" t="e">
        <f t="shared" si="13"/>
        <v>#N/A</v>
      </c>
      <c r="BE44" s="4" t="e">
        <f t="shared" si="14"/>
        <v>#N/A</v>
      </c>
      <c r="BF44" s="4">
        <f t="shared" si="12"/>
        <v>0</v>
      </c>
      <c r="BG44" s="4">
        <f t="shared" si="12"/>
        <v>0</v>
      </c>
      <c r="BH44" s="4" t="e">
        <f t="shared" si="19"/>
        <v>#N/A</v>
      </c>
      <c r="BI44" s="4" t="e">
        <f t="shared" si="15"/>
        <v>#N/A</v>
      </c>
      <c r="BJ44" s="4" t="e">
        <f t="shared" si="15"/>
        <v>#DIV/0!</v>
      </c>
      <c r="BK44" s="4" t="e">
        <f t="shared" si="15"/>
        <v>#DIV/0!</v>
      </c>
      <c r="BL44" s="4" t="e">
        <f t="shared" si="15"/>
        <v>#DIV/0!</v>
      </c>
      <c r="BM44" s="4" t="e">
        <f t="shared" si="15"/>
        <v>#DIV/0!</v>
      </c>
      <c r="BN44" s="4" t="e">
        <f t="shared" si="1"/>
        <v>#DIV/0!</v>
      </c>
      <c r="BO44" s="4" t="e">
        <f t="shared" si="16"/>
        <v>#N/A</v>
      </c>
    </row>
    <row r="45" spans="1:67">
      <c r="A45" s="2"/>
      <c r="B45" s="5"/>
      <c r="C45" s="2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>
        <f t="shared" si="2"/>
        <v>0</v>
      </c>
      <c r="X45" s="9">
        <f t="shared" si="3"/>
        <v>0</v>
      </c>
      <c r="Y45" s="9" t="str">
        <f t="shared" si="4"/>
        <v>0</v>
      </c>
      <c r="Z45" s="6" t="str">
        <f t="shared" si="5"/>
        <v>0</v>
      </c>
      <c r="AA45" s="9" t="e">
        <f t="shared" si="6"/>
        <v>#DIV/0!</v>
      </c>
      <c r="AB45" s="6" t="e">
        <f t="shared" si="7"/>
        <v>#DIV/0!</v>
      </c>
      <c r="AC45" s="6" t="e">
        <f t="shared" si="8"/>
        <v>#DIV/0!</v>
      </c>
      <c r="AD45" s="9" t="e">
        <f t="shared" si="9"/>
        <v>#DIV/0!</v>
      </c>
      <c r="AE45" s="4" t="e">
        <f>100*(AA45/TOTAL_BASIC!$C$81)</f>
        <v>#DIV/0!</v>
      </c>
      <c r="AF45" s="4" t="e">
        <f>100*AC45/TOTAL_BASIC!$C$82</f>
        <v>#DIV/0!</v>
      </c>
      <c r="AG45" s="4" t="e">
        <f>100*N45/TOTAL_BASIC!$C$87</f>
        <v>#DIV/0!</v>
      </c>
      <c r="AH45" s="4" t="e">
        <f>100*AD45/TOTAL_BASIC!$C$86</f>
        <v>#DIV/0!</v>
      </c>
      <c r="AI45" s="3" t="e">
        <f t="shared" si="10"/>
        <v>#DIV/0!</v>
      </c>
      <c r="AJ45" s="3"/>
      <c r="AM45" s="4" t="e">
        <f t="shared" si="11"/>
        <v>#N/A</v>
      </c>
      <c r="AN45" s="4" t="e">
        <f t="shared" si="11"/>
        <v>#N/A</v>
      </c>
      <c r="AO45" s="4" t="e">
        <f t="shared" si="11"/>
        <v>#N/A</v>
      </c>
      <c r="AP45" s="4" t="e">
        <f t="shared" si="11"/>
        <v>#N/A</v>
      </c>
      <c r="AQ45" s="4" t="e">
        <f t="shared" si="11"/>
        <v>#N/A</v>
      </c>
      <c r="AR45" s="4" t="e">
        <f t="shared" si="11"/>
        <v>#N/A</v>
      </c>
      <c r="AS45" s="4" t="e">
        <f t="shared" si="11"/>
        <v>#N/A</v>
      </c>
      <c r="AT45" s="4" t="e">
        <f t="shared" si="20"/>
        <v>#N/A</v>
      </c>
      <c r="AU45" s="4" t="e">
        <f t="shared" si="18"/>
        <v>#N/A</v>
      </c>
      <c r="AV45" s="4" t="e">
        <f t="shared" si="18"/>
        <v>#N/A</v>
      </c>
      <c r="AW45" s="4" t="e">
        <f t="shared" si="18"/>
        <v>#N/A</v>
      </c>
      <c r="AX45" s="4" t="e">
        <f t="shared" si="18"/>
        <v>#N/A</v>
      </c>
      <c r="AY45" s="4" t="e">
        <f t="shared" si="18"/>
        <v>#N/A</v>
      </c>
      <c r="AZ45" s="4" t="e">
        <f t="shared" si="18"/>
        <v>#N/A</v>
      </c>
      <c r="BA45" s="4" t="e">
        <f t="shared" si="18"/>
        <v>#N/A</v>
      </c>
      <c r="BB45" s="4" t="e">
        <f t="shared" si="17"/>
        <v>#N/A</v>
      </c>
      <c r="BC45" s="4" t="e">
        <f t="shared" si="12"/>
        <v>#N/A</v>
      </c>
      <c r="BD45" s="4" t="e">
        <f t="shared" si="13"/>
        <v>#N/A</v>
      </c>
      <c r="BE45" s="4" t="e">
        <f t="shared" si="14"/>
        <v>#N/A</v>
      </c>
      <c r="BF45" s="4">
        <f t="shared" si="12"/>
        <v>0</v>
      </c>
      <c r="BG45" s="4">
        <f t="shared" si="12"/>
        <v>0</v>
      </c>
      <c r="BH45" s="4" t="e">
        <f t="shared" si="19"/>
        <v>#N/A</v>
      </c>
      <c r="BI45" s="4" t="e">
        <f t="shared" si="15"/>
        <v>#N/A</v>
      </c>
      <c r="BJ45" s="4" t="e">
        <f t="shared" si="15"/>
        <v>#DIV/0!</v>
      </c>
      <c r="BK45" s="4" t="e">
        <f t="shared" si="15"/>
        <v>#DIV/0!</v>
      </c>
      <c r="BL45" s="4" t="e">
        <f t="shared" si="15"/>
        <v>#DIV/0!</v>
      </c>
      <c r="BM45" s="4" t="e">
        <f t="shared" si="15"/>
        <v>#DIV/0!</v>
      </c>
      <c r="BN45" s="4" t="e">
        <f t="shared" si="1"/>
        <v>#DIV/0!</v>
      </c>
      <c r="BO45" s="4" t="e">
        <f t="shared" si="16"/>
        <v>#N/A</v>
      </c>
    </row>
    <row r="46" spans="1:67">
      <c r="A46" s="2"/>
      <c r="B46" s="5"/>
      <c r="C46" s="2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>
        <f t="shared" si="2"/>
        <v>0</v>
      </c>
      <c r="X46" s="9">
        <f t="shared" si="3"/>
        <v>0</v>
      </c>
      <c r="Y46" s="9" t="str">
        <f t="shared" si="4"/>
        <v>0</v>
      </c>
      <c r="Z46" s="6" t="str">
        <f t="shared" si="5"/>
        <v>0</v>
      </c>
      <c r="AA46" s="9" t="e">
        <f t="shared" si="6"/>
        <v>#DIV/0!</v>
      </c>
      <c r="AB46" s="6" t="e">
        <f t="shared" si="7"/>
        <v>#DIV/0!</v>
      </c>
      <c r="AC46" s="6" t="e">
        <f t="shared" si="8"/>
        <v>#DIV/0!</v>
      </c>
      <c r="AD46" s="9" t="e">
        <f t="shared" si="9"/>
        <v>#DIV/0!</v>
      </c>
      <c r="AE46" s="4" t="e">
        <f>100*(AA46/TOTAL_BASIC!$C$81)</f>
        <v>#DIV/0!</v>
      </c>
      <c r="AF46" s="4" t="e">
        <f>100*AC46/TOTAL_BASIC!$C$82</f>
        <v>#DIV/0!</v>
      </c>
      <c r="AG46" s="4" t="e">
        <f>100*N46/TOTAL_BASIC!$C$87</f>
        <v>#DIV/0!</v>
      </c>
      <c r="AH46" s="4" t="e">
        <f>100*AD46/TOTAL_BASIC!$C$86</f>
        <v>#DIV/0!</v>
      </c>
      <c r="AI46" s="3" t="e">
        <f t="shared" si="10"/>
        <v>#DIV/0!</v>
      </c>
      <c r="AJ46" s="3"/>
      <c r="AM46" s="4" t="e">
        <f t="shared" si="11"/>
        <v>#N/A</v>
      </c>
      <c r="AN46" s="4" t="e">
        <f t="shared" si="11"/>
        <v>#N/A</v>
      </c>
      <c r="AO46" s="4" t="e">
        <f t="shared" si="11"/>
        <v>#N/A</v>
      </c>
      <c r="AP46" s="4" t="e">
        <f t="shared" si="11"/>
        <v>#N/A</v>
      </c>
      <c r="AQ46" s="4" t="e">
        <f t="shared" si="11"/>
        <v>#N/A</v>
      </c>
      <c r="AR46" s="4" t="e">
        <f t="shared" si="11"/>
        <v>#N/A</v>
      </c>
      <c r="AS46" s="4" t="e">
        <f t="shared" si="11"/>
        <v>#N/A</v>
      </c>
      <c r="AT46" s="4" t="e">
        <f t="shared" si="20"/>
        <v>#N/A</v>
      </c>
      <c r="AU46" s="4" t="e">
        <f t="shared" si="18"/>
        <v>#N/A</v>
      </c>
      <c r="AV46" s="4" t="e">
        <f t="shared" si="18"/>
        <v>#N/A</v>
      </c>
      <c r="AW46" s="4" t="e">
        <f t="shared" si="18"/>
        <v>#N/A</v>
      </c>
      <c r="AX46" s="4" t="e">
        <f t="shared" si="18"/>
        <v>#N/A</v>
      </c>
      <c r="AY46" s="4" t="e">
        <f t="shared" si="18"/>
        <v>#N/A</v>
      </c>
      <c r="AZ46" s="4" t="e">
        <f t="shared" si="18"/>
        <v>#N/A</v>
      </c>
      <c r="BA46" s="4" t="e">
        <f t="shared" si="18"/>
        <v>#N/A</v>
      </c>
      <c r="BB46" s="4" t="e">
        <f t="shared" si="17"/>
        <v>#N/A</v>
      </c>
      <c r="BC46" s="4" t="e">
        <f t="shared" si="12"/>
        <v>#N/A</v>
      </c>
      <c r="BD46" s="4" t="e">
        <f t="shared" si="13"/>
        <v>#N/A</v>
      </c>
      <c r="BE46" s="4" t="e">
        <f t="shared" si="14"/>
        <v>#N/A</v>
      </c>
      <c r="BF46" s="4">
        <f t="shared" si="12"/>
        <v>0</v>
      </c>
      <c r="BG46" s="4">
        <f t="shared" si="12"/>
        <v>0</v>
      </c>
      <c r="BH46" s="4" t="e">
        <f t="shared" si="19"/>
        <v>#N/A</v>
      </c>
      <c r="BI46" s="4" t="e">
        <f t="shared" si="15"/>
        <v>#N/A</v>
      </c>
      <c r="BJ46" s="4" t="e">
        <f t="shared" si="15"/>
        <v>#DIV/0!</v>
      </c>
      <c r="BK46" s="4" t="e">
        <f t="shared" si="15"/>
        <v>#DIV/0!</v>
      </c>
      <c r="BL46" s="4" t="e">
        <f t="shared" si="15"/>
        <v>#DIV/0!</v>
      </c>
      <c r="BM46" s="4" t="e">
        <f t="shared" si="15"/>
        <v>#DIV/0!</v>
      </c>
      <c r="BN46" s="4" t="e">
        <f t="shared" si="1"/>
        <v>#DIV/0!</v>
      </c>
      <c r="BO46" s="4" t="e">
        <f t="shared" si="16"/>
        <v>#N/A</v>
      </c>
    </row>
    <row r="47" spans="1:67">
      <c r="A47" s="2"/>
      <c r="B47" s="5"/>
      <c r="C47" s="2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>
        <f t="shared" si="2"/>
        <v>0</v>
      </c>
      <c r="X47" s="9">
        <f t="shared" si="3"/>
        <v>0</v>
      </c>
      <c r="Y47" s="9" t="str">
        <f t="shared" si="4"/>
        <v>0</v>
      </c>
      <c r="Z47" s="6" t="str">
        <f t="shared" si="5"/>
        <v>0</v>
      </c>
      <c r="AA47" s="9" t="e">
        <f t="shared" si="6"/>
        <v>#DIV/0!</v>
      </c>
      <c r="AB47" s="6" t="e">
        <f t="shared" si="7"/>
        <v>#DIV/0!</v>
      </c>
      <c r="AC47" s="6" t="e">
        <f t="shared" si="8"/>
        <v>#DIV/0!</v>
      </c>
      <c r="AD47" s="9" t="e">
        <f t="shared" si="9"/>
        <v>#DIV/0!</v>
      </c>
      <c r="AE47" s="4" t="e">
        <f>100*(AA47/TOTAL_BASIC!$C$81)</f>
        <v>#DIV/0!</v>
      </c>
      <c r="AF47" s="4" t="e">
        <f>100*AC47/TOTAL_BASIC!$C$82</f>
        <v>#DIV/0!</v>
      </c>
      <c r="AG47" s="4" t="e">
        <f>100*N47/TOTAL_BASIC!$C$87</f>
        <v>#DIV/0!</v>
      </c>
      <c r="AH47" s="4" t="e">
        <f>100*AD47/TOTAL_BASIC!$C$86</f>
        <v>#DIV/0!</v>
      </c>
      <c r="AI47" s="3" t="e">
        <f t="shared" si="10"/>
        <v>#DIV/0!</v>
      </c>
      <c r="AJ47" s="3"/>
      <c r="AM47" s="4" t="e">
        <f t="shared" si="11"/>
        <v>#N/A</v>
      </c>
      <c r="AN47" s="4" t="e">
        <f t="shared" si="11"/>
        <v>#N/A</v>
      </c>
      <c r="AO47" s="4" t="e">
        <f t="shared" si="11"/>
        <v>#N/A</v>
      </c>
      <c r="AP47" s="4" t="e">
        <f t="shared" si="11"/>
        <v>#N/A</v>
      </c>
      <c r="AQ47" s="4" t="e">
        <f t="shared" si="11"/>
        <v>#N/A</v>
      </c>
      <c r="AR47" s="4" t="e">
        <f t="shared" si="11"/>
        <v>#N/A</v>
      </c>
      <c r="AS47" s="4" t="e">
        <f t="shared" si="11"/>
        <v>#N/A</v>
      </c>
      <c r="AT47" s="4" t="e">
        <f t="shared" si="20"/>
        <v>#N/A</v>
      </c>
      <c r="AU47" s="4" t="e">
        <f t="shared" si="18"/>
        <v>#N/A</v>
      </c>
      <c r="AV47" s="4" t="e">
        <f t="shared" si="18"/>
        <v>#N/A</v>
      </c>
      <c r="AW47" s="4" t="e">
        <f t="shared" si="18"/>
        <v>#N/A</v>
      </c>
      <c r="AX47" s="4" t="e">
        <f t="shared" si="18"/>
        <v>#N/A</v>
      </c>
      <c r="AY47" s="4" t="e">
        <f t="shared" si="18"/>
        <v>#N/A</v>
      </c>
      <c r="AZ47" s="4" t="e">
        <f t="shared" si="18"/>
        <v>#N/A</v>
      </c>
      <c r="BA47" s="4" t="e">
        <f t="shared" si="18"/>
        <v>#N/A</v>
      </c>
      <c r="BB47" s="4" t="e">
        <f t="shared" si="17"/>
        <v>#N/A</v>
      </c>
      <c r="BC47" s="4" t="e">
        <f t="shared" si="12"/>
        <v>#N/A</v>
      </c>
      <c r="BD47" s="4" t="e">
        <f t="shared" si="13"/>
        <v>#N/A</v>
      </c>
      <c r="BE47" s="4" t="e">
        <f t="shared" si="14"/>
        <v>#N/A</v>
      </c>
      <c r="BF47" s="4">
        <f t="shared" si="12"/>
        <v>0</v>
      </c>
      <c r="BG47" s="4">
        <f t="shared" si="12"/>
        <v>0</v>
      </c>
      <c r="BH47" s="4" t="e">
        <f t="shared" si="19"/>
        <v>#N/A</v>
      </c>
      <c r="BI47" s="4" t="e">
        <f t="shared" si="15"/>
        <v>#N/A</v>
      </c>
      <c r="BJ47" s="4" t="e">
        <f t="shared" si="15"/>
        <v>#DIV/0!</v>
      </c>
      <c r="BK47" s="4" t="e">
        <f t="shared" si="15"/>
        <v>#DIV/0!</v>
      </c>
      <c r="BL47" s="4" t="e">
        <f t="shared" si="15"/>
        <v>#DIV/0!</v>
      </c>
      <c r="BM47" s="4" t="e">
        <f t="shared" si="15"/>
        <v>#DIV/0!</v>
      </c>
      <c r="BN47" s="4" t="e">
        <f t="shared" si="1"/>
        <v>#DIV/0!</v>
      </c>
      <c r="BO47" s="4" t="e">
        <f t="shared" si="16"/>
        <v>#N/A</v>
      </c>
    </row>
    <row r="48" spans="1:67">
      <c r="A48" s="2"/>
      <c r="B48" s="5"/>
      <c r="C48" s="2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>
        <f t="shared" si="2"/>
        <v>0</v>
      </c>
      <c r="X48" s="9">
        <f t="shared" si="3"/>
        <v>0</v>
      </c>
      <c r="Y48" s="9" t="str">
        <f t="shared" si="4"/>
        <v>0</v>
      </c>
      <c r="Z48" s="6" t="str">
        <f t="shared" si="5"/>
        <v>0</v>
      </c>
      <c r="AA48" s="9" t="e">
        <f t="shared" si="6"/>
        <v>#DIV/0!</v>
      </c>
      <c r="AB48" s="6" t="e">
        <f t="shared" si="7"/>
        <v>#DIV/0!</v>
      </c>
      <c r="AC48" s="6" t="e">
        <f t="shared" si="8"/>
        <v>#DIV/0!</v>
      </c>
      <c r="AD48" s="9" t="e">
        <f t="shared" si="9"/>
        <v>#DIV/0!</v>
      </c>
      <c r="AE48" s="4" t="e">
        <f>100*(AA48/TOTAL_BASIC!$C$81)</f>
        <v>#DIV/0!</v>
      </c>
      <c r="AF48" s="4" t="e">
        <f>100*AC48/TOTAL_BASIC!$C$82</f>
        <v>#DIV/0!</v>
      </c>
      <c r="AG48" s="4" t="e">
        <f>100*N48/TOTAL_BASIC!$C$87</f>
        <v>#DIV/0!</v>
      </c>
      <c r="AH48" s="4" t="e">
        <f>100*AD48/TOTAL_BASIC!$C$86</f>
        <v>#DIV/0!</v>
      </c>
      <c r="AI48" s="3" t="e">
        <f t="shared" si="10"/>
        <v>#DIV/0!</v>
      </c>
      <c r="AJ48" s="3"/>
      <c r="AM48" s="4" t="e">
        <f t="shared" si="11"/>
        <v>#N/A</v>
      </c>
      <c r="AN48" s="4" t="e">
        <f t="shared" si="11"/>
        <v>#N/A</v>
      </c>
      <c r="AO48" s="4" t="e">
        <f t="shared" si="11"/>
        <v>#N/A</v>
      </c>
      <c r="AP48" s="4" t="e">
        <f t="shared" si="11"/>
        <v>#N/A</v>
      </c>
      <c r="AQ48" s="4" t="e">
        <f t="shared" si="11"/>
        <v>#N/A</v>
      </c>
      <c r="AR48" s="4" t="e">
        <f t="shared" si="11"/>
        <v>#N/A</v>
      </c>
      <c r="AS48" s="4" t="e">
        <f t="shared" si="11"/>
        <v>#N/A</v>
      </c>
      <c r="AT48" s="4" t="e">
        <f t="shared" si="20"/>
        <v>#N/A</v>
      </c>
      <c r="AU48" s="4" t="e">
        <f t="shared" si="18"/>
        <v>#N/A</v>
      </c>
      <c r="AV48" s="4" t="e">
        <f t="shared" si="18"/>
        <v>#N/A</v>
      </c>
      <c r="AW48" s="4" t="e">
        <f t="shared" si="18"/>
        <v>#N/A</v>
      </c>
      <c r="AX48" s="4" t="e">
        <f t="shared" si="18"/>
        <v>#N/A</v>
      </c>
      <c r="AY48" s="4" t="e">
        <f t="shared" si="18"/>
        <v>#N/A</v>
      </c>
      <c r="AZ48" s="4" t="e">
        <f t="shared" si="18"/>
        <v>#N/A</v>
      </c>
      <c r="BA48" s="4" t="e">
        <f t="shared" si="18"/>
        <v>#N/A</v>
      </c>
      <c r="BB48" s="4" t="e">
        <f t="shared" si="17"/>
        <v>#N/A</v>
      </c>
      <c r="BC48" s="4" t="e">
        <f t="shared" si="12"/>
        <v>#N/A</v>
      </c>
      <c r="BD48" s="4" t="e">
        <f t="shared" si="13"/>
        <v>#N/A</v>
      </c>
      <c r="BE48" s="4" t="e">
        <f t="shared" si="14"/>
        <v>#N/A</v>
      </c>
      <c r="BF48" s="4">
        <f t="shared" si="12"/>
        <v>0</v>
      </c>
      <c r="BG48" s="4">
        <f t="shared" si="12"/>
        <v>0</v>
      </c>
      <c r="BH48" s="4" t="e">
        <f t="shared" si="19"/>
        <v>#N/A</v>
      </c>
      <c r="BI48" s="4" t="e">
        <f t="shared" si="15"/>
        <v>#N/A</v>
      </c>
      <c r="BJ48" s="4" t="e">
        <f t="shared" si="15"/>
        <v>#DIV/0!</v>
      </c>
      <c r="BK48" s="4" t="e">
        <f t="shared" si="15"/>
        <v>#DIV/0!</v>
      </c>
      <c r="BL48" s="4" t="e">
        <f t="shared" si="15"/>
        <v>#DIV/0!</v>
      </c>
      <c r="BM48" s="4" t="e">
        <f t="shared" si="15"/>
        <v>#DIV/0!</v>
      </c>
      <c r="BN48" s="4" t="e">
        <f t="shared" si="1"/>
        <v>#DIV/0!</v>
      </c>
      <c r="BO48" s="4" t="e">
        <f t="shared" si="16"/>
        <v>#N/A</v>
      </c>
    </row>
    <row r="49" spans="1:67">
      <c r="A49" s="2"/>
      <c r="B49" s="5"/>
      <c r="C49" s="2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>
        <f t="shared" si="2"/>
        <v>0</v>
      </c>
      <c r="X49" s="9">
        <f t="shared" si="3"/>
        <v>0</v>
      </c>
      <c r="Y49" s="9" t="str">
        <f t="shared" si="4"/>
        <v>0</v>
      </c>
      <c r="Z49" s="6" t="str">
        <f t="shared" si="5"/>
        <v>0</v>
      </c>
      <c r="AA49" s="9" t="e">
        <f t="shared" si="6"/>
        <v>#DIV/0!</v>
      </c>
      <c r="AB49" s="6" t="e">
        <f t="shared" si="7"/>
        <v>#DIV/0!</v>
      </c>
      <c r="AC49" s="6" t="e">
        <f t="shared" si="8"/>
        <v>#DIV/0!</v>
      </c>
      <c r="AD49" s="9" t="e">
        <f t="shared" si="9"/>
        <v>#DIV/0!</v>
      </c>
      <c r="AE49" s="4" t="e">
        <f>100*(AA49/TOTAL_BASIC!$C$81)</f>
        <v>#DIV/0!</v>
      </c>
      <c r="AF49" s="4" t="e">
        <f>100*AC49/TOTAL_BASIC!$C$82</f>
        <v>#DIV/0!</v>
      </c>
      <c r="AG49" s="4" t="e">
        <f>100*N49/TOTAL_BASIC!$C$87</f>
        <v>#DIV/0!</v>
      </c>
      <c r="AH49" s="4" t="e">
        <f>100*AD49/TOTAL_BASIC!$C$86</f>
        <v>#DIV/0!</v>
      </c>
      <c r="AI49" s="3" t="e">
        <f t="shared" si="10"/>
        <v>#DIV/0!</v>
      </c>
      <c r="AJ49" s="3"/>
      <c r="AM49" s="4" t="e">
        <f t="shared" si="11"/>
        <v>#N/A</v>
      </c>
      <c r="AN49" s="4" t="e">
        <f t="shared" si="11"/>
        <v>#N/A</v>
      </c>
      <c r="AO49" s="4" t="e">
        <f t="shared" si="11"/>
        <v>#N/A</v>
      </c>
      <c r="AP49" s="4" t="e">
        <f t="shared" si="11"/>
        <v>#N/A</v>
      </c>
      <c r="AQ49" s="4" t="e">
        <f t="shared" si="11"/>
        <v>#N/A</v>
      </c>
      <c r="AR49" s="4" t="e">
        <f t="shared" si="11"/>
        <v>#N/A</v>
      </c>
      <c r="AS49" s="4" t="e">
        <f t="shared" si="11"/>
        <v>#N/A</v>
      </c>
      <c r="AT49" s="4" t="e">
        <f t="shared" si="20"/>
        <v>#N/A</v>
      </c>
      <c r="AU49" s="4" t="e">
        <f t="shared" si="18"/>
        <v>#N/A</v>
      </c>
      <c r="AV49" s="4" t="e">
        <f t="shared" si="18"/>
        <v>#N/A</v>
      </c>
      <c r="AW49" s="4" t="e">
        <f t="shared" si="18"/>
        <v>#N/A</v>
      </c>
      <c r="AX49" s="4" t="e">
        <f t="shared" si="18"/>
        <v>#N/A</v>
      </c>
      <c r="AY49" s="4" t="e">
        <f t="shared" si="18"/>
        <v>#N/A</v>
      </c>
      <c r="AZ49" s="4" t="e">
        <f t="shared" si="18"/>
        <v>#N/A</v>
      </c>
      <c r="BA49" s="4" t="e">
        <f t="shared" si="18"/>
        <v>#N/A</v>
      </c>
      <c r="BB49" s="4" t="e">
        <f t="shared" si="17"/>
        <v>#N/A</v>
      </c>
      <c r="BC49" s="4" t="e">
        <f t="shared" si="12"/>
        <v>#N/A</v>
      </c>
      <c r="BD49" s="4" t="e">
        <f t="shared" si="13"/>
        <v>#N/A</v>
      </c>
      <c r="BE49" s="4" t="e">
        <f t="shared" si="14"/>
        <v>#N/A</v>
      </c>
      <c r="BF49" s="4">
        <f t="shared" si="12"/>
        <v>0</v>
      </c>
      <c r="BG49" s="4">
        <f t="shared" si="12"/>
        <v>0</v>
      </c>
      <c r="BH49" s="4" t="e">
        <f t="shared" si="19"/>
        <v>#N/A</v>
      </c>
      <c r="BI49" s="4" t="e">
        <f t="shared" si="15"/>
        <v>#N/A</v>
      </c>
      <c r="BJ49" s="4" t="e">
        <f t="shared" si="15"/>
        <v>#DIV/0!</v>
      </c>
      <c r="BK49" s="4" t="e">
        <f t="shared" si="15"/>
        <v>#DIV/0!</v>
      </c>
      <c r="BL49" s="4" t="e">
        <f t="shared" si="15"/>
        <v>#DIV/0!</v>
      </c>
      <c r="BM49" s="4" t="e">
        <f t="shared" si="15"/>
        <v>#DIV/0!</v>
      </c>
      <c r="BN49" s="4" t="e">
        <f t="shared" si="1"/>
        <v>#DIV/0!</v>
      </c>
      <c r="BO49" s="4" t="e">
        <f t="shared" si="16"/>
        <v>#N/A</v>
      </c>
    </row>
    <row r="80" spans="3:36"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</row>
    <row r="81" spans="3:36"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</row>
    <row r="82" spans="3:36"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</row>
  </sheetData>
  <autoFilter ref="A2:BO2"/>
  <mergeCells count="2">
    <mergeCell ref="A1:AI1"/>
    <mergeCell ref="AM1:BO1"/>
  </mergeCells>
  <conditionalFormatting sqref="C3:C78">
    <cfRule type="colorScale" priority="6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D3:D78">
    <cfRule type="colorScale" priority="6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E3:E78">
    <cfRule type="colorScale" priority="6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F3:F78">
    <cfRule type="colorScale" priority="6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G3:G78">
    <cfRule type="colorScale" priority="5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H3:H78">
    <cfRule type="colorScale" priority="5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I3:I78">
    <cfRule type="colorScale" priority="5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J3:J78">
    <cfRule type="colorScale" priority="5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K3:K78">
    <cfRule type="colorScale" priority="5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L3:L78">
    <cfRule type="colorScale" priority="5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M3:M78">
    <cfRule type="colorScale" priority="5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N3:N78">
    <cfRule type="colorScale" priority="5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O3:O78">
    <cfRule type="colorScale" priority="5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P3:P78">
    <cfRule type="colorScale" priority="5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Q3:Q78">
    <cfRule type="colorScale" priority="4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R3:R78">
    <cfRule type="colorScale" priority="4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S3:S78">
    <cfRule type="colorScale" priority="4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T3:T78">
    <cfRule type="colorScale" priority="4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U3:U78">
    <cfRule type="colorScale" priority="45">
      <colorScale>
        <cfvo type="min" val="0"/>
        <cfvo type="percentile" val="50"/>
        <cfvo type="max" val="0"/>
        <color rgb="FF63BE7B"/>
        <color theme="0"/>
        <color rgb="FFF8696B"/>
      </colorScale>
    </cfRule>
  </conditionalFormatting>
  <conditionalFormatting sqref="V3:V78">
    <cfRule type="colorScale" priority="44">
      <colorScale>
        <cfvo type="min" val="0"/>
        <cfvo type="percentile" val="50"/>
        <cfvo type="max" val="0"/>
        <color rgb="FF63BE7B"/>
        <color theme="0"/>
        <color rgb="FFF8696B"/>
      </colorScale>
    </cfRule>
  </conditionalFormatting>
  <conditionalFormatting sqref="W3:W78">
    <cfRule type="colorScale" priority="4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X3:X78">
    <cfRule type="colorScale" priority="4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Y3:Y78">
    <cfRule type="colorScale" priority="4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Z3:Z78">
    <cfRule type="colorScale" priority="4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A3:AA78">
    <cfRule type="colorScale" priority="3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B3:AB78">
    <cfRule type="colorScale" priority="3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E3:AE78">
    <cfRule type="colorScale" priority="3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F3:AH78">
    <cfRule type="colorScale" priority="3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I3:AJ78">
    <cfRule type="colorScale" priority="3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N3:AN78">
    <cfRule type="colorScale" priority="3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O3:AO78">
    <cfRule type="colorScale" priority="3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P3:AP78">
    <cfRule type="colorScale" priority="3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Q3:AQ78">
    <cfRule type="colorScale" priority="2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R3:AR78">
    <cfRule type="colorScale" priority="2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S3:AS78">
    <cfRule type="colorScale" priority="2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T3:AT78">
    <cfRule type="colorScale" priority="2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U3:AU78">
    <cfRule type="colorScale" priority="2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V3:AV78">
    <cfRule type="colorScale" priority="2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W3:AW78">
    <cfRule type="colorScale" priority="2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X3:AX78">
    <cfRule type="colorScale" priority="2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Y3:AY78">
    <cfRule type="colorScale" priority="2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Z3:AZ78">
    <cfRule type="colorScale" priority="2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A3:BA78">
    <cfRule type="colorScale" priority="1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B3:BB78">
    <cfRule type="colorScale" priority="1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C3:BC78">
    <cfRule type="colorScale" priority="1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D3:BD78">
    <cfRule type="colorScale" priority="1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E3:BE78">
    <cfRule type="colorScale" priority="1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F3:BF78">
    <cfRule type="colorScale" priority="1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G3:BG78">
    <cfRule type="colorScale" priority="1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H3:BH78">
    <cfRule type="colorScale" priority="1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I3:BI78">
    <cfRule type="colorScale" priority="1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J3:BJ78">
    <cfRule type="colorScale" priority="1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K3:BK78">
    <cfRule type="colorScale" priority="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L3:BM78">
    <cfRule type="colorScale" priority="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N3:BN78">
    <cfRule type="colorScale" priority="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O3:BO78">
    <cfRule type="colorScale" priority="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D3:AD78">
    <cfRule type="colorScale" priority="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C3:AC78">
    <cfRule type="colorScale" priority="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M3:AM78">
    <cfRule type="colorScale" priority="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pageMargins left="0.7" right="0.7" top="0.75" bottom="0.75" header="0.3" footer="0.3"/>
  <ignoredErrors>
    <ignoredError sqref="BD3:BD4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EXP</vt:lpstr>
      <vt:lpstr>TOTAL_BASIC</vt:lpstr>
      <vt:lpstr>PER_GAME_BASIC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Clement</dc:creator>
  <cp:lastModifiedBy>Ghislain CLEMENT</cp:lastModifiedBy>
  <dcterms:created xsi:type="dcterms:W3CDTF">2025-02-21T07:49:38Z</dcterms:created>
  <dcterms:modified xsi:type="dcterms:W3CDTF">2026-01-26T00:46:34Z</dcterms:modified>
</cp:coreProperties>
</file>